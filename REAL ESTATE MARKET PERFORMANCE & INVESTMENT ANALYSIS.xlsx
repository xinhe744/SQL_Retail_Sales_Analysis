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queryTables/queryTable4.xml" ContentType="application/vnd.openxmlformats-officedocument.spreadsheetml.queryTable+xml"/>
  <Override PartName="/xl/tables/table6.xml" ContentType="application/vnd.openxmlformats-officedocument.spreadsheetml.table+xml"/>
  <Override PartName="/xl/queryTables/queryTable5.xml" ContentType="application/vnd.openxmlformats-officedocument.spreadsheetml.queryTable+xml"/>
  <Override PartName="/xl/tables/table7.xml" ContentType="application/vnd.openxmlformats-officedocument.spreadsheetml.table+xml"/>
  <Override PartName="/xl/queryTables/queryTable6.xml" ContentType="application/vnd.openxmlformats-officedocument.spreadsheetml.queryTable+xml"/>
  <Override PartName="/xl/tables/table8.xml" ContentType="application/vnd.openxmlformats-officedocument.spreadsheetml.table+xml"/>
  <Override PartName="/xl/queryTables/queryTable7.xml" ContentType="application/vnd.openxmlformats-officedocument.spreadsheetml.queryTable+xml"/>
  <Override PartName="/xl/tables/table9.xml" ContentType="application/vnd.openxmlformats-officedocument.spreadsheetml.table+xml"/>
  <Override PartName="/xl/queryTables/queryTable8.xml" ContentType="application/vnd.openxmlformats-officedocument.spreadsheetml.queryTable+xml"/>
  <Override PartName="/xl/tables/table10.xml" ContentType="application/vnd.openxmlformats-officedocument.spreadsheetml.table+xml"/>
  <Override PartName="/xl/queryTables/queryTable9.xml" ContentType="application/vnd.openxmlformats-officedocument.spreadsheetml.queryTable+xml"/>
  <Override PartName="/xl/tables/table11.xml" ContentType="application/vnd.openxmlformats-officedocument.spreadsheetml.table+xml"/>
  <Override PartName="/xl/queryTables/queryTable10.xml" ContentType="application/vnd.openxmlformats-officedocument.spreadsheetml.queryTable+xml"/>
  <Override PartName="/xl/tables/table12.xml" ContentType="application/vnd.openxmlformats-officedocument.spreadsheetml.table+xml"/>
  <Override PartName="/xl/queryTables/queryTable1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tables/table13.xml" ContentType="application/vnd.openxmlformats-officedocument.spreadsheetml.table+xml"/>
  <Override PartName="/xl/queryTables/queryTable12.xml" ContentType="application/vnd.openxmlformats-officedocument.spreadsheetml.query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2.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richData/rdRichValueTypes.xml" ContentType="application/vnd.ms-excel.rdrichvaluetypes+xml"/>
  <Override PartName="/xl/richData/rdrichvalue.xml" ContentType="application/vnd.ms-excel.rdrichvalue+xml"/>
  <Override PartName="/xl/richData/rdrichvaluestructure.xml" ContentType="application/vnd.ms-excel.rdrichvaluestruc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75d8443a80237459/A. Excel Projects/"/>
    </mc:Choice>
  </mc:AlternateContent>
  <xr:revisionPtr revIDLastSave="4" documentId="8_{F95D667A-B250-4222-9E61-EA6F61D58D7D}" xr6:coauthVersionLast="47" xr6:coauthVersionMax="47" xr10:uidLastSave="{281B347F-0396-49EA-8C6B-E199FF0FE376}"/>
  <bookViews>
    <workbookView xWindow="-110" yWindow="-110" windowWidth="19420" windowHeight="10300" tabRatio="650" firstSheet="8" activeTab="13" xr2:uid="{5E9ADA0B-A7CC-4E2A-8FB7-C817A62C7C96}"/>
  </bookViews>
  <sheets>
    <sheet name="Table1_3__3" sheetId="12" r:id="rId1"/>
    <sheet name="overvalued_sales ratio2 by town" sheetId="13" r:id="rId2"/>
    <sheet name="Table1_3__3 (2)" sheetId="19" r:id="rId3"/>
    <sheet name="avg. sales ratio fr comm" sheetId="21" r:id="rId4"/>
    <sheet name="Avg. comm vs Residential sales" sheetId="20" r:id="rId5"/>
    <sheet name="Monthly Trend" sheetId="23" r:id="rId6"/>
    <sheet name="2018-2021 Monthly Trend" sheetId="24" r:id="rId7"/>
    <sheet name="2018-2021" sheetId="25" r:id="rId8"/>
    <sheet name="Table1_3__3__9 (2)" sheetId="32" r:id="rId9"/>
    <sheet name="Main dataset" sheetId="11" r:id="rId10"/>
    <sheet name="month in 2021 highest sales" sheetId="16" r:id="rId11"/>
    <sheet name="dd" sheetId="15" r:id="rId12"/>
    <sheet name="Analysis" sheetId="4" r:id="rId13"/>
    <sheet name="Dashboard" sheetId="28" r:id="rId14"/>
    <sheet name="Sheet1" sheetId="27" r:id="rId15"/>
  </sheets>
  <definedNames>
    <definedName name="_xlchart.v2.0" hidden="1">Analysis!$CD$20:$CD$23</definedName>
    <definedName name="_xlchart.v2.1" hidden="1">Analysis!$CE$20:$CE$23</definedName>
    <definedName name="_xlchart.v2.2" hidden="1">Analysis!$CD$20:$CD$23</definedName>
    <definedName name="_xlchart.v2.3" hidden="1">Analysis!$CE$20:$CE$23</definedName>
    <definedName name="ExternalData_1" localSheetId="11" hidden="1">dd!$A$1:$M$303</definedName>
    <definedName name="ExternalData_1" localSheetId="9" hidden="1">'Main dataset'!$A$1:$N$303</definedName>
    <definedName name="ExternalData_2" localSheetId="7" hidden="1">'2018-2021'!$A$1:$O$206</definedName>
    <definedName name="ExternalData_2" localSheetId="6" hidden="1">'2018-2021 Monthly Trend'!$A$1:$B$13</definedName>
    <definedName name="ExternalData_2" localSheetId="12" hidden="1">Analysis!$CM$70:$CN$82</definedName>
    <definedName name="ExternalData_2" localSheetId="4" hidden="1">'Avg. comm vs Residential sales'!$A$1:$O$190</definedName>
    <definedName name="ExternalData_2" localSheetId="10" hidden="1">'month in 2021 highest sales'!$A$1:$B$10</definedName>
    <definedName name="ExternalData_2" localSheetId="5" hidden="1">'Monthly Trend'!$A$1:$B$13</definedName>
    <definedName name="ExternalData_2" localSheetId="1" hidden="1">'overvalued_sales ratio2 by town'!$A$1:$B$43</definedName>
    <definedName name="ExternalData_2" localSheetId="2" hidden="1">'Table1_3__3 (2)'!$A$1:$O$303</definedName>
    <definedName name="ExternalData_3" localSheetId="3" hidden="1">'avg. sales ratio fr comm'!$A$1:$A$2</definedName>
    <definedName name="ExternalData_3" localSheetId="8" hidden="1">'Table1_3__3__9 (2)'!$A$1:$N$303</definedName>
    <definedName name="Slicer_Month_Name">#N/A</definedName>
    <definedName name="Slicer_Month_Name1">#N/A</definedName>
    <definedName name="Slicer_Property_Type">#N/A</definedName>
    <definedName name="Slicer_Town">#N/A</definedName>
    <definedName name="Slicer_Town_initials_PQ">#N/A</definedName>
    <definedName name="Slicer_Year">#N/A</definedName>
  </definedNames>
  <calcPr calcId="181029"/>
  <pivotCaches>
    <pivotCache cacheId="3" r:id="rId16"/>
    <pivotCache cacheId="4" r:id="rId17"/>
    <pivotCache cacheId="5" r:id="rId18"/>
    <pivotCache cacheId="6" r:id="rId19"/>
    <pivotCache cacheId="7" r:id="rId20"/>
    <pivotCache cacheId="8" r:id="rId21"/>
    <pivotCache cacheId="9" r:id="rId22"/>
    <pivotCache cacheId="10" r:id="rId23"/>
    <pivotCache cacheId="11" r:id="rId24"/>
  </pivotCaches>
  <extLst>
    <ext xmlns:x14="http://schemas.microsoft.com/office/spreadsheetml/2009/9/main" uri="{BBE1A952-AA13-448e-AADC-164F8A28A991}">
      <x14:slicerCaches>
        <x14:slicerCache r:id="rId25"/>
        <x14:slicerCache r:id="rId26"/>
        <x14:slicerCache r:id="rId27"/>
        <x14:slicerCache r:id="rId28"/>
        <x14:slicerCache r:id="rId29"/>
        <x14:slicerCache r:id="rId3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5" i="16" l="1"/>
  <c r="E4" i="16"/>
  <c r="CD21" i="4"/>
  <c r="CE21" i="4"/>
  <c r="CD22" i="4"/>
  <c r="CE22" i="4"/>
  <c r="CD23" i="4"/>
  <c r="CE23" i="4"/>
  <c r="CE20" i="4"/>
  <c r="CD20" i="4"/>
  <c r="R2" i="25" a="1"/>
  <c r="R2" i="25" s="1"/>
  <c r="R3" i="25" a="1"/>
  <c r="R3" i="25" s="1"/>
  <c r="R4" i="25" a="1"/>
  <c r="R4" i="25" s="1"/>
  <c r="R5" i="25" a="1"/>
  <c r="R5" i="25" s="1"/>
  <c r="R6" i="25" a="1"/>
  <c r="R6" i="25" s="1"/>
  <c r="R7" i="25" a="1"/>
  <c r="R7" i="25" s="1"/>
  <c r="R8" i="25" a="1"/>
  <c r="R8" i="25" s="1"/>
  <c r="R9" i="25" a="1"/>
  <c r="R9" i="25" s="1"/>
  <c r="R10" i="25" a="1"/>
  <c r="R10" i="25" s="1"/>
  <c r="R11" i="25" a="1"/>
  <c r="R11" i="25" s="1"/>
  <c r="R12" i="25" a="1"/>
  <c r="R12" i="25" s="1"/>
  <c r="R13" i="25" a="1"/>
  <c r="R13" i="25" s="1"/>
  <c r="R14" i="25" a="1"/>
  <c r="R14" i="25" s="1"/>
  <c r="R15" i="25" a="1"/>
  <c r="R15" i="25" s="1"/>
  <c r="R16" i="25" a="1"/>
  <c r="R16" i="25" s="1"/>
  <c r="R17" i="25" a="1"/>
  <c r="R17" i="25" s="1"/>
  <c r="R18" i="25" a="1"/>
  <c r="R18" i="25" s="1"/>
  <c r="R19" i="25" a="1"/>
  <c r="R19" i="25" s="1"/>
  <c r="R20" i="25" a="1"/>
  <c r="R20" i="25" s="1"/>
  <c r="R21" i="25" a="1"/>
  <c r="R21" i="25" s="1"/>
  <c r="R22" i="25" a="1"/>
  <c r="R22" i="25" s="1"/>
  <c r="R23" i="25" a="1"/>
  <c r="R23" i="25" s="1"/>
  <c r="R24" i="25" a="1"/>
  <c r="R24" i="25" s="1"/>
  <c r="R25" i="25" a="1"/>
  <c r="R25" i="25" s="1"/>
  <c r="R26" i="25" a="1"/>
  <c r="R26" i="25" s="1"/>
  <c r="R27" i="25" a="1"/>
  <c r="R27" i="25" s="1"/>
  <c r="R28" i="25" a="1"/>
  <c r="R28" i="25" s="1"/>
  <c r="R29" i="25" a="1"/>
  <c r="R29" i="25" s="1"/>
  <c r="R30" i="25" a="1"/>
  <c r="R30" i="25" s="1"/>
  <c r="R31" i="25" a="1"/>
  <c r="R31" i="25" s="1"/>
  <c r="R32" i="25" a="1"/>
  <c r="R32" i="25" s="1"/>
  <c r="R33" i="25" a="1"/>
  <c r="R33" i="25" s="1"/>
  <c r="R34" i="25" a="1"/>
  <c r="R34" i="25" s="1"/>
  <c r="R35" i="25" a="1"/>
  <c r="R35" i="25" s="1"/>
  <c r="R36" i="25" a="1"/>
  <c r="R36" i="25" s="1"/>
  <c r="R37" i="25" a="1"/>
  <c r="R37" i="25" s="1"/>
  <c r="R38" i="25" a="1"/>
  <c r="R38" i="25" s="1"/>
  <c r="R39" i="25" a="1"/>
  <c r="R39" i="25" s="1"/>
  <c r="R40" i="25" a="1"/>
  <c r="R40" i="25" s="1"/>
  <c r="R41" i="25" a="1"/>
  <c r="R41" i="25" s="1"/>
  <c r="R42" i="25" a="1"/>
  <c r="R42" i="25" s="1"/>
  <c r="R43" i="25" a="1"/>
  <c r="R43" i="25" s="1"/>
  <c r="R44" i="25" a="1"/>
  <c r="R44" i="25" s="1"/>
  <c r="R45" i="25" a="1"/>
  <c r="R45" i="25" s="1"/>
  <c r="R46" i="25" a="1"/>
  <c r="R46" i="25" s="1"/>
  <c r="R47" i="25" a="1"/>
  <c r="R47" i="25" s="1"/>
  <c r="R48" i="25" a="1"/>
  <c r="R48" i="25" s="1"/>
  <c r="R49" i="25" a="1"/>
  <c r="R49" i="25" s="1"/>
  <c r="R50" i="25" a="1"/>
  <c r="R50" i="25" s="1"/>
  <c r="R51" i="25" a="1"/>
  <c r="R51" i="25" s="1"/>
  <c r="R52" i="25" a="1"/>
  <c r="R52" i="25" s="1"/>
  <c r="R53" i="25" a="1"/>
  <c r="R53" i="25" s="1"/>
  <c r="R54" i="25" a="1"/>
  <c r="R54" i="25" s="1"/>
  <c r="R55" i="25" a="1"/>
  <c r="R55" i="25" s="1"/>
  <c r="R56" i="25" a="1"/>
  <c r="R56" i="25" s="1"/>
  <c r="R57" i="25" a="1"/>
  <c r="R57" i="25" s="1"/>
  <c r="R58" i="25" a="1"/>
  <c r="R58" i="25" s="1"/>
  <c r="R59" i="25" a="1"/>
  <c r="R59" i="25" s="1"/>
  <c r="R60" i="25" a="1"/>
  <c r="R60" i="25" s="1"/>
  <c r="R61" i="25" a="1"/>
  <c r="R61" i="25" s="1"/>
  <c r="R62" i="25" a="1"/>
  <c r="R62" i="25" s="1"/>
  <c r="R63" i="25" a="1"/>
  <c r="R63" i="25" s="1"/>
  <c r="R64" i="25" a="1"/>
  <c r="R64" i="25" s="1"/>
  <c r="R65" i="25" a="1"/>
  <c r="R65" i="25" s="1"/>
  <c r="R66" i="25" a="1"/>
  <c r="R66" i="25" s="1"/>
  <c r="R67" i="25" a="1"/>
  <c r="R67" i="25" s="1"/>
  <c r="R68" i="25" a="1"/>
  <c r="R68" i="25" s="1"/>
  <c r="R69" i="25" a="1"/>
  <c r="R69" i="25" s="1"/>
  <c r="R70" i="25" a="1"/>
  <c r="R70" i="25" s="1"/>
  <c r="R71" i="25" a="1"/>
  <c r="R71" i="25" s="1"/>
  <c r="R72" i="25" a="1"/>
  <c r="R72" i="25" s="1"/>
  <c r="R73" i="25" a="1"/>
  <c r="R73" i="25" s="1"/>
  <c r="R74" i="25" a="1"/>
  <c r="R74" i="25" s="1"/>
  <c r="R75" i="25" a="1"/>
  <c r="R75" i="25" s="1"/>
  <c r="R76" i="25" a="1"/>
  <c r="R76" i="25" s="1"/>
  <c r="R77" i="25" a="1"/>
  <c r="R77" i="25" s="1"/>
  <c r="R78" i="25" a="1"/>
  <c r="R78" i="25" s="1"/>
  <c r="R79" i="25" a="1"/>
  <c r="R79" i="25" s="1"/>
  <c r="R80" i="25" a="1"/>
  <c r="R80" i="25" s="1"/>
  <c r="R81" i="25" a="1"/>
  <c r="R81" i="25" s="1"/>
  <c r="R82" i="25" a="1"/>
  <c r="R82" i="25" s="1"/>
  <c r="R83" i="25" a="1"/>
  <c r="R83" i="25" s="1"/>
  <c r="R84" i="25" a="1"/>
  <c r="R84" i="25" s="1"/>
  <c r="R85" i="25" a="1"/>
  <c r="R85" i="25" s="1"/>
  <c r="R86" i="25" a="1"/>
  <c r="R86" i="25" s="1"/>
  <c r="R87" i="25" a="1"/>
  <c r="R87" i="25" s="1"/>
  <c r="R88" i="25" a="1"/>
  <c r="R88" i="25" s="1"/>
  <c r="R89" i="25" a="1"/>
  <c r="R89" i="25" s="1"/>
  <c r="R90" i="25" a="1"/>
  <c r="R90" i="25" s="1"/>
  <c r="R91" i="25" a="1"/>
  <c r="R91" i="25" s="1"/>
  <c r="R92" i="25" a="1"/>
  <c r="R92" i="25" s="1"/>
  <c r="R93" i="25" a="1"/>
  <c r="R93" i="25" s="1"/>
  <c r="R94" i="25" a="1"/>
  <c r="R94" i="25" s="1"/>
  <c r="R95" i="25" a="1"/>
  <c r="R95" i="25" s="1"/>
  <c r="R96" i="25" a="1"/>
  <c r="R96" i="25" s="1"/>
  <c r="R97" i="25" a="1"/>
  <c r="R97" i="25" s="1"/>
  <c r="R98" i="25" a="1"/>
  <c r="R98" i="25" s="1"/>
  <c r="R99" i="25" a="1"/>
  <c r="R99" i="25" s="1"/>
  <c r="R100" i="25" a="1"/>
  <c r="R100" i="25" s="1"/>
  <c r="R101" i="25" a="1"/>
  <c r="R101" i="25" s="1"/>
  <c r="R102" i="25" a="1"/>
  <c r="R102" i="25" s="1"/>
  <c r="R103" i="25" a="1"/>
  <c r="R103" i="25" s="1"/>
  <c r="R104" i="25" a="1"/>
  <c r="R104" i="25" s="1"/>
  <c r="R105" i="25" a="1"/>
  <c r="R105" i="25" s="1"/>
  <c r="R106" i="25" a="1"/>
  <c r="R106" i="25" s="1"/>
  <c r="R107" i="25" a="1"/>
  <c r="R107" i="25" s="1"/>
  <c r="R108" i="25" a="1"/>
  <c r="R108" i="25" s="1"/>
  <c r="R109" i="25" a="1"/>
  <c r="R109" i="25" s="1"/>
  <c r="R110" i="25" a="1"/>
  <c r="R110" i="25" s="1"/>
  <c r="R111" i="25" a="1"/>
  <c r="R111" i="25" s="1"/>
  <c r="R112" i="25" a="1"/>
  <c r="R112" i="25" s="1"/>
  <c r="R113" i="25" a="1"/>
  <c r="R113" i="25" s="1"/>
  <c r="R114" i="25" a="1"/>
  <c r="R114" i="25" s="1"/>
  <c r="R115" i="25" a="1"/>
  <c r="R115" i="25" s="1"/>
  <c r="R116" i="25" a="1"/>
  <c r="R116" i="25" s="1"/>
  <c r="R117" i="25" a="1"/>
  <c r="R117" i="25" s="1"/>
  <c r="R118" i="25" a="1"/>
  <c r="R118" i="25" s="1"/>
  <c r="R119" i="25" a="1"/>
  <c r="R119" i="25" s="1"/>
  <c r="R120" i="25" a="1"/>
  <c r="R120" i="25" s="1"/>
  <c r="R121" i="25" a="1"/>
  <c r="R121" i="25" s="1"/>
  <c r="R122" i="25" a="1"/>
  <c r="R122" i="25" s="1"/>
  <c r="R123" i="25" a="1"/>
  <c r="R123" i="25" s="1"/>
  <c r="R124" i="25" a="1"/>
  <c r="R124" i="25" s="1"/>
  <c r="R125" i="25" a="1"/>
  <c r="R125" i="25" s="1"/>
  <c r="R126" i="25" a="1"/>
  <c r="R126" i="25" s="1"/>
  <c r="R127" i="25" a="1"/>
  <c r="R127" i="25" s="1"/>
  <c r="R128" i="25" a="1"/>
  <c r="R128" i="25" s="1"/>
  <c r="R129" i="25" a="1"/>
  <c r="R129" i="25" s="1"/>
  <c r="R130" i="25" a="1"/>
  <c r="R130" i="25" s="1"/>
  <c r="R131" i="25" a="1"/>
  <c r="R131" i="25" s="1"/>
  <c r="R132" i="25" a="1"/>
  <c r="R132" i="25" s="1"/>
  <c r="R133" i="25" a="1"/>
  <c r="R133" i="25" s="1"/>
  <c r="R134" i="25" a="1"/>
  <c r="R134" i="25" s="1"/>
  <c r="R135" i="25" a="1"/>
  <c r="R135" i="25" s="1"/>
  <c r="R136" i="25" a="1"/>
  <c r="R136" i="25" s="1"/>
  <c r="R137" i="25" a="1"/>
  <c r="R137" i="25" s="1"/>
  <c r="R138" i="25" a="1"/>
  <c r="R138" i="25" s="1"/>
  <c r="R139" i="25" a="1"/>
  <c r="R139" i="25" s="1"/>
  <c r="R140" i="25" a="1"/>
  <c r="R140" i="25" s="1"/>
  <c r="R141" i="25" a="1"/>
  <c r="R141" i="25" s="1"/>
  <c r="R142" i="25" a="1"/>
  <c r="R142" i="25" s="1"/>
  <c r="R143" i="25" a="1"/>
  <c r="R143" i="25" s="1"/>
  <c r="R144" i="25" a="1"/>
  <c r="R144" i="25" s="1"/>
  <c r="R145" i="25" a="1"/>
  <c r="R145" i="25" s="1"/>
  <c r="R146" i="25" a="1"/>
  <c r="R146" i="25" s="1"/>
  <c r="R147" i="25" a="1"/>
  <c r="R147" i="25" s="1"/>
  <c r="R148" i="25" a="1"/>
  <c r="R148" i="25" s="1"/>
  <c r="R149" i="25" a="1"/>
  <c r="R149" i="25" s="1"/>
  <c r="R150" i="25" a="1"/>
  <c r="R150" i="25" s="1"/>
  <c r="R151" i="25" a="1"/>
  <c r="R151" i="25" s="1"/>
  <c r="R152" i="25" a="1"/>
  <c r="R152" i="25" s="1"/>
  <c r="R153" i="25" a="1"/>
  <c r="R153" i="25" s="1"/>
  <c r="R154" i="25" a="1"/>
  <c r="R154" i="25" s="1"/>
  <c r="R155" i="25" a="1"/>
  <c r="R155" i="25" s="1"/>
  <c r="R156" i="25" a="1"/>
  <c r="R156" i="25" s="1"/>
  <c r="R157" i="25" a="1"/>
  <c r="R157" i="25" s="1"/>
  <c r="R158" i="25" a="1"/>
  <c r="R158" i="25" s="1"/>
  <c r="R159" i="25" a="1"/>
  <c r="R159" i="25" s="1"/>
  <c r="R160" i="25" a="1"/>
  <c r="R160" i="25" s="1"/>
  <c r="R161" i="25" a="1"/>
  <c r="R161" i="25" s="1"/>
  <c r="R162" i="25" a="1"/>
  <c r="R162" i="25" s="1"/>
  <c r="R163" i="25" a="1"/>
  <c r="R163" i="25" s="1"/>
  <c r="R164" i="25" a="1"/>
  <c r="R164" i="25" s="1"/>
  <c r="R165" i="25" a="1"/>
  <c r="R165" i="25" s="1"/>
  <c r="R166" i="25" a="1"/>
  <c r="R166" i="25" s="1"/>
  <c r="R167" i="25" a="1"/>
  <c r="R167" i="25" s="1"/>
  <c r="R168" i="25" a="1"/>
  <c r="R168" i="25" s="1"/>
  <c r="R169" i="25" a="1"/>
  <c r="R169" i="25" s="1"/>
  <c r="R170" i="25" a="1"/>
  <c r="R170" i="25" s="1"/>
  <c r="R171" i="25" a="1"/>
  <c r="R171" i="25" s="1"/>
  <c r="R172" i="25" a="1"/>
  <c r="R172" i="25" s="1"/>
  <c r="R173" i="25" a="1"/>
  <c r="R173" i="25" s="1"/>
  <c r="R174" i="25" a="1"/>
  <c r="R174" i="25" s="1"/>
  <c r="R175" i="25" a="1"/>
  <c r="R175" i="25" s="1"/>
  <c r="R176" i="25" a="1"/>
  <c r="R176" i="25" s="1"/>
  <c r="R177" i="25" a="1"/>
  <c r="R177" i="25" s="1"/>
  <c r="R178" i="25" a="1"/>
  <c r="R178" i="25" s="1"/>
  <c r="R179" i="25" a="1"/>
  <c r="R179" i="25" s="1"/>
  <c r="R180" i="25" a="1"/>
  <c r="R180" i="25" s="1"/>
  <c r="R181" i="25" a="1"/>
  <c r="R181" i="25" s="1"/>
  <c r="R182" i="25" a="1"/>
  <c r="R182" i="25" s="1"/>
  <c r="R183" i="25" a="1"/>
  <c r="R183" i="25" s="1"/>
  <c r="R184" i="25" a="1"/>
  <c r="R184" i="25" s="1"/>
  <c r="R185" i="25" a="1"/>
  <c r="R185" i="25" s="1"/>
  <c r="R186" i="25" a="1"/>
  <c r="R186" i="25" s="1"/>
  <c r="R187" i="25" a="1"/>
  <c r="R187" i="25" s="1"/>
  <c r="R188" i="25" a="1"/>
  <c r="R188" i="25" s="1"/>
  <c r="R189" i="25" a="1"/>
  <c r="R189" i="25" s="1"/>
  <c r="R190" i="25" a="1"/>
  <c r="R190" i="25" s="1"/>
  <c r="R191" i="25" a="1"/>
  <c r="R191" i="25" s="1"/>
  <c r="R192" i="25" a="1"/>
  <c r="R192" i="25" s="1"/>
  <c r="R193" i="25" a="1"/>
  <c r="R193" i="25" s="1"/>
  <c r="R194" i="25" a="1"/>
  <c r="R194" i="25" s="1"/>
  <c r="R195" i="25" a="1"/>
  <c r="R195" i="25" s="1"/>
  <c r="R196" i="25" a="1"/>
  <c r="R196" i="25" s="1"/>
  <c r="R197" i="25" a="1"/>
  <c r="R197" i="25" s="1"/>
  <c r="R198" i="25" a="1"/>
  <c r="R198" i="25" s="1"/>
  <c r="R199" i="25" a="1"/>
  <c r="R199" i="25" s="1"/>
  <c r="R200" i="25" a="1"/>
  <c r="R200" i="25" s="1"/>
  <c r="R201" i="25" a="1"/>
  <c r="R201" i="25" s="1"/>
  <c r="R202" i="25" a="1"/>
  <c r="R202" i="25" s="1"/>
  <c r="R203" i="25" a="1"/>
  <c r="R203" i="25" s="1"/>
  <c r="R204" i="25" a="1"/>
  <c r="R204" i="25" s="1"/>
  <c r="R205" i="25" a="1"/>
  <c r="R205" i="25" s="1"/>
  <c r="R206" i="25" a="1"/>
  <c r="R206" i="25" s="1"/>
  <c r="AJ23" i="4" l="1" a="1"/>
  <c r="AJ23" i="4" s="1"/>
  <c r="CT7" i="4"/>
  <c r="CT4" i="4"/>
  <c r="CU4" i="4" s="1"/>
  <c r="CT9" i="4"/>
  <c r="CT8" i="4"/>
  <c r="C8" i="4"/>
  <c r="CT6" i="4"/>
  <c r="CT5" i="4"/>
  <c r="B12" i="4"/>
  <c r="B11" i="4"/>
  <c r="B10" i="4"/>
  <c r="B9" i="4"/>
  <c r="C5" i="4"/>
  <c r="C4" i="4"/>
  <c r="P4" i="25"/>
  <c r="P5" i="25"/>
  <c r="P6" i="25"/>
  <c r="P173" i="25"/>
  <c r="P147" i="25"/>
  <c r="P182" i="25"/>
  <c r="P132" i="25"/>
  <c r="P204" i="25"/>
  <c r="P88" i="25"/>
  <c r="P128" i="25"/>
  <c r="P55" i="25"/>
  <c r="P37" i="25"/>
  <c r="P150" i="25"/>
  <c r="P38" i="25"/>
  <c r="P200" i="25"/>
  <c r="P161" i="25"/>
  <c r="P68" i="25"/>
  <c r="P44" i="25"/>
  <c r="P23" i="25"/>
  <c r="P39" i="25"/>
  <c r="P171" i="25"/>
  <c r="P115" i="25"/>
  <c r="P111" i="25"/>
  <c r="P25" i="25"/>
  <c r="P54" i="25"/>
  <c r="P137" i="25"/>
  <c r="P10" i="25"/>
  <c r="P185" i="25"/>
  <c r="P58" i="25"/>
  <c r="P197" i="25"/>
  <c r="P117" i="25"/>
  <c r="P107" i="25"/>
  <c r="P59" i="25"/>
  <c r="P104" i="25"/>
  <c r="P201" i="25"/>
  <c r="P202" i="25"/>
  <c r="P165" i="25"/>
  <c r="P66" i="25"/>
  <c r="P189" i="25"/>
  <c r="P92" i="25"/>
  <c r="P35" i="25"/>
  <c r="P134" i="25"/>
  <c r="P95" i="25"/>
  <c r="P105" i="25"/>
  <c r="P119" i="25"/>
  <c r="P78" i="25"/>
  <c r="P69" i="25"/>
  <c r="P96" i="25"/>
  <c r="P121" i="25"/>
  <c r="P153" i="25"/>
  <c r="P126" i="25"/>
  <c r="P85" i="25"/>
  <c r="P20" i="25"/>
  <c r="P163" i="25"/>
  <c r="P28" i="25"/>
  <c r="P62" i="25"/>
  <c r="P125" i="25"/>
  <c r="P106" i="25"/>
  <c r="P15" i="25"/>
  <c r="P12" i="25"/>
  <c r="P99" i="25"/>
  <c r="P140" i="25"/>
  <c r="P141" i="25"/>
  <c r="P71" i="25"/>
  <c r="P180" i="25"/>
  <c r="P63" i="25"/>
  <c r="P100" i="25"/>
  <c r="P108" i="25"/>
  <c r="P19" i="25"/>
  <c r="P101" i="25"/>
  <c r="P21" i="25"/>
  <c r="P139" i="25"/>
  <c r="P142" i="25"/>
  <c r="P8" i="25"/>
  <c r="P164" i="25"/>
  <c r="P89" i="25"/>
  <c r="P33" i="25"/>
  <c r="P91" i="25"/>
  <c r="P51" i="25"/>
  <c r="P80" i="25"/>
  <c r="P112" i="25"/>
  <c r="P146" i="25"/>
  <c r="P46" i="25"/>
  <c r="P135" i="25"/>
  <c r="P184" i="25"/>
  <c r="P186" i="25"/>
  <c r="P166" i="25"/>
  <c r="P86" i="25"/>
  <c r="P102" i="25"/>
  <c r="P36" i="25"/>
  <c r="P103" i="25"/>
  <c r="P169" i="25"/>
  <c r="P192" i="25"/>
  <c r="P158" i="25"/>
  <c r="P127" i="25"/>
  <c r="P157" i="25"/>
  <c r="P32" i="25"/>
  <c r="P144" i="25"/>
  <c r="P90" i="25"/>
  <c r="P73" i="25"/>
  <c r="P72" i="25"/>
  <c r="P123" i="25"/>
  <c r="P64" i="25"/>
  <c r="P145" i="25"/>
  <c r="P143" i="25"/>
  <c r="P75" i="25"/>
  <c r="P122" i="25"/>
  <c r="P79" i="25"/>
  <c r="P114" i="25"/>
  <c r="P120" i="25"/>
  <c r="P131" i="25"/>
  <c r="P87" i="25"/>
  <c r="P172" i="25"/>
  <c r="P116" i="25"/>
  <c r="P9" i="25"/>
  <c r="P65" i="25"/>
  <c r="P97" i="25"/>
  <c r="P133" i="25"/>
  <c r="P156" i="25"/>
  <c r="P70" i="25"/>
  <c r="P170" i="25"/>
  <c r="P118" i="25"/>
  <c r="P47" i="25"/>
  <c r="P13" i="25"/>
  <c r="P74" i="25"/>
  <c r="P77" i="25"/>
  <c r="P174" i="25"/>
  <c r="P191" i="25"/>
  <c r="P179" i="25"/>
  <c r="P98" i="25"/>
  <c r="P190" i="25"/>
  <c r="P136" i="25"/>
  <c r="P41" i="25"/>
  <c r="P124" i="25"/>
  <c r="P178" i="25"/>
  <c r="P148" i="25"/>
  <c r="P196" i="25"/>
  <c r="P193" i="25"/>
  <c r="P198" i="25"/>
  <c r="P187" i="25"/>
  <c r="P50" i="25"/>
  <c r="P113" i="25"/>
  <c r="P67" i="25"/>
  <c r="P18" i="25"/>
  <c r="P17" i="25"/>
  <c r="P26" i="25"/>
  <c r="P155" i="25"/>
  <c r="P57" i="25"/>
  <c r="P81" i="25"/>
  <c r="P60" i="25"/>
  <c r="P31" i="25"/>
  <c r="P82" i="25"/>
  <c r="P2" i="25"/>
  <c r="P56" i="25"/>
  <c r="P177" i="25"/>
  <c r="P30" i="25"/>
  <c r="P49" i="25"/>
  <c r="P194" i="25"/>
  <c r="P175" i="25"/>
  <c r="P130" i="25"/>
  <c r="P176" i="25"/>
  <c r="P34" i="25"/>
  <c r="P76" i="25"/>
  <c r="P16" i="25"/>
  <c r="P43" i="25"/>
  <c r="P149" i="25"/>
  <c r="P159" i="25"/>
  <c r="P42" i="25"/>
  <c r="P14" i="25"/>
  <c r="P109" i="25"/>
  <c r="P22" i="25"/>
  <c r="P188" i="25"/>
  <c r="P45" i="25"/>
  <c r="P167" i="25"/>
  <c r="P152" i="25"/>
  <c r="P110" i="25"/>
  <c r="P203" i="25"/>
  <c r="P27" i="25"/>
  <c r="P93" i="25"/>
  <c r="P168" i="25"/>
  <c r="P84" i="25"/>
  <c r="P24" i="25"/>
  <c r="P129" i="25"/>
  <c r="P94" i="25"/>
  <c r="P29" i="25"/>
  <c r="P154" i="25"/>
  <c r="P61" i="25"/>
  <c r="P40" i="25"/>
  <c r="P48" i="25"/>
  <c r="P162" i="25"/>
  <c r="P138" i="25"/>
  <c r="P52" i="25"/>
  <c r="P199" i="25"/>
  <c r="P83" i="25"/>
  <c r="P53" i="25"/>
  <c r="P160" i="25"/>
  <c r="P7" i="25"/>
  <c r="P151" i="25"/>
  <c r="P183" i="25"/>
  <c r="P181" i="25"/>
  <c r="P205" i="25"/>
  <c r="P195" i="25"/>
  <c r="P11" i="25"/>
  <c r="P3" i="25"/>
  <c r="CM30" i="4"/>
  <c r="CM10" i="4"/>
  <c r="CN6" i="4"/>
  <c r="CN5" i="4"/>
  <c r="CI5" i="4"/>
  <c r="R4" i="19"/>
  <c r="AJ10" i="4" a="1"/>
  <c r="AJ10" i="4" s="1"/>
  <c r="AJ9" i="4" a="1"/>
  <c r="AJ9" i="4" s="1"/>
  <c r="AJ8" i="4" a="1"/>
  <c r="AJ8" i="4" s="1"/>
  <c r="AJ7" i="4" a="1"/>
  <c r="AJ7" i="4" s="1"/>
  <c r="AJ6" i="4" a="1"/>
  <c r="AJ6" i="4" s="1"/>
  <c r="AJ24" i="4" a="1"/>
  <c r="AJ24" i="4" s="1"/>
  <c r="AJ25" i="4" a="1"/>
  <c r="AJ25" i="4" s="1"/>
  <c r="AJ26" i="4" a="1"/>
  <c r="AJ26" i="4" s="1"/>
  <c r="AJ27" i="4" a="1"/>
  <c r="AJ27" i="4" s="1"/>
  <c r="AJ16" i="4" a="1"/>
  <c r="AJ16" i="4" s="1"/>
  <c r="AJ17" i="4" a="1"/>
  <c r="AJ17" i="4" s="1"/>
  <c r="AJ18" i="4" a="1"/>
  <c r="AJ18" i="4" s="1"/>
  <c r="AJ19" i="4" a="1"/>
  <c r="AJ19" i="4" s="1"/>
  <c r="AJ15" i="4" a="1"/>
  <c r="AJ15" i="4" s="1"/>
  <c r="P207" i="25" l="1"/>
  <c r="AM27" i="4"/>
  <c r="AL27" i="4"/>
  <c r="AK27" i="4"/>
  <c r="AM26" i="4"/>
  <c r="AL26" i="4"/>
  <c r="AK26" i="4"/>
  <c r="AM25" i="4"/>
  <c r="AL25" i="4"/>
  <c r="AK25" i="4"/>
  <c r="AM19" i="4"/>
  <c r="AL19" i="4"/>
  <c r="AK19" i="4"/>
  <c r="AM18" i="4"/>
  <c r="AL18" i="4"/>
  <c r="AK18" i="4"/>
  <c r="AM17" i="4"/>
  <c r="AL17" i="4"/>
  <c r="AK17" i="4"/>
  <c r="AM16" i="4"/>
  <c r="AL16" i="4"/>
  <c r="AK16" i="4"/>
  <c r="AM15" i="4"/>
  <c r="AL15" i="4"/>
  <c r="AK15" i="4"/>
  <c r="AM10" i="4"/>
  <c r="AL10" i="4"/>
  <c r="AK10" i="4"/>
  <c r="AM9" i="4"/>
  <c r="AL9" i="4"/>
  <c r="AK9" i="4"/>
  <c r="AM8" i="4"/>
  <c r="AL8" i="4"/>
  <c r="AK8" i="4"/>
  <c r="AM7" i="4"/>
  <c r="AL7" i="4"/>
  <c r="AK7" i="4"/>
  <c r="AM6" i="4"/>
  <c r="AL6" i="4"/>
  <c r="AK6"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1C91FB0-2F6C-454B-9D3E-CA4624EEF7A9}"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2" xr16:uid="{46F307B9-AE36-4A3B-BB60-B522A10E8B39}" keepAlive="1" name="Query - Table1_2" description="Connection to the 'Table1_2' query in the workbook." type="5" refreshedVersion="8" background="1" saveData="1">
    <dbPr connection="Provider=Microsoft.Mashup.OleDb.1;Data Source=$Workbook$;Location=Table1_2;Extended Properties=&quot;&quot;" command="SELECT * FROM [Table1_2]"/>
  </connection>
  <connection id="3" xr16:uid="{89680D04-4E27-43D4-84AF-6A09D385D287}" keepAlive="1" name="Query - Table1_3" description="Connection to the 'Table1_3' query in the workbook." type="5" refreshedVersion="0" background="1">
    <dbPr connection="Provider=Microsoft.Mashup.OleDb.1;Data Source=$Workbook$;Location=Table1_3;Extended Properties=&quot;&quot;" command="SELECT * FROM [Table1_3]"/>
  </connection>
  <connection id="4" xr16:uid="{484DA7A6-DA71-4B59-B204-C247A1CCA857}" keepAlive="1" name="Query - Table1_3__2" description="Connection to the 'Table1_3__2' query in the workbook." type="5" refreshedVersion="8" background="1" saveData="1">
    <dbPr connection="Provider=Microsoft.Mashup.OleDb.1;Data Source=$Workbook$;Location=Table1_3__2;Extended Properties=&quot;&quot;" command="SELECT * FROM [Table1_3__2]"/>
  </connection>
  <connection id="5" xr16:uid="{72E843A8-8FA2-44CC-A241-8060D0E11501}" keepAlive="1" name="Query - Table1_3__2 (2)" description="Connection to the 'Table1_3__2 (2)' query in the workbook." type="5" refreshedVersion="8" background="1" saveData="1">
    <dbPr connection="Provider=Microsoft.Mashup.OleDb.1;Data Source=$Workbook$;Location=&quot;Table1_3__2 (2)&quot;;Extended Properties=&quot;&quot;" command="SELECT * FROM [Table1_3__2 (2)]"/>
  </connection>
  <connection id="6" xr16:uid="{D9397A18-2B53-4EB0-8984-8F03ED54E2E7}" keepAlive="1" name="Query - Table1_3__3" description="Connection to the 'Table1_3__3' query in the workbook." type="5" refreshedVersion="8" background="1" saveData="1">
    <dbPr connection="Provider=Microsoft.Mashup.OleDb.1;Data Source=$Workbook$;Location=Table1_3__3;Extended Properties=&quot;&quot;" command="SELECT * FROM [Table1_3__3]"/>
  </connection>
  <connection id="7" xr16:uid="{D2F55123-2073-45BB-A73B-B5396C95DDF4}" keepAlive="1" name="Query - Table1_3__3 (10)" description="Connection to the 'Table1_3__3 (10)' query in the workbook." type="5" refreshedVersion="0" background="1">
    <dbPr connection="Provider=Microsoft.Mashup.OleDb.1;Data Source=$Workbook$;Location=&quot;Table1_3__3 (10)&quot;;Extended Properties=&quot;&quot;" command="SELECT * FROM [Table1_3__3 (10)]"/>
  </connection>
  <connection id="8" xr16:uid="{D6DC9544-9803-4FC9-B776-725F59C77399}" keepAlive="1" name="Query - Table1_3__3 (11)" description="Connection to the 'Table1_3__3 (11)' query in the workbook." type="5" refreshedVersion="0" background="1">
    <dbPr connection="Provider=Microsoft.Mashup.OleDb.1;Data Source=$Workbook$;Location=&quot;Table1_3__3 (11)&quot;;Extended Properties=&quot;&quot;" command="SELECT * FROM [Table1_3__3 (11)]"/>
  </connection>
  <connection id="9" xr16:uid="{15A3E250-C4E4-4A2D-8378-DD0C6580EFE3}" keepAlive="1" name="Query - Table1_3__3 (12)" description="Connection to the 'Table1_3__3 (12)' query in the workbook." type="5" refreshedVersion="8" background="1">
    <dbPr connection="Provider=Microsoft.Mashup.OleDb.1;Data Source=$Workbook$;Location=&quot;Table1_3__3 (12)&quot;;Extended Properties=&quot;&quot;" command="SELECT * FROM [Table1_3__3 (12)]"/>
  </connection>
  <connection id="10" xr16:uid="{0AEDCF17-E62E-4C28-8653-796B70E7511E}" keepAlive="1" name="Query - Table1_3__3 (14)" description="Connection to the 'Table1_3__3 (14)' query in the workbook." type="5" refreshedVersion="8" background="1">
    <dbPr connection="Provider=Microsoft.Mashup.OleDb.1;Data Source=$Workbook$;Location=&quot;Table1_3__3 (14)&quot;;Extended Properties=&quot;&quot;" command="SELECT * FROM [Table1_3__3 (14)]"/>
  </connection>
  <connection id="11" xr16:uid="{81FE2364-B785-4741-85BB-863273E6C95E}" keepAlive="1" name="Query - Table1_3__3 (2)" description="Connection to the 'Table1_3__3 (2)' query in the workbook." type="5" refreshedVersion="8" background="1" saveData="1">
    <dbPr connection="Provider=Microsoft.Mashup.OleDb.1;Data Source=$Workbook$;Location=&quot;Table1_3__3 (2)&quot;;Extended Properties=&quot;&quot;" command="SELECT * FROM [Table1_3__3 (2)]"/>
  </connection>
  <connection id="12" xr16:uid="{C6B84FAA-C71D-4008-9A4B-A1D3791C024F}" keepAlive="1" name="Query - Table1_3__3 (3)" description="Connection to the 'Table1_3__3 (3)' query in the workbook." type="5" refreshedVersion="8" background="1" saveData="1">
    <dbPr connection="Provider=Microsoft.Mashup.OleDb.1;Data Source=$Workbook$;Location=&quot;Table1_3__3 (3)&quot;;Extended Properties=&quot;&quot;" command="SELECT * FROM [Table1_3__3 (3)]"/>
  </connection>
  <connection id="13" xr16:uid="{0689C9AE-8052-4A84-9D37-647338A7AFE8}" keepAlive="1" name="Query - Table1_3__3 (4)" description="Connection to the 'Table1_3__3 (4)' query in the workbook." type="5" refreshedVersion="8" background="1" saveData="1">
    <dbPr connection="Provider=Microsoft.Mashup.OleDb.1;Data Source=$Workbook$;Location=&quot;Table1_3__3 (4)&quot;;Extended Properties=&quot;&quot;" command="SELECT * FROM [Table1_3__3 (4)]"/>
  </connection>
  <connection id="14" xr16:uid="{767F2AB9-4DB4-4EA4-91ED-25954E52FB83}" keepAlive="1" name="Query - Table1_3__3 (5)" description="Connection to the 'Table1_3__3 (5)' query in the workbook." type="5" refreshedVersion="8" background="1" saveData="1">
    <dbPr connection="Provider=Microsoft.Mashup.OleDb.1;Data Source=$Workbook$;Location=&quot;Table1_3__3 (5)&quot;;Extended Properties=&quot;&quot;" command="SELECT * FROM [Table1_3__3 (5)]"/>
  </connection>
  <connection id="15" xr16:uid="{6D3EC7D5-E5BC-461B-BF0C-176A78D39078}" keepAlive="1" name="Query - Table1_3__3 (6)" description="Connection to the 'Table1_3__3 (6)' query in the workbook." type="5" refreshedVersion="8" background="1" saveData="1">
    <dbPr connection="Provider=Microsoft.Mashup.OleDb.1;Data Source=$Workbook$;Location=&quot;Table1_3__3 (6)&quot;;Extended Properties=&quot;&quot;" command="SELECT * FROM [Table1_3__3 (6)]"/>
  </connection>
  <connection id="16" xr16:uid="{802458F8-CC8D-449B-92B0-5657D1768C35}" keepAlive="1" name="Query - Table1_3__3 (7)" description="Connection to the 'Table1_3__3 (7)' query in the workbook." type="5" refreshedVersion="8" background="1" saveData="1">
    <dbPr connection="Provider=Microsoft.Mashup.OleDb.1;Data Source=$Workbook$;Location=&quot;Table1_3__3 (7)&quot;;Extended Properties=&quot;&quot;" command="SELECT * FROM [Table1_3__3 (7)]"/>
  </connection>
  <connection id="17" xr16:uid="{18458C10-2C85-467A-9A23-93B67E0012A3}" keepAlive="1" name="Query - Table1_3__3 (8)" description="Connection to the 'Table1_3__3 (8)' query in the workbook." type="5" refreshedVersion="0" background="1">
    <dbPr connection="Provider=Microsoft.Mashup.OleDb.1;Data Source=$Workbook$;Location=&quot;Table1_3__3 (8)&quot;;Extended Properties=&quot;&quot;" command="SELECT * FROM [Table1_3__3 (8)]"/>
  </connection>
  <connection id="18" xr16:uid="{52EEE851-7871-430A-909A-2E2795F99B06}" keepAlive="1" name="Query - Table1_3__3 (9)" description="Connection to the 'Table1_3__3 (9)' query in the workbook." type="5" refreshedVersion="8" background="1" saveData="1">
    <dbPr connection="Provider=Microsoft.Mashup.OleDb.1;Data Source=$Workbook$;Location=&quot;Table1_3__3 (9)&quot;;Extended Properties=&quot;&quot;" command="SELECT * FROM [Table1_3__3 (9)]"/>
  </connection>
  <connection id="19" xr16:uid="{39625371-CB48-40A9-9142-D6183E0D2E76}" keepAlive="1" name="Query - Table1_3__3__3" description="Connection to the 'Table1_3__3__3' query in the workbook." type="5" refreshedVersion="8" background="1" saveData="1">
    <dbPr connection="Provider=Microsoft.Mashup.OleDb.1;Data Source=$Workbook$;Location=Table1_3__3__3;Extended Properties=&quot;&quot;" command="SELECT * FROM [Table1_3__3__3]"/>
  </connection>
  <connection id="20" xr16:uid="{B55FE05D-4014-4790-AF5A-6837DE043CFF}" keepAlive="1" name="Query - Table1_3__3__3 (2)" description="Connection to the 'Table1_3__3__3 (2)' query in the workbook." type="5" refreshedVersion="0" background="1">
    <dbPr connection="Provider=Microsoft.Mashup.OleDb.1;Data Source=$Workbook$;Location=&quot;Table1_3__3__3 (2)&quot;;Extended Properties=&quot;&quot;" command="SELECT * FROM [Table1_3__3__3 (2)]"/>
  </connection>
  <connection id="21" xr16:uid="{7F7F5A15-FAAA-4056-B583-8C9AB69656FC}" keepAlive="1" name="Query - Table1_3__3__9" description="Connection to the 'Table1_3__3__9' query in the workbook." type="5" refreshedVersion="8" background="1" saveData="1">
    <dbPr connection="Provider=Microsoft.Mashup.OleDb.1;Data Source=$Workbook$;Location=Table1_3__3__9;Extended Properties=&quot;&quot;" command="SELECT * FROM [Table1_3__3__9]"/>
  </connection>
  <connection id="22" xr16:uid="{7C919BD0-0225-446D-809C-340A9B1E498D}" keepAlive="1" name="Query - Table1_3__3__9 (2)" description="Connection to the 'Table1_3__3__9 (2)' query in the workbook." type="5" refreshedVersion="8" background="1" saveData="1">
    <dbPr connection="Provider=Microsoft.Mashup.OleDb.1;Data Source=$Workbook$;Location=&quot;Table1_3__3__9 (2)&quot;;Extended Properties=&quot;&quot;" command="SELECT * FROM [Table1_3__3__9 (2)]"/>
  </connection>
  <connection id="23" xr16:uid="{CEDDFD21-707D-4021-9C4B-99B18F2EF72D}" keepAlive="1" name="Query - Table1_3__34" description="Connection to the 'Table1_3__34' query in the workbook." type="5" refreshedVersion="8" background="1" saveData="1">
    <dbPr connection="Provider=Microsoft.Mashup.OleDb.1;Data Source=$Workbook$;Location=Table1_3__34;Extended Properties=&quot;&quot;" command="SELECT * FROM [Table1_3__34]"/>
  </connection>
  <connection id="24" xr16:uid="{721885CE-0F40-4B2E-AA01-4A963A463296}" keepAlive="1" name="Query - Table1_3__4" description="Connection to the 'Table1_3__4' query in the workbook." type="5" refreshedVersion="0" background="1">
    <dbPr connection="Provider=Microsoft.Mashup.OleDb.1;Data Source=$Workbook$;Location=Table1_3__4;Extended Properties=&quot;&quot;" command="SELECT * FROM [Table1_3__4]"/>
  </connection>
</connection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<sst xmlns="http://schemas.openxmlformats.org/spreadsheetml/2006/main" count="12314" uniqueCount="783">
  <si>
    <t>Serial Number</t>
  </si>
  <si>
    <t>Date Recorded</t>
  </si>
  <si>
    <t>Town</t>
  </si>
  <si>
    <t>Address</t>
  </si>
  <si>
    <t>Assessed Value</t>
  </si>
  <si>
    <t>Sale Amount</t>
  </si>
  <si>
    <t>Sales Ratio</t>
  </si>
  <si>
    <t>Property Type</t>
  </si>
  <si>
    <t>Ansonia</t>
  </si>
  <si>
    <t>230 WAKELEE AVE</t>
  </si>
  <si>
    <t>Commercial</t>
  </si>
  <si>
    <t>Ashford</t>
  </si>
  <si>
    <t>390 TURNPIKE RD</t>
  </si>
  <si>
    <t>Residential</t>
  </si>
  <si>
    <t>Avon</t>
  </si>
  <si>
    <t>5 CHESTNUT DRIVE</t>
  </si>
  <si>
    <t>Condo</t>
  </si>
  <si>
    <t>70 FAR HILLS DRIVE</t>
  </si>
  <si>
    <t>57 FAR HILLS DRIVE</t>
  </si>
  <si>
    <t>Berlin</t>
  </si>
  <si>
    <t>1539 FARMINGTON AVE</t>
  </si>
  <si>
    <t>Bethany</t>
  </si>
  <si>
    <t>23 AMITY RD</t>
  </si>
  <si>
    <t>Bethel</t>
  </si>
  <si>
    <t>16 DEEPWOOD DRIVE</t>
  </si>
  <si>
    <t>Bethlehem</t>
  </si>
  <si>
    <t>39 WOODLAND RD</t>
  </si>
  <si>
    <t>Bloomfield</t>
  </si>
  <si>
    <t>9 SADDLE RIDGE</t>
  </si>
  <si>
    <t>Branford</t>
  </si>
  <si>
    <t>34 SUNRISE COVE CAMP</t>
  </si>
  <si>
    <t>119 MONTOWESE ST</t>
  </si>
  <si>
    <t>Bristol</t>
  </si>
  <si>
    <t>9 LESLIE COURT</t>
  </si>
  <si>
    <t>391 TIFFANY LA</t>
  </si>
  <si>
    <t>25 WARD ST</t>
  </si>
  <si>
    <t>8 JENNINGS TERR</t>
  </si>
  <si>
    <t>Brookfield</t>
  </si>
  <si>
    <t>4 CHELSEA CT</t>
  </si>
  <si>
    <t>72 HOMESTEAD LN</t>
  </si>
  <si>
    <t>93 MAIN ST</t>
  </si>
  <si>
    <t>Canton</t>
  </si>
  <si>
    <t>52 COUNTRY LANE</t>
  </si>
  <si>
    <t>Cheshire</t>
  </si>
  <si>
    <t>50 ABBEY CT</t>
  </si>
  <si>
    <t>844 HIGHLAND AVE</t>
  </si>
  <si>
    <t>Chester</t>
  </si>
  <si>
    <t>6 SUNSET AVE</t>
  </si>
  <si>
    <t>Colchester</t>
  </si>
  <si>
    <t>160 SHADBUSH DR</t>
  </si>
  <si>
    <t>Cornwall</t>
  </si>
  <si>
    <t>131 KENT RD</t>
  </si>
  <si>
    <t>Coventry</t>
  </si>
  <si>
    <t>74 LAKEVIEW DR</t>
  </si>
  <si>
    <t>Cromwell</t>
  </si>
  <si>
    <t>6 BELHAVEN</t>
  </si>
  <si>
    <t>Danbury</t>
  </si>
  <si>
    <t>17 OHEHYAHTAH PL</t>
  </si>
  <si>
    <t>86 MERRIMAC ST B</t>
  </si>
  <si>
    <t>15-17 BOUGHTON ST #1-5</t>
  </si>
  <si>
    <t>28 MAIN ST</t>
  </si>
  <si>
    <t>4 COOPER RD</t>
  </si>
  <si>
    <t>25 CROWN ST</t>
  </si>
  <si>
    <t>15 SCUPPO RD 1503</t>
  </si>
  <si>
    <t>Derby</t>
  </si>
  <si>
    <t>196 ELIZABETH ST</t>
  </si>
  <si>
    <t>East Haven</t>
  </si>
  <si>
    <t>130 COE AVE #51</t>
  </si>
  <si>
    <t>Farmington</t>
  </si>
  <si>
    <t>East Lyme</t>
  </si>
  <si>
    <t>8 N EDGEWOOD RD</t>
  </si>
  <si>
    <t>9 FREEDOM WAY</t>
  </si>
  <si>
    <t>3 CARLISE LN</t>
  </si>
  <si>
    <t>Enfield</t>
  </si>
  <si>
    <t>104 BREWSTER RD</t>
  </si>
  <si>
    <t>12 KELLY DR</t>
  </si>
  <si>
    <t>106 RAFFIA RD</t>
  </si>
  <si>
    <t>Essex</t>
  </si>
  <si>
    <t>35 DEER LA</t>
  </si>
  <si>
    <t>15 MALS WAY</t>
  </si>
  <si>
    <t>130 BIRDSEYE RD</t>
  </si>
  <si>
    <t>Franklin</t>
  </si>
  <si>
    <t>888 ROUTE 32</t>
  </si>
  <si>
    <t>Glastonbury</t>
  </si>
  <si>
    <t>Hamden</t>
  </si>
  <si>
    <t>Greenwich</t>
  </si>
  <si>
    <t>11 BAYBERRY LANE</t>
  </si>
  <si>
    <t>552 RIVER ROAD</t>
  </si>
  <si>
    <t>20 EAST LYON FARM DRIVE</t>
  </si>
  <si>
    <t>130 NORTH WATER STREET</t>
  </si>
  <si>
    <t>Griswold</t>
  </si>
  <si>
    <t>22 CROSS RD</t>
  </si>
  <si>
    <t>Groton</t>
  </si>
  <si>
    <t>67 LEAFWOOD LN S250</t>
  </si>
  <si>
    <t>4 TYLER AVE</t>
  </si>
  <si>
    <t>98 EAST SHORE AVE</t>
  </si>
  <si>
    <t>Guilford</t>
  </si>
  <si>
    <t>30 GRANITE RD</t>
  </si>
  <si>
    <t>Hartford</t>
  </si>
  <si>
    <t>1301 MAIN ST</t>
  </si>
  <si>
    <t>26 BRANFORD ST</t>
  </si>
  <si>
    <t>55 STERLING ST</t>
  </si>
  <si>
    <t>3371 MAIN ST</t>
  </si>
  <si>
    <t>Apartments</t>
  </si>
  <si>
    <t>410 MARKET ST</t>
  </si>
  <si>
    <t>20 GIDDINGS ST</t>
  </si>
  <si>
    <t>Harwinton</t>
  </si>
  <si>
    <t>167 BIRGE PARK RD</t>
  </si>
  <si>
    <t>Milford</t>
  </si>
  <si>
    <t>Killingly</t>
  </si>
  <si>
    <t>152 NORTH ST</t>
  </si>
  <si>
    <t>Killingworth</t>
  </si>
  <si>
    <t>46 TITUS COAN ROAD</t>
  </si>
  <si>
    <t>Lebanon</t>
  </si>
  <si>
    <t>54 FIRST ST</t>
  </si>
  <si>
    <t>Litchfield</t>
  </si>
  <si>
    <t>68 BEACH ST</t>
  </si>
  <si>
    <t>Manchester</t>
  </si>
  <si>
    <t>152 GREEN ROAD</t>
  </si>
  <si>
    <t>Putnam</t>
  </si>
  <si>
    <t>64 MILFORD ROAD</t>
  </si>
  <si>
    <t>200 SHELDON ROAD</t>
  </si>
  <si>
    <t>Norwalk</t>
  </si>
  <si>
    <t>Mansfield</t>
  </si>
  <si>
    <t>156 HILLYNDALE RD</t>
  </si>
  <si>
    <t>Meriden</t>
  </si>
  <si>
    <t>28 STANLEY ST</t>
  </si>
  <si>
    <t>7 CARRIAGE CRSNG</t>
  </si>
  <si>
    <t>5                    2 ROYAL OAK CIR</t>
  </si>
  <si>
    <t>Stratford</t>
  </si>
  <si>
    <t>Roxbury</t>
  </si>
  <si>
    <t>223 REYNOLDS DR</t>
  </si>
  <si>
    <t>41 SUNNY LANE</t>
  </si>
  <si>
    <t>Norwich</t>
  </si>
  <si>
    <t>16 SEABREEZE AVE</t>
  </si>
  <si>
    <t>Sharon</t>
  </si>
  <si>
    <t>Monroe</t>
  </si>
  <si>
    <t>22 MEADOWVIEW TER</t>
  </si>
  <si>
    <t>Tolland</t>
  </si>
  <si>
    <t>Torrington</t>
  </si>
  <si>
    <t>Naugatuck</t>
  </si>
  <si>
    <t>464 MULBERRY ST</t>
  </si>
  <si>
    <t>Ridgefield</t>
  </si>
  <si>
    <t>33 FAIRCHILD ST</t>
  </si>
  <si>
    <t>New London</t>
  </si>
  <si>
    <t>41 ANDERSON ST</t>
  </si>
  <si>
    <t>New Britain</t>
  </si>
  <si>
    <t>32 HIGHLAND TERR</t>
  </si>
  <si>
    <t>150 GOLD ST</t>
  </si>
  <si>
    <t>5 ARCH ST</t>
  </si>
  <si>
    <t>103 LEWIS RD</t>
  </si>
  <si>
    <t>Orange</t>
  </si>
  <si>
    <t>New Canaan</t>
  </si>
  <si>
    <t>116 ROCKY BROOK RD</t>
  </si>
  <si>
    <t>322 MAIN ST</t>
  </si>
  <si>
    <t>New Fairfield</t>
  </si>
  <si>
    <t>10 BROOK DR</t>
  </si>
  <si>
    <t>New Hartford</t>
  </si>
  <si>
    <t>82 NILES ROAD</t>
  </si>
  <si>
    <t>New Haven</t>
  </si>
  <si>
    <t>769 DIXWELL AV</t>
  </si>
  <si>
    <t>44 FRONT ST</t>
  </si>
  <si>
    <t>40 TEMPLE CT # 40</t>
  </si>
  <si>
    <t>889 CONGRESS AV</t>
  </si>
  <si>
    <t>459 BLATCHLEY AV</t>
  </si>
  <si>
    <t>400 BANK ST UNIT 201</t>
  </si>
  <si>
    <t>Newtown</t>
  </si>
  <si>
    <t>16 SILVER BROOK LANE</t>
  </si>
  <si>
    <t>157 HANOVER ROAD</t>
  </si>
  <si>
    <t>3 SHORT HILL ROAD</t>
  </si>
  <si>
    <t>North Haven</t>
  </si>
  <si>
    <t>108 MULHOLLAND WAY</t>
  </si>
  <si>
    <t>29 GREGORY BLVD</t>
  </si>
  <si>
    <t>126 WASHINGTON ST UNIT R203</t>
  </si>
  <si>
    <t>West Haven</t>
  </si>
  <si>
    <t>17 HADIK PKWY</t>
  </si>
  <si>
    <t>188 FLAX HILL RD UNIT B/6</t>
  </si>
  <si>
    <t>287-291 MAIN ST</t>
  </si>
  <si>
    <t>49 WHITE PLAINS RD</t>
  </si>
  <si>
    <t>112-116 MAIN ST</t>
  </si>
  <si>
    <t>Stonington</t>
  </si>
  <si>
    <t>Stamford</t>
  </si>
  <si>
    <t>Newington</t>
  </si>
  <si>
    <t>387 TIMBERLANE DR</t>
  </si>
  <si>
    <t>Plainfield</t>
  </si>
  <si>
    <t>30-32 GREENE AVE</t>
  </si>
  <si>
    <t>404 PLAINFIELD PIKE RD</t>
  </si>
  <si>
    <t>Vernon</t>
  </si>
  <si>
    <t>22 FERNWOOD ST</t>
  </si>
  <si>
    <t>Plainville</t>
  </si>
  <si>
    <t>492 EAST ST B-36</t>
  </si>
  <si>
    <t>Watertown</t>
  </si>
  <si>
    <t>West Hartford</t>
  </si>
  <si>
    <t>Plymouth</t>
  </si>
  <si>
    <t>325 MAIN ST</t>
  </si>
  <si>
    <t>Portland</t>
  </si>
  <si>
    <t>724 GLASTONBURY TPKE</t>
  </si>
  <si>
    <t>Redding</t>
  </si>
  <si>
    <t>241 ETHAN ALLEN HIGHWAY</t>
  </si>
  <si>
    <t>12 CARPENTER CLOSE</t>
  </si>
  <si>
    <t>Rocky Hill</t>
  </si>
  <si>
    <t>402 THE MEWS</t>
  </si>
  <si>
    <t>59 HIGHCREST DRIVE</t>
  </si>
  <si>
    <t>20 CHURCH ST</t>
  </si>
  <si>
    <t>101 MILLERTON RD</t>
  </si>
  <si>
    <t>Winchester</t>
  </si>
  <si>
    <t>Shelton</t>
  </si>
  <si>
    <t>104 MAPLE AVE</t>
  </si>
  <si>
    <t>172-176 CORAM AVE</t>
  </si>
  <si>
    <t>1103 RENAISSANCE</t>
  </si>
  <si>
    <t>Simsbury</t>
  </si>
  <si>
    <t>75 HILLTOP DRIVE</t>
  </si>
  <si>
    <t>108 LIBRARY LANE</t>
  </si>
  <si>
    <t>24 BRETTONWOOD DRIVE</t>
  </si>
  <si>
    <t>2C MILL PONDO LANE</t>
  </si>
  <si>
    <t>Windsor</t>
  </si>
  <si>
    <t>Southbury</t>
  </si>
  <si>
    <t>808 A HERITAGE VILLAGE</t>
  </si>
  <si>
    <t>2005 PURCHASE BROOK RD</t>
  </si>
  <si>
    <t>South Windsor</t>
  </si>
  <si>
    <t>23-D AMATO DR</t>
  </si>
  <si>
    <t>57 HARBOR DRIVE GARAGE G-105B</t>
  </si>
  <si>
    <t>0 SUMMER STREET #116-2A</t>
  </si>
  <si>
    <t>385 ERSKINE ROAD</t>
  </si>
  <si>
    <t>28 VERNON PLACE</t>
  </si>
  <si>
    <t>1156 STILLWATER ROAD</t>
  </si>
  <si>
    <t>18 BUNGALOW PARK</t>
  </si>
  <si>
    <t>52 ORCHARD STREET</t>
  </si>
  <si>
    <t>37 CROSS ROAD</t>
  </si>
  <si>
    <t>56 ETHAN ALLEN LANE</t>
  </si>
  <si>
    <t>61 SEAVIEW AVENUE # 1</t>
  </si>
  <si>
    <t>197 BRIDGE STREET # 3</t>
  </si>
  <si>
    <t>11 LYNAM ROAD</t>
  </si>
  <si>
    <t>34 FIFTH STREET</t>
  </si>
  <si>
    <t>1400 BEDFORD STREET #4</t>
  </si>
  <si>
    <t>Sterling</t>
  </si>
  <si>
    <t>174 CHURCH ST</t>
  </si>
  <si>
    <t>12 CUTTER DR</t>
  </si>
  <si>
    <t>2318 MAIN STREET</t>
  </si>
  <si>
    <t>758A QUINNIPIAC LANE</t>
  </si>
  <si>
    <t>653B OSAGE LANE</t>
  </si>
  <si>
    <t>Suffield</t>
  </si>
  <si>
    <t>4 CHELTENHAM CT</t>
  </si>
  <si>
    <t>930 BRANCH RD</t>
  </si>
  <si>
    <t>Thomaston</t>
  </si>
  <si>
    <t>97 TWIN POND RD</t>
  </si>
  <si>
    <t>3 BRADLEY WAY</t>
  </si>
  <si>
    <t>D3 TOLLAND MEADOWS</t>
  </si>
  <si>
    <t>H2 TOLLAND MEADOWS</t>
  </si>
  <si>
    <t>East Hartford</t>
  </si>
  <si>
    <t>2651 TORRINGFORD W ST</t>
  </si>
  <si>
    <t>194 LEDGE DR</t>
  </si>
  <si>
    <t>Trumbull</t>
  </si>
  <si>
    <t>94 NORTH STOWE PLACE</t>
  </si>
  <si>
    <t>29 WALNUT AVE</t>
  </si>
  <si>
    <t>12 ROSEVIEW COURT</t>
  </si>
  <si>
    <t>14 WOODLAWN DR</t>
  </si>
  <si>
    <t>8 TURNER AVE</t>
  </si>
  <si>
    <t>27 TRACY DRIVE</t>
  </si>
  <si>
    <t>90 MONTAUK DR</t>
  </si>
  <si>
    <t>Fairfield</t>
  </si>
  <si>
    <t>Ledyard</t>
  </si>
  <si>
    <t>Washington</t>
  </si>
  <si>
    <t>136 OLD LITCHFIELD RD</t>
  </si>
  <si>
    <t>Waterbury</t>
  </si>
  <si>
    <t>26 COOPER ST</t>
  </si>
  <si>
    <t>18 CAMP ST</t>
  </si>
  <si>
    <t>94 SOUTHMAYD RD #3</t>
  </si>
  <si>
    <t>Waterford</t>
  </si>
  <si>
    <t>4 DONNA ST</t>
  </si>
  <si>
    <t>12 CHARLES ST</t>
  </si>
  <si>
    <t>Westbrook</t>
  </si>
  <si>
    <t>104 CHAPMAN BEACH RD</t>
  </si>
  <si>
    <t>233 KENROSE TER</t>
  </si>
  <si>
    <t>1838 ASYLUM AVENUE</t>
  </si>
  <si>
    <t>82 WHITE AVENUE</t>
  </si>
  <si>
    <t>23 TIMBERWOOD ROAD</t>
  </si>
  <si>
    <t>Wethersfield</t>
  </si>
  <si>
    <t>938 RIDGE RD</t>
  </si>
  <si>
    <t>215 NOTT ST</t>
  </si>
  <si>
    <t>Southington</t>
  </si>
  <si>
    <t>Middletown</t>
  </si>
  <si>
    <t>Bridgeport</t>
  </si>
  <si>
    <t>Wallingford</t>
  </si>
  <si>
    <t>Darien</t>
  </si>
  <si>
    <t>East Granby</t>
  </si>
  <si>
    <t>Madison</t>
  </si>
  <si>
    <t>33 NORTH WATER ST</t>
  </si>
  <si>
    <t>19 TERRACE GDNS</t>
  </si>
  <si>
    <t>166 KENNEDY DR</t>
  </si>
  <si>
    <t>225 BEACH ST UT 1G</t>
  </si>
  <si>
    <t>21 THIRD ST UT 6B</t>
  </si>
  <si>
    <t>916 QUINNIPIAC AVE #31</t>
  </si>
  <si>
    <t>55 MILL PLAIN RD #33-3</t>
  </si>
  <si>
    <t>74 SHEPARD AVE.</t>
  </si>
  <si>
    <t>24 WOODBURY LN</t>
  </si>
  <si>
    <t>140 THOMPSON ST #9C</t>
  </si>
  <si>
    <t>3N LAKESIDE DR</t>
  </si>
  <si>
    <t>6 MALLARD LN</t>
  </si>
  <si>
    <t>25 ANGELA DR</t>
  </si>
  <si>
    <t>17 PEQUOT CT</t>
  </si>
  <si>
    <t>8 BROOKVIEW CIRCLE</t>
  </si>
  <si>
    <t>12 FAIRWAY DR</t>
  </si>
  <si>
    <t>11 RUSHBROOKE LN</t>
  </si>
  <si>
    <t>1622 FARMINGTON AV UNIT 11</t>
  </si>
  <si>
    <t>25 CASSANDRA BLVD #304</t>
  </si>
  <si>
    <t>North Branford</t>
  </si>
  <si>
    <t>191 SPRING ST</t>
  </si>
  <si>
    <t>East Hampton</t>
  </si>
  <si>
    <t>37 FOREST GLEN DR</t>
  </si>
  <si>
    <t>70 SPRINGBROOK RD</t>
  </si>
  <si>
    <t>36 SHIPYARD LANE U C16</t>
  </si>
  <si>
    <t>11-A4 BYRNE COURT</t>
  </si>
  <si>
    <t>245 SUNNYRIDGE AVENUE UNIT#16</t>
  </si>
  <si>
    <t>5D CARILLON DRIVE</t>
  </si>
  <si>
    <t>98 BRADFORD WALK</t>
  </si>
  <si>
    <t>166 OLD BROOKFIELD RD #27B1</t>
  </si>
  <si>
    <t>13 HOLT ST #4</t>
  </si>
  <si>
    <t>8 PADDOCK LN</t>
  </si>
  <si>
    <t>8 BUTTERNIUT LANE</t>
  </si>
  <si>
    <t>736 KING ST</t>
  </si>
  <si>
    <t>Woodstock</t>
  </si>
  <si>
    <t>5 WOODSTOCK MEADOWS</t>
  </si>
  <si>
    <t>1151 WHITNEY AVE UB4</t>
  </si>
  <si>
    <t>333 WEST AVENUE U20</t>
  </si>
  <si>
    <t>205 MAIN STREET #34</t>
  </si>
  <si>
    <t>15 APPLEWOOD CONDO</t>
  </si>
  <si>
    <t>63 BANNAN LN</t>
  </si>
  <si>
    <t>1380-S201B,S203C,S204B,S206C,S</t>
  </si>
  <si>
    <t>29 MORRIS ST. UNIT M29C</t>
  </si>
  <si>
    <t>251 NEW BRITAIN AVE</t>
  </si>
  <si>
    <t>2 WOODSTOCK HILLS</t>
  </si>
  <si>
    <t>418 WOODWARD AVE UNIT 16</t>
  </si>
  <si>
    <t>4C EDGEWATER</t>
  </si>
  <si>
    <t>233 ELLINGTON RD #312</t>
  </si>
  <si>
    <t>13 LAST LEAF CIR</t>
  </si>
  <si>
    <t>310 ELY AVE H</t>
  </si>
  <si>
    <t>215 &amp; 227 WATERVILLE ST#3A 5A</t>
  </si>
  <si>
    <t>893 FARMINGTON AVE 2-2E</t>
  </si>
  <si>
    <t>192 MAYBURY CIRCLE #5</t>
  </si>
  <si>
    <t>35 RUTH ST #60</t>
  </si>
  <si>
    <t>Old Saybrook</t>
  </si>
  <si>
    <t>6B ROCKLEDGE</t>
  </si>
  <si>
    <t>144 MILL LN #144</t>
  </si>
  <si>
    <t>28 STERLING VLG</t>
  </si>
  <si>
    <t>140 KANE ST B1</t>
  </si>
  <si>
    <t>165-53 SOUTH ST</t>
  </si>
  <si>
    <t>5B YANKEE GLEN DRIVE</t>
  </si>
  <si>
    <t>210 STONEFIELD DR #48</t>
  </si>
  <si>
    <t>13 LANTERN LN</t>
  </si>
  <si>
    <t>155 BULL HILL LA #S2</t>
  </si>
  <si>
    <t>333 VINCELLETTE ST #70</t>
  </si>
  <si>
    <t>30 SEYMOUR RD UNIT C-2</t>
  </si>
  <si>
    <t>42 SILO WAY</t>
  </si>
  <si>
    <t>156 WYNWOOD DR</t>
  </si>
  <si>
    <t>9 LIBERTY PINES</t>
  </si>
  <si>
    <t>48 GATE RIDGE ROAD</t>
  </si>
  <si>
    <t>45 SAVIN PARK</t>
  </si>
  <si>
    <t>71 CANDLEWOOD DR</t>
  </si>
  <si>
    <t>1707 SUMMER STREET UT 3</t>
  </si>
  <si>
    <t>154 COTTONWOOD ROAD</t>
  </si>
  <si>
    <t>229 BRANFORD RD #222</t>
  </si>
  <si>
    <t>32 CHELSEA LANE</t>
  </si>
  <si>
    <t>160 SUFFOLK CT</t>
  </si>
  <si>
    <t>270 D HERITAGE VILLAGE</t>
  </si>
  <si>
    <t>13D ROBBINS LANE</t>
  </si>
  <si>
    <t>22 GLENBROOK ROAD # 103</t>
  </si>
  <si>
    <t>306 SALEM TPKE UNIT#4</t>
  </si>
  <si>
    <t>300 BROAD STREET # 502</t>
  </si>
  <si>
    <t>442 EVERGREEN RD</t>
  </si>
  <si>
    <t>29A CARILLON DRIVE</t>
  </si>
  <si>
    <t>230 E WAKEFIELD BLVD</t>
  </si>
  <si>
    <t>103 CEDAR KNOLLS</t>
  </si>
  <si>
    <t>120 HUNTINGTON TPKE UNIT 708</t>
  </si>
  <si>
    <t>18 PROSPECT ST</t>
  </si>
  <si>
    <t>71 AIKEN ST</t>
  </si>
  <si>
    <t>61 SEAVIEW AVENUE D-39</t>
  </si>
  <si>
    <t>54 GIDEON LANE</t>
  </si>
  <si>
    <t>25 GRAND ST</t>
  </si>
  <si>
    <t>1913 OLD POND LN</t>
  </si>
  <si>
    <t>755 WETHERSFIELD AV UNIT B2</t>
  </si>
  <si>
    <t>95 AUDUBON ST UNIT 38</t>
  </si>
  <si>
    <t>12 DRYDEN STREET 1B</t>
  </si>
  <si>
    <t>329 A HERITAGE VILLAGE</t>
  </si>
  <si>
    <t>83 MANSFIELD RD 228</t>
  </si>
  <si>
    <t>50 GREENHOUSE RD UNIT 57C</t>
  </si>
  <si>
    <t>73 B HERITAGE VILLAGE</t>
  </si>
  <si>
    <t>4 COPPER BEECH DRIVE</t>
  </si>
  <si>
    <t>22 VILLAGE RD</t>
  </si>
  <si>
    <t>95 LAURELS B20UD</t>
  </si>
  <si>
    <t>83 MANSFIELD RD 220</t>
  </si>
  <si>
    <t>47 OLDE VILLAGE CIR</t>
  </si>
  <si>
    <t>44 STRAWBERRY HILL AVE #3P</t>
  </si>
  <si>
    <t>9 SYLVESTERS WAY</t>
  </si>
  <si>
    <t>9B BARRINGTON DR</t>
  </si>
  <si>
    <t>101 GROVE STREET G-17</t>
  </si>
  <si>
    <t>30A HAPPY HOLLOW CIR</t>
  </si>
  <si>
    <t>186 SEATON ROAD # 22-C3</t>
  </si>
  <si>
    <t>81 COULTER ST #14</t>
  </si>
  <si>
    <t>511 WEST MAIN STREET # 11</t>
  </si>
  <si>
    <t>37 ROSE COURT</t>
  </si>
  <si>
    <t>94 CYNTHIA LA #B-6</t>
  </si>
  <si>
    <t>1424 THOMASTON AVE #2</t>
  </si>
  <si>
    <t>214 BROAD VIEW N</t>
  </si>
  <si>
    <t>1203 ELLA T GRASSO BLVD # B</t>
  </si>
  <si>
    <t>406 THOREAU ST</t>
  </si>
  <si>
    <t>265-A TEXAS AVE</t>
  </si>
  <si>
    <t>375 CAPT THOMAS BLVD #14</t>
  </si>
  <si>
    <t>333 VINCELLETTE ST UNIT 82</t>
  </si>
  <si>
    <t>W Hartford</t>
  </si>
  <si>
    <t>111 NORTHINGTON DRIVE</t>
  </si>
  <si>
    <t>216 WATCH HILL RD</t>
  </si>
  <si>
    <t>609 CAMP ST</t>
  </si>
  <si>
    <t>Canaan</t>
  </si>
  <si>
    <t>1467 SOUTH       ST</t>
  </si>
  <si>
    <t>34      SHUNPIKE      ROAD</t>
  </si>
  <si>
    <t>55 FOREST AV</t>
  </si>
  <si>
    <t>55      THOMPSON ST #5A</t>
  </si>
  <si>
    <t>27 SEA CREST AVE</t>
  </si>
  <si>
    <t>15 SALERNO DR</t>
  </si>
  <si>
    <t>8 SHANNON DR</t>
  </si>
  <si>
    <t>14 ESSEX GLEN DR #12</t>
  </si>
  <si>
    <t>38 MONTAUK WAY</t>
  </si>
  <si>
    <t>123 VALLEY DRIVE</t>
  </si>
  <si>
    <t>70 ATLANTIC AVE</t>
  </si>
  <si>
    <t>2 WINTERBERRY RD</t>
  </si>
  <si>
    <t>31 EATON ST</t>
  </si>
  <si>
    <t>159 RUSS ST</t>
  </si>
  <si>
    <t>31 PILGRIM LN</t>
  </si>
  <si>
    <t>23 PARKMORE ST</t>
  </si>
  <si>
    <t>257 SABIN ST #18</t>
  </si>
  <si>
    <t>9 GREAT ELM DR #1</t>
  </si>
  <si>
    <t>Questions</t>
  </si>
  <si>
    <t>1. average and the median sales ratio</t>
  </si>
  <si>
    <t>AVG</t>
  </si>
  <si>
    <t>MEDIAN</t>
  </si>
  <si>
    <t>2. town with the highest sold property</t>
  </si>
  <si>
    <t>INDEX/MATCH/MAX</t>
  </si>
  <si>
    <t>Sales Ratio 2</t>
  </si>
  <si>
    <t>Row Labels</t>
  </si>
  <si>
    <t>Grand Total</t>
  </si>
  <si>
    <t>Sum of Sale Amount</t>
  </si>
  <si>
    <t>Average of Sales Ratio</t>
  </si>
  <si>
    <t>Count of Sale Amount2</t>
  </si>
  <si>
    <t>Value Status</t>
  </si>
  <si>
    <t>Overvalued</t>
  </si>
  <si>
    <t>Undervalued</t>
  </si>
  <si>
    <t>Month Name</t>
  </si>
  <si>
    <t>Year</t>
  </si>
  <si>
    <t>Month/Year</t>
  </si>
  <si>
    <t>December</t>
  </si>
  <si>
    <t>December,2016</t>
  </si>
  <si>
    <t>April</t>
  </si>
  <si>
    <t>April,2021</t>
  </si>
  <si>
    <t>June</t>
  </si>
  <si>
    <t>June,2021</t>
  </si>
  <si>
    <t>May</t>
  </si>
  <si>
    <t>May,2018</t>
  </si>
  <si>
    <t>July</t>
  </si>
  <si>
    <t>July,2021</t>
  </si>
  <si>
    <t>February</t>
  </si>
  <si>
    <t>February,2021</t>
  </si>
  <si>
    <t>August</t>
  </si>
  <si>
    <t>August,2021</t>
  </si>
  <si>
    <t>January</t>
  </si>
  <si>
    <t>January,2021</t>
  </si>
  <si>
    <t>May,2021</t>
  </si>
  <si>
    <t>June,2017</t>
  </si>
  <si>
    <t>December,2020</t>
  </si>
  <si>
    <t>October</t>
  </si>
  <si>
    <t>October,2020</t>
  </si>
  <si>
    <t>March</t>
  </si>
  <si>
    <t>March,2021</t>
  </si>
  <si>
    <t>September</t>
  </si>
  <si>
    <t>September,2021</t>
  </si>
  <si>
    <t>November</t>
  </si>
  <si>
    <t>November,2020</t>
  </si>
  <si>
    <t>March,2008</t>
  </si>
  <si>
    <t>May,2010</t>
  </si>
  <si>
    <t>September,2008</t>
  </si>
  <si>
    <t>June,2015</t>
  </si>
  <si>
    <t>September,2014</t>
  </si>
  <si>
    <t>May,2016</t>
  </si>
  <si>
    <t>May,2008</t>
  </si>
  <si>
    <t>September,2017</t>
  </si>
  <si>
    <t>April,2007</t>
  </si>
  <si>
    <t>September,2010</t>
  </si>
  <si>
    <t>November,2010</t>
  </si>
  <si>
    <t>May,2017</t>
  </si>
  <si>
    <t>October,2010</t>
  </si>
  <si>
    <t>March,2009</t>
  </si>
  <si>
    <t>June,2010</t>
  </si>
  <si>
    <t>November,2016</t>
  </si>
  <si>
    <t>October,2009</t>
  </si>
  <si>
    <t>December,2009</t>
  </si>
  <si>
    <t>December,2017</t>
  </si>
  <si>
    <t>December,2007</t>
  </si>
  <si>
    <t>April,2018</t>
  </si>
  <si>
    <t>November,2009</t>
  </si>
  <si>
    <t>October,2007</t>
  </si>
  <si>
    <t>July,2008</t>
  </si>
  <si>
    <t>July,2017</t>
  </si>
  <si>
    <t>February,2008</t>
  </si>
  <si>
    <t>August,2017</t>
  </si>
  <si>
    <t>January,2017</t>
  </si>
  <si>
    <t>June,2007</t>
  </si>
  <si>
    <t>February,2011</t>
  </si>
  <si>
    <t>January,2008</t>
  </si>
  <si>
    <t>June,2014</t>
  </si>
  <si>
    <t>April,2017</t>
  </si>
  <si>
    <t>November,2017</t>
  </si>
  <si>
    <t>June,2011</t>
  </si>
  <si>
    <t>December,2010</t>
  </si>
  <si>
    <t>July,2009</t>
  </si>
  <si>
    <t>August,2008</t>
  </si>
  <si>
    <t>February,2019</t>
  </si>
  <si>
    <t>August,2007</t>
  </si>
  <si>
    <t>July,2013</t>
  </si>
  <si>
    <t>April,2020</t>
  </si>
  <si>
    <t>October,2015</t>
  </si>
  <si>
    <t>December,2006</t>
  </si>
  <si>
    <t>February,2010</t>
  </si>
  <si>
    <t>March,2014</t>
  </si>
  <si>
    <t>July,2015</t>
  </si>
  <si>
    <t>October,2016</t>
  </si>
  <si>
    <t>July,2011</t>
  </si>
  <si>
    <t>June,2009</t>
  </si>
  <si>
    <t>January,2019</t>
  </si>
  <si>
    <t>September,2013</t>
  </si>
  <si>
    <t>February,2017</t>
  </si>
  <si>
    <t>July,2010</t>
  </si>
  <si>
    <t>March,2020</t>
  </si>
  <si>
    <t>January,2018</t>
  </si>
  <si>
    <t>June,2019</t>
  </si>
  <si>
    <t>August,2011</t>
  </si>
  <si>
    <t>May,2007</t>
  </si>
  <si>
    <t>May,2019</t>
  </si>
  <si>
    <t xml:space="preserve"> Sale Amount</t>
  </si>
  <si>
    <t>Count of Sale Amount</t>
  </si>
  <si>
    <t>Avg Sales Ratio</t>
  </si>
  <si>
    <t>Month</t>
  </si>
  <si>
    <t>TOP5 most expensive properties</t>
  </si>
  <si>
    <t>Amount</t>
  </si>
  <si>
    <t>Bottom 5 based on sales Ratio</t>
  </si>
  <si>
    <t>Sum of Amount</t>
  </si>
  <si>
    <t>1. Which Town Has the most over valued properties based on the sales ratio</t>
  </si>
  <si>
    <t>Overvalued Count</t>
  </si>
  <si>
    <t>Column1</t>
  </si>
  <si>
    <t>Total Sales</t>
  </si>
  <si>
    <r>
      <t xml:space="preserve">2. </t>
    </r>
    <r>
      <rPr>
        <sz val="11"/>
        <color rgb="FFFF0000"/>
        <rFont val="Calibri"/>
        <family val="2"/>
        <scheme val="minor"/>
      </rPr>
      <t>Which month in 2021 had the highest Sales</t>
    </r>
  </si>
  <si>
    <t>What is the Avg sales amount for each Property type</t>
  </si>
  <si>
    <t>Average of Sale Amount</t>
  </si>
  <si>
    <t>How many property sold below their Assessed level</t>
  </si>
  <si>
    <t>COUNTIF</t>
  </si>
  <si>
    <t>EXPLORATORY DATA ANALYTICS</t>
  </si>
  <si>
    <t>Avg. Sales Ratio</t>
  </si>
  <si>
    <t>Median Sales Ratio</t>
  </si>
  <si>
    <t>1. what is the Avg and Median sales ratio</t>
  </si>
  <si>
    <t>2. Which town has the highest number of recorded propert sales</t>
  </si>
  <si>
    <t>A. Gen STATS</t>
  </si>
  <si>
    <r>
      <t xml:space="preserve"> </t>
    </r>
    <r>
      <rPr>
        <sz val="11"/>
        <color rgb="FF0070C0"/>
        <rFont val="Calibri"/>
        <family val="2"/>
        <scheme val="minor"/>
      </rPr>
      <t>B. Sales by property type</t>
    </r>
  </si>
  <si>
    <t>1. What is the avg. sales amount for Residential vs commercial property</t>
  </si>
  <si>
    <t>Property type</t>
  </si>
  <si>
    <t>2. Do commercial properties usually sell for more or less their assessed value</t>
  </si>
  <si>
    <t>Table1_3__3__3</t>
  </si>
  <si>
    <t>Avg comm sales ratio</t>
  </si>
  <si>
    <t>Interpretation: If Avg sales ratio &gt;1 sell above</t>
  </si>
  <si>
    <t>if &lt;1 sell below</t>
  </si>
  <si>
    <t>if =1 sell close to assessed value</t>
  </si>
  <si>
    <t>Result: Sells Above assessed value</t>
  </si>
  <si>
    <t>2018</t>
  </si>
  <si>
    <t>2019</t>
  </si>
  <si>
    <t>2020</t>
  </si>
  <si>
    <t>2021</t>
  </si>
  <si>
    <t>Dec</t>
  </si>
  <si>
    <t>Apr</t>
  </si>
  <si>
    <t>Jun</t>
  </si>
  <si>
    <t>Aug</t>
  </si>
  <si>
    <t>Oct</t>
  </si>
  <si>
    <t>Jan</t>
  </si>
  <si>
    <t>Feb</t>
  </si>
  <si>
    <t>Mar</t>
  </si>
  <si>
    <t>Jul</t>
  </si>
  <si>
    <t>Sep</t>
  </si>
  <si>
    <t>Nov</t>
  </si>
  <si>
    <t>C. Monthly/yearly Trends (2018 Above)</t>
  </si>
  <si>
    <t>Sales</t>
  </si>
  <si>
    <t>Are there Seasonal peaks in Sales(2018-2021)</t>
  </si>
  <si>
    <t>Column2</t>
  </si>
  <si>
    <t>Total</t>
  </si>
  <si>
    <t>5/1/2018</t>
  </si>
  <si>
    <t>7/12/2021</t>
  </si>
  <si>
    <t>3/11/2021</t>
  </si>
  <si>
    <t>4/8/2021</t>
  </si>
  <si>
    <t>6/8/2021</t>
  </si>
  <si>
    <t>3/29/2021</t>
  </si>
  <si>
    <t>5/24/2018</t>
  </si>
  <si>
    <t>8/19/2021</t>
  </si>
  <si>
    <t>9/30/2021</t>
  </si>
  <si>
    <t>9/27/2021</t>
  </si>
  <si>
    <t>6/14/2021</t>
  </si>
  <si>
    <t>9/15/2021</t>
  </si>
  <si>
    <t>6/18/2021</t>
  </si>
  <si>
    <t>1/27/2021</t>
  </si>
  <si>
    <t>2/4/2021</t>
  </si>
  <si>
    <t>1/22/2021</t>
  </si>
  <si>
    <t>7/28/2021</t>
  </si>
  <si>
    <t>3/30/2021</t>
  </si>
  <si>
    <t>12/24/2020</t>
  </si>
  <si>
    <t>11/20/2020</t>
  </si>
  <si>
    <t>7/1/2021</t>
  </si>
  <si>
    <t>7/21/2021</t>
  </si>
  <si>
    <t>3/1/2021</t>
  </si>
  <si>
    <t>6/10/2021</t>
  </si>
  <si>
    <t>1/25/2021</t>
  </si>
  <si>
    <t>8/9/2021</t>
  </si>
  <si>
    <t>9/10/2021</t>
  </si>
  <si>
    <t>8/16/2021</t>
  </si>
  <si>
    <t>12/14/2020</t>
  </si>
  <si>
    <t>7/29/2021</t>
  </si>
  <si>
    <t>9/13/2021</t>
  </si>
  <si>
    <t>3/2/2020</t>
  </si>
  <si>
    <t>1/31/2018</t>
  </si>
  <si>
    <t>5/28/2021</t>
  </si>
  <si>
    <t>8/4/2021</t>
  </si>
  <si>
    <t>11/6/2020</t>
  </si>
  <si>
    <t>5/21/2021</t>
  </si>
  <si>
    <t>8/10/2021</t>
  </si>
  <si>
    <t>9/1/2021</t>
  </si>
  <si>
    <t>4/16/2021</t>
  </si>
  <si>
    <t>5/3/2021</t>
  </si>
  <si>
    <t>9/23/2021</t>
  </si>
  <si>
    <t>6/21/2021</t>
  </si>
  <si>
    <t>1/21/2021</t>
  </si>
  <si>
    <t>9/14/2021</t>
  </si>
  <si>
    <t>10/13/2020</t>
  </si>
  <si>
    <t>9/16/2021</t>
  </si>
  <si>
    <t>6/15/2021</t>
  </si>
  <si>
    <t>3/25/2021</t>
  </si>
  <si>
    <t>11/5/2020</t>
  </si>
  <si>
    <t>6/17/2021</t>
  </si>
  <si>
    <t>5/10/2021</t>
  </si>
  <si>
    <t>12/16/2020</t>
  </si>
  <si>
    <t>5/13/2021</t>
  </si>
  <si>
    <t>3/31/2021</t>
  </si>
  <si>
    <t>4/12/2021</t>
  </si>
  <si>
    <t>3/4/2021</t>
  </si>
  <si>
    <t>7/13/2021</t>
  </si>
  <si>
    <t>5/14/2021</t>
  </si>
  <si>
    <t>11/23/2020</t>
  </si>
  <si>
    <t>7/20/2021</t>
  </si>
  <si>
    <t>9/2/2021</t>
  </si>
  <si>
    <t>2/18/2021</t>
  </si>
  <si>
    <t>8/30/2021</t>
  </si>
  <si>
    <t>5/18/2021</t>
  </si>
  <si>
    <t>6/7/2021</t>
  </si>
  <si>
    <t>1/8/2021</t>
  </si>
  <si>
    <t>9/7/2021</t>
  </si>
  <si>
    <t>3/12/2021</t>
  </si>
  <si>
    <t>10/22/2020</t>
  </si>
  <si>
    <t>12/9/2020</t>
  </si>
  <si>
    <t>4/13/2018</t>
  </si>
  <si>
    <t>4/6/2021</t>
  </si>
  <si>
    <t>5/4/2021</t>
  </si>
  <si>
    <t>5/24/2021</t>
  </si>
  <si>
    <t>12/31/2020</t>
  </si>
  <si>
    <t>2/19/2021</t>
  </si>
  <si>
    <t>8/6/2021</t>
  </si>
  <si>
    <t>10/29/2020</t>
  </si>
  <si>
    <t>2/22/2021</t>
  </si>
  <si>
    <t>5/14/2018</t>
  </si>
  <si>
    <t>11/2/2020</t>
  </si>
  <si>
    <t>6/29/2021</t>
  </si>
  <si>
    <t>7/2/2021</t>
  </si>
  <si>
    <t>3/18/2021</t>
  </si>
  <si>
    <t>3/8/2021</t>
  </si>
  <si>
    <t>1/26/2021</t>
  </si>
  <si>
    <t>3/3/2021</t>
  </si>
  <si>
    <t>12/21/2020</t>
  </si>
  <si>
    <t>9/9/2021</t>
  </si>
  <si>
    <t>3/16/2021</t>
  </si>
  <si>
    <t>1/14/2021</t>
  </si>
  <si>
    <t>12/29/2020</t>
  </si>
  <si>
    <t>3/22/2021</t>
  </si>
  <si>
    <t>10/28/2020</t>
  </si>
  <si>
    <t>1/7/2021</t>
  </si>
  <si>
    <t>2/12/2021</t>
  </si>
  <si>
    <t>10/2/2020</t>
  </si>
  <si>
    <t>5/19/2021</t>
  </si>
  <si>
    <t>9/20/2021</t>
  </si>
  <si>
    <t>1/24/2019</t>
  </si>
  <si>
    <t>4/29/2020</t>
  </si>
  <si>
    <t>5/12/2021</t>
  </si>
  <si>
    <t>12/18/2020</t>
  </si>
  <si>
    <t>10/20/2020</t>
  </si>
  <si>
    <t>10/8/2020</t>
  </si>
  <si>
    <t>6/22/2021</t>
  </si>
  <si>
    <t>12/20/2020</t>
  </si>
  <si>
    <t>6/23/2021</t>
  </si>
  <si>
    <t>10/6/2020</t>
  </si>
  <si>
    <t>2/5/2021</t>
  </si>
  <si>
    <t>11/10/2020</t>
  </si>
  <si>
    <t>4/18/2018</t>
  </si>
  <si>
    <t>6/4/2021</t>
  </si>
  <si>
    <t>4/26/2021</t>
  </si>
  <si>
    <t>4/28/2021</t>
  </si>
  <si>
    <t>2/27/2019</t>
  </si>
  <si>
    <t>7/19/2021</t>
  </si>
  <si>
    <t>7/8/2021</t>
  </si>
  <si>
    <t>10/16/2020</t>
  </si>
  <si>
    <t>8/12/2021</t>
  </si>
  <si>
    <t>2/17/2021</t>
  </si>
  <si>
    <t>7/6/2021</t>
  </si>
  <si>
    <t>10/9/2020</t>
  </si>
  <si>
    <t>1/5/2021</t>
  </si>
  <si>
    <t>4/13/2021</t>
  </si>
  <si>
    <t>1/11/2021</t>
  </si>
  <si>
    <t>9/28/2021</t>
  </si>
  <si>
    <t>5/6/2021</t>
  </si>
  <si>
    <t>5/20/2021</t>
  </si>
  <si>
    <t>1/4/2021</t>
  </si>
  <si>
    <t>6/7/2019</t>
  </si>
  <si>
    <t>1/28/2021</t>
  </si>
  <si>
    <t>8/18/2021</t>
  </si>
  <si>
    <t>3/9/2021</t>
  </si>
  <si>
    <t>11/9/2020</t>
  </si>
  <si>
    <t>4/23/2021</t>
  </si>
  <si>
    <t>10/1/2020</t>
  </si>
  <si>
    <t>4/30/2021</t>
  </si>
  <si>
    <t>8/27/2021</t>
  </si>
  <si>
    <t>11/16/2020</t>
  </si>
  <si>
    <t>7/15/2021</t>
  </si>
  <si>
    <t>5/17/2021</t>
  </si>
  <si>
    <t>5/27/2021</t>
  </si>
  <si>
    <t>1/6/2021</t>
  </si>
  <si>
    <t>7/26/2021</t>
  </si>
  <si>
    <t>8/31/2021</t>
  </si>
  <si>
    <t>6/3/2021</t>
  </si>
  <si>
    <t>5/21/2019</t>
  </si>
  <si>
    <t>8/23/2021</t>
  </si>
  <si>
    <t>Column3</t>
  </si>
  <si>
    <t>Total Sales amount</t>
  </si>
  <si>
    <t>Avg. Sales Ratio 2</t>
  </si>
  <si>
    <t>Total no. of property sold</t>
  </si>
  <si>
    <t>Avg. Assessed value</t>
  </si>
  <si>
    <t>Total No. Of Property Sold</t>
  </si>
  <si>
    <t>Avg.Assessed Value</t>
  </si>
  <si>
    <t>Town with Highest Sold Property</t>
  </si>
  <si>
    <t xml:space="preserve">Most Expentive Property type </t>
  </si>
  <si>
    <t xml:space="preserve">The Most Expensive Property type </t>
  </si>
  <si>
    <t>TEXT(CT4/1000000,"$0")&amp;"M"</t>
  </si>
  <si>
    <t>Monthly sales</t>
  </si>
  <si>
    <t>DONE</t>
  </si>
  <si>
    <t>Town Initials</t>
  </si>
  <si>
    <t>R</t>
  </si>
  <si>
    <t>C</t>
  </si>
  <si>
    <t>G</t>
  </si>
  <si>
    <t>N</t>
  </si>
  <si>
    <t>D</t>
  </si>
  <si>
    <t>W</t>
  </si>
  <si>
    <t>E</t>
  </si>
  <si>
    <t>A</t>
  </si>
  <si>
    <t>S</t>
  </si>
  <si>
    <t>T</t>
  </si>
  <si>
    <t>P</t>
  </si>
  <si>
    <t>M</t>
  </si>
  <si>
    <t>B</t>
  </si>
  <si>
    <t>K</t>
  </si>
  <si>
    <t>O</t>
  </si>
  <si>
    <t>F</t>
  </si>
  <si>
    <t>H</t>
  </si>
  <si>
    <t>V</t>
  </si>
  <si>
    <t>L</t>
  </si>
  <si>
    <t xml:space="preserve"> </t>
  </si>
  <si>
    <t>Monthly Trend</t>
  </si>
  <si>
    <t>Column12</t>
  </si>
  <si>
    <t>Average of Sale %</t>
  </si>
  <si>
    <t>Town with the most sales percentage</t>
  </si>
  <si>
    <t>Seasonal Peaks In sales Btw 20218-2021</t>
  </si>
  <si>
    <t>Property Types</t>
  </si>
  <si>
    <t xml:space="preserve">Iinitial  </t>
  </si>
  <si>
    <t>W Total</t>
  </si>
  <si>
    <t>Top 5 Towns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</si>
</sst>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2" formatCode="_(&quot;$&quot;* #,##0_);_(&quot;$&quot;* \(#,##0\);_(&quot;$&quot;* &quot;-&quot;_);_(@_)"/>
    <numFmt numFmtId="44" formatCode="_(&quot;$&quot;* #,##0.00_);_(&quot;$&quot;* \(#,##0.00\);_(&quot;$&quot;* &quot;-&quot;??_);_(@_)"/>
    <numFmt numFmtId="164" formatCode="0.000"/>
    <numFmt numFmtId="165" formatCode="_(&quot;$&quot;* #,##0_);_(&quot;$&quot;* \(#,##0\);_(&quot;$&quot;* &quot;-&quot;??_);_(@_)"/>
    <numFmt numFmtId="166" formatCode="&quot;$&quot;#,&quot;M&quot;"/>
    <numFmt numFmtId="167" formatCode="&quot;$&quot;#,,&quot;M&quot;"/>
    <numFmt numFmtId="168" formatCode="&quot;$&quot;#,##0"/>
  </numFmts>
  <fonts count="9"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8"/>
      <name val="Calibri"/>
      <family val="2"/>
      <scheme val="minor"/>
    </font>
    <font>
      <sz val="11"/>
      <color rgb="FF0070C0"/>
      <name val="Calibri"/>
      <family val="2"/>
      <scheme val="minor"/>
    </font>
    <font>
      <sz val="11"/>
      <color theme="4"/>
      <name val="Calibri"/>
      <family val="2"/>
      <scheme val="minor"/>
    </font>
    <font>
      <b/>
      <sz val="18"/>
      <color rgb="FF00B050"/>
      <name val="Calibri"/>
      <family val="2"/>
      <scheme val="minor"/>
    </font>
    <font>
      <sz val="11"/>
      <name val="Calibri"/>
      <family val="2"/>
      <scheme val="minor"/>
    </font>
  </fonts>
  <fills count="7">
    <fill>
      <patternFill patternType="none"/>
    </fill>
    <fill>
      <patternFill patternType="gray125"/>
    </fill>
    <fill>
      <patternFill patternType="solid">
        <fgColor theme="9" tint="0.79998168889431442"/>
        <bgColor theme="9" tint="0.79998168889431442"/>
      </patternFill>
    </fill>
    <fill>
      <patternFill patternType="solid">
        <fgColor theme="0" tint="-0.14999847407452621"/>
        <bgColor indexed="64"/>
      </patternFill>
    </fill>
    <fill>
      <patternFill patternType="solid">
        <fgColor rgb="FFFF0000"/>
        <bgColor indexed="64"/>
      </patternFill>
    </fill>
    <fill>
      <patternFill patternType="solid">
        <fgColor rgb="FF00B050"/>
        <bgColor indexed="64"/>
      </patternFill>
    </fill>
    <fill>
      <patternFill patternType="solid">
        <fgColor theme="4" tint="0.79998168889431442"/>
        <bgColor theme="4" tint="0.79998168889431442"/>
      </patternFill>
    </fill>
  </fills>
  <borders count="14">
    <border>
      <left/>
      <right/>
      <top/>
      <bottom/>
      <diagonal/>
    </border>
    <border>
      <left style="thin">
        <color theme="9" tint="0.39997558519241921"/>
      </left>
      <right/>
      <top style="thin">
        <color theme="9" tint="0.39997558519241921"/>
      </top>
      <bottom style="thin">
        <color theme="9" tint="0.39997558519241921"/>
      </bottom>
      <diagonal/>
    </border>
    <border>
      <left style="thin">
        <color indexed="64"/>
      </left>
      <right/>
      <top/>
      <bottom/>
      <diagonal/>
    </border>
    <border>
      <left style="thin">
        <color indexed="64"/>
      </left>
      <right style="thin">
        <color indexed="64"/>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right/>
      <top/>
      <bottom style="thin">
        <color theme="4" tint="0.39997558519241921"/>
      </bottom>
      <diagonal/>
    </border>
  </borders>
  <cellStyleXfs count="2">
    <xf numFmtId="0" fontId="0" fillId="0" borderId="0"/>
    <xf numFmtId="44" fontId="1" fillId="0" borderId="0" applyFont="0" applyFill="0" applyBorder="0" applyAlignment="0" applyProtection="0"/>
  </cellStyleXfs>
  <cellXfs count="43">
    <xf numFmtId="0" fontId="0" fillId="0" borderId="0" xfId="0"/>
    <xf numFmtId="0" fontId="0" fillId="2" borderId="1" xfId="0" applyFill="1" applyBorder="1"/>
    <xf numFmtId="0" fontId="0" fillId="0" borderId="1" xfId="0" applyBorder="1"/>
    <xf numFmtId="22" fontId="0" fillId="0" borderId="0" xfId="0" applyNumberFormat="1"/>
    <xf numFmtId="0" fontId="3" fillId="0" borderId="0" xfId="0" applyFont="1"/>
    <xf numFmtId="0" fontId="2" fillId="0" borderId="0" xfId="0" applyFont="1"/>
    <xf numFmtId="0" fontId="0" fillId="0" borderId="0" xfId="0" pivotButton="1"/>
    <xf numFmtId="0" fontId="0" fillId="0" borderId="0" xfId="0" applyAlignment="1">
      <alignment horizontal="left"/>
    </xf>
    <xf numFmtId="0" fontId="0" fillId="0" borderId="0" xfId="0" quotePrefix="1"/>
    <xf numFmtId="44" fontId="0" fillId="0" borderId="0" xfId="1" applyFont="1"/>
    <xf numFmtId="164" fontId="0" fillId="0" borderId="0" xfId="0" applyNumberFormat="1"/>
    <xf numFmtId="2" fontId="0" fillId="0" borderId="0" xfId="0" applyNumberFormat="1"/>
    <xf numFmtId="44" fontId="0" fillId="0" borderId="0" xfId="0" applyNumberFormat="1"/>
    <xf numFmtId="0" fontId="0" fillId="0" borderId="0" xfId="0" applyAlignment="1">
      <alignment horizontal="left" indent="1"/>
    </xf>
    <xf numFmtId="14" fontId="0" fillId="0" borderId="0" xfId="0" applyNumberFormat="1"/>
    <xf numFmtId="0" fontId="0" fillId="0" borderId="2" xfId="0" applyBorder="1"/>
    <xf numFmtId="0" fontId="0" fillId="0" borderId="3" xfId="0" applyBorder="1"/>
    <xf numFmtId="0" fontId="2" fillId="0" borderId="2" xfId="0" applyFont="1" applyBorder="1"/>
    <xf numFmtId="0" fontId="6" fillId="0" borderId="2" xfId="0" applyFont="1" applyBorder="1"/>
    <xf numFmtId="0" fontId="5" fillId="0" borderId="0" xfId="0" applyFont="1"/>
    <xf numFmtId="0" fontId="0" fillId="3" borderId="0" xfId="0" applyFill="1"/>
    <xf numFmtId="165" fontId="0" fillId="0" borderId="0" xfId="0" applyNumberFormat="1"/>
    <xf numFmtId="1" fontId="0" fillId="0" borderId="0" xfId="0" applyNumberFormat="1"/>
    <xf numFmtId="166" fontId="0" fillId="0" borderId="0" xfId="0" applyNumberFormat="1"/>
    <xf numFmtId="0" fontId="0" fillId="4" borderId="0" xfId="0" applyFill="1"/>
    <xf numFmtId="0" fontId="7" fillId="0" borderId="0" xfId="0" applyFont="1"/>
    <xf numFmtId="0" fontId="0" fillId="5" borderId="0" xfId="0" applyFill="1"/>
    <xf numFmtId="167" fontId="0" fillId="0" borderId="0" xfId="0" applyNumberFormat="1"/>
    <xf numFmtId="0" fontId="8" fillId="0" borderId="0" xfId="0" applyFont="1"/>
    <xf numFmtId="10" fontId="0" fillId="0" borderId="0" xfId="0" applyNumberFormat="1"/>
    <xf numFmtId="168" fontId="0" fillId="0" borderId="0" xfId="0" applyNumberFormat="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42" fontId="0" fillId="0" borderId="0" xfId="0" applyNumberFormat="1"/>
    <xf numFmtId="0" fontId="3" fillId="6" borderId="13" xfId="0" applyFont="1" applyFill="1" applyBorder="1"/>
    <xf numFmtId="0" fontId="0" fillId="0" borderId="0" xfId="0" applyNumberFormat="1"/>
  </cellXfs>
  <cellStyles count="2">
    <cellStyle name="Currency" xfId="1" builtinId="4"/>
    <cellStyle name="Normal" xfId="0" builtinId="0"/>
  </cellStyles>
  <dxfs count="80">
    <dxf>
      <numFmt numFmtId="32" formatCode="_(&quot;$&quot;* #,##0_);_(&quot;$&quot;* \(#,##0\);_(&quot;$&quot;* &quot;-&quot;_);_(@_)"/>
    </dxf>
    <dxf>
      <font>
        <b val="0"/>
        <i val="0"/>
        <strike val="0"/>
        <condense val="0"/>
        <extend val="0"/>
        <outline val="0"/>
        <shadow val="0"/>
        <u val="none"/>
        <vertAlign val="baseline"/>
        <sz val="11"/>
        <color theme="1"/>
        <name val="Calibri"/>
        <family val="2"/>
        <scheme val="minor"/>
      </font>
    </dxf>
    <dxf>
      <numFmt numFmtId="0" formatCode="General"/>
    </dxf>
    <dxf>
      <numFmt numFmtId="1" formatCode="0"/>
    </dxf>
    <dxf>
      <numFmt numFmtId="1" formatCode="0"/>
    </dxf>
    <dxf>
      <numFmt numFmtId="166" formatCode="&quot;$&quot;#,&quot;M&quot;"/>
    </dxf>
    <dxf>
      <numFmt numFmtId="165" formatCode="_(&quot;$&quot;* #,##0_);_(&quot;$&quot;* \(#,##0\);_(&quot;$&quot;* &quot;-&quot;??_);_(@_)"/>
    </dxf>
    <dxf>
      <numFmt numFmtId="34" formatCode="_(&quot;$&quot;* #,##0.00_);_(&quot;$&quot;* \(#,##0.00\);_(&quot;$&quot;* &quot;-&quot;??_);_(@_)"/>
    </dxf>
    <dxf>
      <numFmt numFmtId="168" formatCode="&quot;$&quot;#,##0"/>
    </dxf>
    <dxf>
      <numFmt numFmtId="168" formatCode="&quot;$&quot;#,##0"/>
    </dxf>
    <dxf>
      <numFmt numFmtId="168" formatCode="&quot;$&quot;#,##0"/>
    </dxf>
    <dxf>
      <numFmt numFmtId="168" formatCode="&quot;$&quot;#,##0"/>
    </dxf>
    <dxf>
      <numFmt numFmtId="167" formatCode="&quot;$&quot;#,,&quot;M&quot;"/>
    </dxf>
    <dxf>
      <numFmt numFmtId="0" formatCode="General"/>
    </dxf>
    <dxf>
      <numFmt numFmtId="0" formatCode="General"/>
    </dxf>
    <dxf>
      <numFmt numFmtId="0" formatCode="General"/>
    </dxf>
    <dxf>
      <numFmt numFmtId="0" formatCode="General"/>
    </dxf>
    <dxf>
      <numFmt numFmtId="0" formatCode="General"/>
    </dxf>
    <dxf>
      <numFmt numFmtId="27" formatCode="m/d/yyyy\ h:mm"/>
    </dxf>
    <dxf>
      <font>
        <b val="0"/>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27" formatCode="m/d/yyyy\ h:mm"/>
    </dxf>
    <dxf>
      <font>
        <color theme="2"/>
      </font>
      <fill>
        <patternFill patternType="solid">
          <bgColor theme="3" tint="-0.499984740745262"/>
        </patternFill>
      </fill>
      <border diagonalUp="0" diagonalDown="0">
        <left/>
        <right/>
        <top/>
        <bottom/>
        <vertical/>
        <horizontal/>
      </border>
    </dxf>
    <dxf>
      <font>
        <color theme="1"/>
      </font>
      <fill>
        <patternFill>
          <bgColor theme="3" tint="-0.499984740745262"/>
        </patternFill>
      </fill>
      <border diagonalUp="0" diagonalDown="0">
        <left/>
        <right/>
        <top/>
        <bottom/>
        <vertical/>
        <horizontal/>
      </border>
    </dxf>
    <dxf>
      <font>
        <b/>
        <color theme="1"/>
      </font>
      <fill>
        <patternFill patternType="solid">
          <bgColor theme="4" tint="-0.499984740745262"/>
        </patternFill>
      </fill>
      <border diagonalUp="0" diagonalDown="0">
        <left/>
        <right/>
        <top/>
        <bottom/>
        <vertical/>
        <horizontal/>
      </border>
    </dxf>
    <dxf>
      <font>
        <color theme="1"/>
      </font>
      <fill>
        <patternFill>
          <bgColor theme="3" tint="-0.499984740745262"/>
        </patternFill>
      </fill>
      <border diagonalUp="0" diagonalDown="0">
        <left/>
        <right/>
        <top/>
        <bottom/>
        <vertical/>
        <horizontal/>
      </border>
    </dxf>
    <dxf>
      <font>
        <b/>
        <color theme="1"/>
      </font>
      <fill>
        <patternFill patternType="none">
          <bgColor auto="1"/>
        </patternFill>
      </fill>
      <border diagonalUp="0" diagonalDown="0">
        <left/>
        <right/>
        <top/>
        <bottom/>
        <vertical/>
        <horizontal/>
      </border>
    </dxf>
    <dxf>
      <font>
        <color theme="1"/>
      </font>
      <fill>
        <patternFill>
          <bgColor theme="3" tint="-0.499984740745262"/>
        </patternFill>
      </fill>
      <border diagonalUp="0" diagonalDown="0">
        <left/>
        <right/>
        <top/>
        <bottom/>
        <vertical/>
        <horizontal/>
      </border>
    </dxf>
    <dxf>
      <font>
        <b/>
        <color theme="1"/>
      </font>
      <fill>
        <patternFill patternType="none">
          <bgColor auto="1"/>
        </patternFill>
      </fill>
      <border diagonalUp="0" diagonalDown="0">
        <left/>
        <right/>
        <top/>
        <bottom/>
        <vertical/>
        <horizontal/>
      </border>
    </dxf>
    <dxf>
      <font>
        <color theme="1"/>
      </font>
      <fill>
        <patternFill>
          <bgColor theme="3" tint="-0.499984740745262"/>
        </patternFill>
      </fill>
      <border diagonalUp="0" diagonalDown="0">
        <left/>
        <right/>
        <top/>
        <bottom/>
        <vertical/>
        <horizontal/>
      </border>
    </dxf>
    <dxf>
      <font>
        <b/>
        <color theme="1"/>
      </font>
      <fill>
        <patternFill patternType="none">
          <bgColor auto="1"/>
        </patternFill>
      </fill>
      <border diagonalUp="0" diagonalDown="0">
        <left/>
        <right/>
        <top/>
        <bottom/>
        <vertical/>
        <horizontal/>
      </border>
    </dxf>
    <dxf>
      <font>
        <color theme="1"/>
      </font>
      <fill>
        <patternFill>
          <bgColor theme="3" tint="-0.499984740745262"/>
        </patternFill>
      </fill>
      <border diagonalUp="0" diagonalDown="0">
        <left/>
        <right/>
        <top/>
        <bottom/>
        <vertical/>
        <horizontal/>
      </border>
    </dxf>
    <dxf>
      <font>
        <b/>
        <color theme="1"/>
      </font>
      <border>
        <bottom style="thin">
          <color theme="9"/>
        </bottom>
        <vertical/>
        <horizontal/>
      </border>
    </dxf>
    <dxf>
      <font>
        <color theme="1"/>
      </font>
      <fill>
        <patternFill>
          <bgColor theme="0"/>
        </patternFill>
      </fill>
      <border diagonalUp="0" diagonalDown="0">
        <left/>
        <right/>
        <top/>
        <bottom/>
        <vertical/>
        <horizontal/>
      </border>
    </dxf>
  </dxfs>
  <tableStyles count="6" defaultTableStyle="TableStyleMedium2" defaultPivotStyle="PivotStyleLight16">
    <tableStyle name="SlicerStyleDark6 2" pivot="0" table="0" count="10" xr9:uid="{1FA88548-4871-4DD5-A5F6-68A8633B3BCD}">
      <tableStyleElement type="wholeTable" dxfId="79"/>
      <tableStyleElement type="headerRow" dxfId="78"/>
    </tableStyle>
    <tableStyle name="SlicerStyleDark6 3" pivot="0" table="0" count="10" xr9:uid="{87D54336-9C9D-4F01-956E-3043B7E13E35}">
      <tableStyleElement type="wholeTable" dxfId="77"/>
      <tableStyleElement type="headerRow" dxfId="76"/>
    </tableStyle>
    <tableStyle name="SlicerStyleDark6 3 2" pivot="0" table="0" count="10" xr9:uid="{2A27E0C8-7AB1-4387-957E-772EF68AAE6D}">
      <tableStyleElement type="wholeTable" dxfId="75"/>
      <tableStyleElement type="headerRow" dxfId="74"/>
    </tableStyle>
    <tableStyle name="SlicerStyleDark6 3 2 2" pivot="0" table="0" count="10" xr9:uid="{ECEDA3AF-B249-46FD-831A-59DF75E5C684}">
      <tableStyleElement type="wholeTable" dxfId="73"/>
      <tableStyleElement type="headerRow" dxfId="72"/>
    </tableStyle>
    <tableStyle name="SlicerStyleDark6 3 2 2 2" pivot="0" table="0" count="10" xr9:uid="{ECD1038A-4EE8-45C7-AC16-25DFBD63D0F7}">
      <tableStyleElement type="wholeTable" dxfId="71"/>
      <tableStyleElement type="headerRow" dxfId="70"/>
    </tableStyle>
    <tableStyle name="SlicerStyleDark6 3 2 2 2 2" pivot="0" table="0" count="10" xr9:uid="{E75C4B35-1CBC-45E0-94C9-97CA2BB10270}">
      <tableStyleElement type="wholeTable" dxfId="69"/>
      <tableStyleElement type="headerRow" dxfId="68"/>
    </tableStyle>
  </tableStyles>
  <colors>
    <mruColors>
      <color rgb="FF39834E"/>
      <color rgb="FFFFFF00"/>
      <color rgb="FFFF6600"/>
      <color rgb="FF1D4328"/>
      <color rgb="FF3F2919"/>
      <color rgb="FF3E271A"/>
      <color rgb="FF2E2F3C"/>
    </mruColors>
  </colors>
  <extLst>
    <ext xmlns:x14="http://schemas.microsoft.com/office/spreadsheetml/2009/9/main" uri="{46F421CA-312F-682f-3DD2-61675219B42D}">
      <x14:dxfs count="4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FF6600"/>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rgb="FF00B050"/>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theme="4" tint="-0.499984740745262"/>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4" tint="-0.499984740745262"/>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FF6600"/>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rgb="FF00B050"/>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theme="4" tint="-0.499984740745262"/>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4" tint="-0.499984740745262"/>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FF6600"/>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rgb="FF00B050"/>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theme="4" tint="-0.499984740745262"/>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4" tint="-0.499984740745262"/>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FF6600"/>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rgb="FF00B050"/>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theme="4" tint="-0.499984740745262"/>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FF6600"/>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rgb="FF00B050"/>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5" tint="-0.24994659260841701"/>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6 2">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StyleDark6 3">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Dark6 3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6 3 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6 3 2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6 3 2 2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26" Type="http://schemas.microsoft.com/office/2007/relationships/slicerCache" Target="slicerCaches/slicerCache2.xml"/><Relationship Id="rId21" Type="http://schemas.openxmlformats.org/officeDocument/2006/relationships/pivotCacheDefinition" Target="pivotCache/pivotCacheDefinition6.xml"/><Relationship Id="rId34" Type="http://schemas.openxmlformats.org/officeDocument/2006/relationships/sharedStrings" Target="sharedStrings.xml"/><Relationship Id="rId42"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microsoft.com/office/2007/relationships/slicerCache" Target="slicerCaches/slicerCache1.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pivotCacheDefinition" Target="pivotCache/pivotCacheDefinition5.xml"/><Relationship Id="rId29" Type="http://schemas.microsoft.com/office/2007/relationships/slicerCache" Target="slicerCaches/slicerCache5.xml"/><Relationship Id="rId41"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9.xml"/><Relationship Id="rId32" Type="http://schemas.openxmlformats.org/officeDocument/2006/relationships/connections" Target="connections.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8.xml"/><Relationship Id="rId28" Type="http://schemas.microsoft.com/office/2007/relationships/slicerCache" Target="slicerCaches/slicerCache4.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4.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7.xml"/><Relationship Id="rId27" Type="http://schemas.microsoft.com/office/2007/relationships/slicerCache" Target="slicerCaches/slicerCache3.xml"/><Relationship Id="rId30" Type="http://schemas.microsoft.com/office/2007/relationships/slicerCache" Target="slicerCaches/slicerCache6.xml"/><Relationship Id="rId35" Type="http://schemas.openxmlformats.org/officeDocument/2006/relationships/sheetMetadata" Target="metadata.xml"/><Relationship Id="rId43" Type="http://schemas.microsoft.com/office/2017/06/relationships/rdRichValueStructure" Target="richData/rdrichvaluestructure.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80113335688744"/>
          <c:y val="0.21671395908074839"/>
          <c:w val="0.86892505413767207"/>
          <c:h val="0.63834140059923139"/>
        </c:manualLayout>
      </c:layout>
      <c:barChart>
        <c:barDir val="col"/>
        <c:grouping val="clustered"/>
        <c:varyColors val="0"/>
        <c:ser>
          <c:idx val="0"/>
          <c:order val="0"/>
          <c:tx>
            <c:v>Series1</c:v>
          </c:tx>
          <c:spPr>
            <a:solidFill>
              <a:schemeClr val="accent1"/>
            </a:solidFill>
            <a:ln>
              <a:noFill/>
            </a:ln>
            <a:effectLst/>
          </c:spPr>
          <c:invertIfNegative val="0"/>
          <c:cat>
            <c:strLit>
              <c:ptCount val="3"/>
              <c:pt idx="0">
                <c:v>(blank)</c:v>
              </c:pt>
              <c:pt idx="1">
                <c:v>N</c:v>
              </c:pt>
              <c:pt idx="2">
                <c:v>S</c:v>
              </c:pt>
            </c:strLit>
          </c:cat>
          <c:val>
            <c:numLit>
              <c:formatCode>General</c:formatCode>
              <c:ptCount val="3"/>
              <c:pt idx="0">
                <c:v>0</c:v>
              </c:pt>
              <c:pt idx="1">
                <c:v>6532500</c:v>
              </c:pt>
              <c:pt idx="2">
                <c:v>427500</c:v>
              </c:pt>
            </c:numLit>
          </c:val>
          <c:extLst>
            <c:ext xmlns:c16="http://schemas.microsoft.com/office/drawing/2014/chart" uri="{C3380CC4-5D6E-409C-BE32-E72D297353CC}">
              <c16:uniqueId val="{00000000-5F59-4A50-8C3C-204567BA6F00}"/>
            </c:ext>
          </c:extLst>
        </c:ser>
        <c:dLbls>
          <c:showLegendKey val="0"/>
          <c:showVal val="0"/>
          <c:showCatName val="0"/>
          <c:showSerName val="0"/>
          <c:showPercent val="0"/>
          <c:showBubbleSize val="0"/>
        </c:dLbls>
        <c:gapWidth val="182"/>
        <c:axId val="622121984"/>
        <c:axId val="622100352"/>
      </c:barChart>
      <c:valAx>
        <c:axId val="6221003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121984"/>
        <c:crosses val="autoZero"/>
        <c:crossBetween val="between"/>
      </c:valAx>
      <c:catAx>
        <c:axId val="622121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10035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Dashboard newww.xlsx]Analysis!PivotTable12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Analysis!$AV$4</c:f>
              <c:strCache>
                <c:ptCount val="1"/>
                <c:pt idx="0">
                  <c:v>Total</c:v>
                </c:pt>
              </c:strCache>
            </c:strRef>
          </c:tx>
          <c:spPr>
            <a:solidFill>
              <a:schemeClr val="accent1"/>
            </a:solidFill>
            <a:ln>
              <a:noFill/>
            </a:ln>
            <a:effectLst/>
          </c:spPr>
          <c:invertIfNegative val="0"/>
          <c:cat>
            <c:strRef>
              <c:f>Analysis!$AU$5:$AU$8</c:f>
              <c:strCache>
                <c:ptCount val="4"/>
                <c:pt idx="0">
                  <c:v>G</c:v>
                </c:pt>
                <c:pt idx="1">
                  <c:v>C</c:v>
                </c:pt>
                <c:pt idx="2">
                  <c:v>N</c:v>
                </c:pt>
                <c:pt idx="3">
                  <c:v>R</c:v>
                </c:pt>
              </c:strCache>
            </c:strRef>
          </c:cat>
          <c:val>
            <c:numRef>
              <c:f>Analysis!$AV$5:$AV$8</c:f>
              <c:numCache>
                <c:formatCode>General</c:formatCode>
                <c:ptCount val="4"/>
                <c:pt idx="0">
                  <c:v>4259500</c:v>
                </c:pt>
                <c:pt idx="1">
                  <c:v>3360000</c:v>
                </c:pt>
                <c:pt idx="2">
                  <c:v>61320</c:v>
                </c:pt>
                <c:pt idx="3">
                  <c:v>45150</c:v>
                </c:pt>
              </c:numCache>
            </c:numRef>
          </c:val>
          <c:extLst>
            <c:ext xmlns:c16="http://schemas.microsoft.com/office/drawing/2014/chart" uri="{C3380CC4-5D6E-409C-BE32-E72D297353CC}">
              <c16:uniqueId val="{00000000-6A28-437D-B7DE-9DA57E83AB77}"/>
            </c:ext>
          </c:extLst>
        </c:ser>
        <c:dLbls>
          <c:showLegendKey val="0"/>
          <c:showVal val="0"/>
          <c:showCatName val="0"/>
          <c:showSerName val="0"/>
          <c:showPercent val="0"/>
          <c:showBubbleSize val="0"/>
        </c:dLbls>
        <c:gapWidth val="182"/>
        <c:axId val="643241487"/>
        <c:axId val="643241903"/>
      </c:barChart>
      <c:catAx>
        <c:axId val="6432414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241903"/>
        <c:crosses val="autoZero"/>
        <c:auto val="1"/>
        <c:lblAlgn val="ctr"/>
        <c:lblOffset val="100"/>
        <c:noMultiLvlLbl val="0"/>
      </c:catAx>
      <c:valAx>
        <c:axId val="64324190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241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[Real Estate Dashboard newww.xlsx]Analysis!PivotTable6</c:name>
    <c:fmtId val="0"/>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dk1">
                <a:tint val="88500"/>
              </a:schemeClr>
            </a:outerShdw>
          </a:effectLst>
        </c:spPr>
        <c:marker>
          <c:symbol val="circle"/>
          <c:size val="14"/>
          <c:spPr>
            <a:solidFill>
              <a:schemeClr val="dk1">
                <a:tint val="88500"/>
              </a:schemeClr>
            </a:solidFill>
            <a:ln>
              <a:noFill/>
            </a:ln>
            <a:effectLst/>
          </c:spPr>
        </c:marker>
        <c:dLbl>
          <c:idx val="0"/>
          <c:spPr>
            <a:solidFill>
              <a:sysClr val="windowText" lastClr="000000">
                <a:tint val="88500"/>
              </a:sys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Analysis!$BQ$7</c:f>
              <c:strCache>
                <c:ptCount val="1"/>
                <c:pt idx="0">
                  <c:v>Total</c:v>
                </c:pt>
              </c:strCache>
            </c:strRef>
          </c:tx>
          <c:spPr>
            <a:ln w="25400" cap="rnd">
              <a:solidFill>
                <a:schemeClr val="lt1"/>
              </a:solidFill>
              <a:round/>
            </a:ln>
            <a:effectLst>
              <a:outerShdw dist="25400" dir="2700000" algn="tl" rotWithShape="0">
                <a:schemeClr val="dk1">
                  <a:tint val="88500"/>
                </a:schemeClr>
              </a:outerShdw>
            </a:effectLst>
          </c:spPr>
          <c:marker>
            <c:symbol val="circle"/>
            <c:size val="14"/>
            <c:spPr>
              <a:solidFill>
                <a:schemeClr val="dk1">
                  <a:tint val="88500"/>
                </a:schemeClr>
              </a:solidFill>
              <a:ln>
                <a:noFill/>
              </a:ln>
              <a:effectLst/>
            </c:spPr>
          </c:marker>
          <c:dLbls>
            <c:spPr>
              <a:solidFill>
                <a:sysClr val="windowText" lastClr="000000">
                  <a:tint val="88500"/>
                </a:sys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tint val="88500"/>
                          <a:lumMod val="60000"/>
                          <a:lumOff val="40000"/>
                        </a:schemeClr>
                      </a:solidFill>
                    </a:ln>
                    <a:effectLst/>
                  </c:spPr>
                </c15:leaderLines>
              </c:ext>
            </c:extLst>
          </c:dLbls>
          <c:cat>
            <c:strRef>
              <c:f>Analysis!$BP$8:$BP$16</c:f>
              <c:strCache>
                <c:ptCount val="9"/>
                <c:pt idx="0">
                  <c:v>April,2021</c:v>
                </c:pt>
                <c:pt idx="1">
                  <c:v>August,2021</c:v>
                </c:pt>
                <c:pt idx="2">
                  <c:v>February,2021</c:v>
                </c:pt>
                <c:pt idx="3">
                  <c:v>January,2021</c:v>
                </c:pt>
                <c:pt idx="4">
                  <c:v>July,2021</c:v>
                </c:pt>
                <c:pt idx="5">
                  <c:v>June,2021</c:v>
                </c:pt>
                <c:pt idx="6">
                  <c:v>March,2021</c:v>
                </c:pt>
                <c:pt idx="7">
                  <c:v>May,2021</c:v>
                </c:pt>
                <c:pt idx="8">
                  <c:v>September,2021</c:v>
                </c:pt>
              </c:strCache>
            </c:strRef>
          </c:cat>
          <c:val>
            <c:numRef>
              <c:f>Analysis!$BQ$8:$BQ$16</c:f>
              <c:numCache>
                <c:formatCode>"$"#,,"M"</c:formatCode>
                <c:ptCount val="9"/>
                <c:pt idx="0">
                  <c:v>9336250</c:v>
                </c:pt>
                <c:pt idx="1">
                  <c:v>7569800</c:v>
                </c:pt>
                <c:pt idx="2">
                  <c:v>5871800</c:v>
                </c:pt>
                <c:pt idx="3">
                  <c:v>7165711</c:v>
                </c:pt>
                <c:pt idx="4">
                  <c:v>18232500</c:v>
                </c:pt>
                <c:pt idx="5">
                  <c:v>9113300</c:v>
                </c:pt>
                <c:pt idx="6">
                  <c:v>8519700</c:v>
                </c:pt>
                <c:pt idx="7">
                  <c:v>7091650</c:v>
                </c:pt>
                <c:pt idx="8">
                  <c:v>9003365</c:v>
                </c:pt>
              </c:numCache>
            </c:numRef>
          </c:val>
          <c:smooth val="0"/>
          <c:extLst>
            <c:ext xmlns:c16="http://schemas.microsoft.com/office/drawing/2014/chart" uri="{C3380CC4-5D6E-409C-BE32-E72D297353CC}">
              <c16:uniqueId val="{00000003-493D-4F1A-B6EA-AF9DA99D6FAD}"/>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892094272"/>
        <c:axId val="892094752"/>
      </c:lineChart>
      <c:catAx>
        <c:axId val="8920942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892094752"/>
        <c:crosses val="autoZero"/>
        <c:auto val="1"/>
        <c:lblAlgn val="ctr"/>
        <c:lblOffset val="100"/>
        <c:noMultiLvlLbl val="0"/>
      </c:catAx>
      <c:valAx>
        <c:axId val="892094752"/>
        <c:scaling>
          <c:orientation val="minMax"/>
        </c:scaling>
        <c:delete val="1"/>
        <c:axPos val="l"/>
        <c:numFmt formatCode="&quot;$&quot;#,,&quot;M&quot;" sourceLinked="1"/>
        <c:majorTickMark val="none"/>
        <c:minorTickMark val="none"/>
        <c:tickLblPos val="nextTo"/>
        <c:crossAx val="892094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Dashboard newww.xlsx]Analysis!PivotTable26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Analysis!$CP$15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5CE-4280-A3B4-005CBE7DB2B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5CE-4280-A3B4-005CBE7DB2B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Analysis!$CO$16:$CO$17</c:f>
              <c:strCache>
                <c:ptCount val="2"/>
                <c:pt idx="0">
                  <c:v>Commercial</c:v>
                </c:pt>
                <c:pt idx="1">
                  <c:v>Residential</c:v>
                </c:pt>
              </c:strCache>
            </c:strRef>
          </c:cat>
          <c:val>
            <c:numRef>
              <c:f>Analysis!$CP$16:$CP$17</c:f>
              <c:numCache>
                <c:formatCode>0</c:formatCode>
                <c:ptCount val="2"/>
                <c:pt idx="0">
                  <c:v>986120.04347826086</c:v>
                </c:pt>
                <c:pt idx="1">
                  <c:v>448088.67469879519</c:v>
                </c:pt>
              </c:numCache>
            </c:numRef>
          </c:val>
          <c:extLst>
            <c:ext xmlns:c16="http://schemas.microsoft.com/office/drawing/2014/chart" uri="{C3380CC4-5D6E-409C-BE32-E72D297353CC}">
              <c16:uniqueId val="{00000000-AF05-440A-9B26-2208FAE2CD9F}"/>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0381443735494231"/>
          <c:y val="0.67497630504520278"/>
          <c:w val="0.21389210530653568"/>
          <c:h val="0.32502387832232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Dashboard newww.xlsx]Analysis!PivotTable29</c:name>
    <c:fmtId val="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64095934731633"/>
          <c:y val="0.2839937083166037"/>
          <c:w val="0.83535521344047658"/>
          <c:h val="0.46043708078156897"/>
        </c:manualLayout>
      </c:layout>
      <c:lineChart>
        <c:grouping val="standard"/>
        <c:varyColors val="0"/>
        <c:ser>
          <c:idx val="0"/>
          <c:order val="0"/>
          <c:tx>
            <c:strRef>
              <c:f>Analysis!$CO$39</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Analysis!$CN$40:$CN$65</c:f>
              <c:multiLvlStrCache>
                <c:ptCount val="21"/>
                <c:lvl>
                  <c:pt idx="0">
                    <c:v>Jan</c:v>
                  </c:pt>
                  <c:pt idx="1">
                    <c:v>Apr</c:v>
                  </c:pt>
                  <c:pt idx="2">
                    <c:v>May</c:v>
                  </c:pt>
                  <c:pt idx="3">
                    <c:v>Jan</c:v>
                  </c:pt>
                  <c:pt idx="4">
                    <c:v>Feb</c:v>
                  </c:pt>
                  <c:pt idx="5">
                    <c:v>May</c:v>
                  </c:pt>
                  <c:pt idx="6">
                    <c:v>Jun</c:v>
                  </c:pt>
                  <c:pt idx="7">
                    <c:v>Mar</c:v>
                  </c:pt>
                  <c:pt idx="8">
                    <c:v>Apr</c:v>
                  </c:pt>
                  <c:pt idx="9">
                    <c:v>Oct</c:v>
                  </c:pt>
                  <c:pt idx="10">
                    <c:v>Nov</c:v>
                  </c:pt>
                  <c:pt idx="11">
                    <c:v>Dec</c:v>
                  </c:pt>
                  <c:pt idx="12">
                    <c:v>Jan</c:v>
                  </c:pt>
                  <c:pt idx="13">
                    <c:v>Feb</c:v>
                  </c:pt>
                  <c:pt idx="14">
                    <c:v>Mar</c:v>
                  </c:pt>
                  <c:pt idx="15">
                    <c:v>Apr</c:v>
                  </c:pt>
                  <c:pt idx="16">
                    <c:v>May</c:v>
                  </c:pt>
                  <c:pt idx="17">
                    <c:v>Jun</c:v>
                  </c:pt>
                  <c:pt idx="18">
                    <c:v>Jul</c:v>
                  </c:pt>
                  <c:pt idx="19">
                    <c:v>Aug</c:v>
                  </c:pt>
                  <c:pt idx="20">
                    <c:v>Sep</c:v>
                  </c:pt>
                </c:lvl>
                <c:lvl>
                  <c:pt idx="0">
                    <c:v>2018</c:v>
                  </c:pt>
                  <c:pt idx="3">
                    <c:v>2019</c:v>
                  </c:pt>
                  <c:pt idx="7">
                    <c:v>2020</c:v>
                  </c:pt>
                  <c:pt idx="12">
                    <c:v>2021</c:v>
                  </c:pt>
                </c:lvl>
              </c:multiLvlStrCache>
            </c:multiLvlStrRef>
          </c:cat>
          <c:val>
            <c:numRef>
              <c:f>Analysis!$CO$40:$CO$65</c:f>
              <c:numCache>
                <c:formatCode>General</c:formatCode>
                <c:ptCount val="21"/>
                <c:pt idx="0">
                  <c:v>59000</c:v>
                </c:pt>
                <c:pt idx="1">
                  <c:v>437368</c:v>
                </c:pt>
                <c:pt idx="2">
                  <c:v>6678000</c:v>
                </c:pt>
                <c:pt idx="3">
                  <c:v>108000</c:v>
                </c:pt>
                <c:pt idx="4">
                  <c:v>156000</c:v>
                </c:pt>
                <c:pt idx="5">
                  <c:v>30000</c:v>
                </c:pt>
                <c:pt idx="6">
                  <c:v>52000</c:v>
                </c:pt>
                <c:pt idx="7">
                  <c:v>61000</c:v>
                </c:pt>
                <c:pt idx="8">
                  <c:v>153000</c:v>
                </c:pt>
                <c:pt idx="9">
                  <c:v>6832000</c:v>
                </c:pt>
                <c:pt idx="10">
                  <c:v>3652005</c:v>
                </c:pt>
                <c:pt idx="11">
                  <c:v>5553900</c:v>
                </c:pt>
                <c:pt idx="12">
                  <c:v>7165711</c:v>
                </c:pt>
                <c:pt idx="13">
                  <c:v>5871800</c:v>
                </c:pt>
                <c:pt idx="14">
                  <c:v>8519700</c:v>
                </c:pt>
                <c:pt idx="15">
                  <c:v>9336250</c:v>
                </c:pt>
                <c:pt idx="16">
                  <c:v>7091650</c:v>
                </c:pt>
                <c:pt idx="17">
                  <c:v>9113300</c:v>
                </c:pt>
                <c:pt idx="18">
                  <c:v>18232500</c:v>
                </c:pt>
                <c:pt idx="19">
                  <c:v>7569800</c:v>
                </c:pt>
                <c:pt idx="20">
                  <c:v>9003365</c:v>
                </c:pt>
              </c:numCache>
            </c:numRef>
          </c:val>
          <c:smooth val="0"/>
          <c:extLst>
            <c:ext xmlns:c16="http://schemas.microsoft.com/office/drawing/2014/chart" uri="{C3380CC4-5D6E-409C-BE32-E72D297353CC}">
              <c16:uniqueId val="{00000000-796A-4FCD-B286-C7117F805CBE}"/>
            </c:ext>
          </c:extLst>
        </c:ser>
        <c:dLbls>
          <c:dLblPos val="ctr"/>
          <c:showLegendKey val="0"/>
          <c:showVal val="1"/>
          <c:showCatName val="0"/>
          <c:showSerName val="0"/>
          <c:showPercent val="0"/>
          <c:showBubbleSize val="0"/>
        </c:dLbls>
        <c:marker val="1"/>
        <c:smooth val="0"/>
        <c:axId val="794882496"/>
        <c:axId val="794884896"/>
      </c:lineChart>
      <c:catAx>
        <c:axId val="794882496"/>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94884896"/>
        <c:crosses val="autoZero"/>
        <c:auto val="1"/>
        <c:lblAlgn val="ctr"/>
        <c:lblOffset val="100"/>
        <c:noMultiLvlLbl val="0"/>
      </c:catAx>
      <c:valAx>
        <c:axId val="794884896"/>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9488249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Dashboard newww.xlsx]Analysis!PivotTable33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Analysis!$CQ$70:$CQ$71</c:f>
              <c:strCache>
                <c:ptCount val="1"/>
                <c:pt idx="0">
                  <c:v>2018</c:v>
                </c:pt>
              </c:strCache>
            </c:strRef>
          </c:tx>
          <c:spPr>
            <a:solidFill>
              <a:schemeClr val="accent1"/>
            </a:solidFill>
            <a:ln>
              <a:noFill/>
            </a:ln>
            <a:effectLst/>
          </c:spPr>
          <c:invertIfNegative val="0"/>
          <c:cat>
            <c:strRef>
              <c:f>Analysis!$CP$72:$CP$83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Analysis!$CQ$72:$CQ$83</c:f>
              <c:numCache>
                <c:formatCode>"$"#,##0</c:formatCode>
                <c:ptCount val="12"/>
                <c:pt idx="0">
                  <c:v>59000</c:v>
                </c:pt>
                <c:pt idx="3">
                  <c:v>437368</c:v>
                </c:pt>
                <c:pt idx="4">
                  <c:v>6678000</c:v>
                </c:pt>
              </c:numCache>
            </c:numRef>
          </c:val>
          <c:extLst>
            <c:ext xmlns:c16="http://schemas.microsoft.com/office/drawing/2014/chart" uri="{C3380CC4-5D6E-409C-BE32-E72D297353CC}">
              <c16:uniqueId val="{00000000-36EB-4D27-BD16-81E8C3A7C30A}"/>
            </c:ext>
          </c:extLst>
        </c:ser>
        <c:ser>
          <c:idx val="1"/>
          <c:order val="1"/>
          <c:tx>
            <c:strRef>
              <c:f>Analysis!$CR$70:$CR$71</c:f>
              <c:strCache>
                <c:ptCount val="1"/>
                <c:pt idx="0">
                  <c:v>2019</c:v>
                </c:pt>
              </c:strCache>
            </c:strRef>
          </c:tx>
          <c:spPr>
            <a:solidFill>
              <a:schemeClr val="accent2"/>
            </a:solidFill>
            <a:ln>
              <a:noFill/>
            </a:ln>
            <a:effectLst/>
          </c:spPr>
          <c:invertIfNegative val="0"/>
          <c:cat>
            <c:strRef>
              <c:f>Analysis!$CP$72:$CP$83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Analysis!$CR$72:$CR$83</c:f>
              <c:numCache>
                <c:formatCode>"$"#,##0</c:formatCode>
                <c:ptCount val="12"/>
                <c:pt idx="0">
                  <c:v>108000</c:v>
                </c:pt>
                <c:pt idx="1">
                  <c:v>156000</c:v>
                </c:pt>
                <c:pt idx="4">
                  <c:v>30000</c:v>
                </c:pt>
                <c:pt idx="5">
                  <c:v>52000</c:v>
                </c:pt>
              </c:numCache>
            </c:numRef>
          </c:val>
          <c:extLst>
            <c:ext xmlns:c16="http://schemas.microsoft.com/office/drawing/2014/chart" uri="{C3380CC4-5D6E-409C-BE32-E72D297353CC}">
              <c16:uniqueId val="{00000006-36EB-4D27-BD16-81E8C3A7C30A}"/>
            </c:ext>
          </c:extLst>
        </c:ser>
        <c:ser>
          <c:idx val="2"/>
          <c:order val="2"/>
          <c:tx>
            <c:strRef>
              <c:f>Analysis!$CS$70:$CS$71</c:f>
              <c:strCache>
                <c:ptCount val="1"/>
                <c:pt idx="0">
                  <c:v>2020</c:v>
                </c:pt>
              </c:strCache>
            </c:strRef>
          </c:tx>
          <c:spPr>
            <a:solidFill>
              <a:schemeClr val="accent3"/>
            </a:solidFill>
            <a:ln>
              <a:noFill/>
            </a:ln>
            <a:effectLst/>
          </c:spPr>
          <c:invertIfNegative val="0"/>
          <c:cat>
            <c:strRef>
              <c:f>Analysis!$CP$72:$CP$83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Analysis!$CS$72:$CS$83</c:f>
              <c:numCache>
                <c:formatCode>"$"#,##0</c:formatCode>
                <c:ptCount val="12"/>
                <c:pt idx="2">
                  <c:v>61000</c:v>
                </c:pt>
                <c:pt idx="3">
                  <c:v>153000</c:v>
                </c:pt>
                <c:pt idx="9">
                  <c:v>6832000</c:v>
                </c:pt>
                <c:pt idx="10">
                  <c:v>3652005</c:v>
                </c:pt>
                <c:pt idx="11">
                  <c:v>5553900</c:v>
                </c:pt>
              </c:numCache>
            </c:numRef>
          </c:val>
          <c:extLst>
            <c:ext xmlns:c16="http://schemas.microsoft.com/office/drawing/2014/chart" uri="{C3380CC4-5D6E-409C-BE32-E72D297353CC}">
              <c16:uniqueId val="{0000000B-36EB-4D27-BD16-81E8C3A7C30A}"/>
            </c:ext>
          </c:extLst>
        </c:ser>
        <c:ser>
          <c:idx val="3"/>
          <c:order val="3"/>
          <c:tx>
            <c:strRef>
              <c:f>Analysis!$CT$70:$CT$71</c:f>
              <c:strCache>
                <c:ptCount val="1"/>
                <c:pt idx="0">
                  <c:v>2021</c:v>
                </c:pt>
              </c:strCache>
            </c:strRef>
          </c:tx>
          <c:spPr>
            <a:solidFill>
              <a:schemeClr val="accent4"/>
            </a:solidFill>
            <a:ln>
              <a:noFill/>
            </a:ln>
            <a:effectLst/>
          </c:spPr>
          <c:invertIfNegative val="0"/>
          <c:cat>
            <c:strRef>
              <c:f>Analysis!$CP$72:$CP$83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Analysis!$CT$72:$CT$83</c:f>
              <c:numCache>
                <c:formatCode>"$"#,##0</c:formatCode>
                <c:ptCount val="12"/>
                <c:pt idx="0">
                  <c:v>7165711</c:v>
                </c:pt>
                <c:pt idx="1">
                  <c:v>5871800</c:v>
                </c:pt>
                <c:pt idx="2">
                  <c:v>8519700</c:v>
                </c:pt>
                <c:pt idx="3">
                  <c:v>9336250</c:v>
                </c:pt>
                <c:pt idx="4">
                  <c:v>7091650</c:v>
                </c:pt>
                <c:pt idx="5">
                  <c:v>9113300</c:v>
                </c:pt>
                <c:pt idx="6">
                  <c:v>18232500</c:v>
                </c:pt>
                <c:pt idx="7">
                  <c:v>7569800</c:v>
                </c:pt>
                <c:pt idx="8">
                  <c:v>9003365</c:v>
                </c:pt>
              </c:numCache>
            </c:numRef>
          </c:val>
          <c:extLst>
            <c:ext xmlns:c16="http://schemas.microsoft.com/office/drawing/2014/chart" uri="{C3380CC4-5D6E-409C-BE32-E72D297353CC}">
              <c16:uniqueId val="{0000000C-36EB-4D27-BD16-81E8C3A7C30A}"/>
            </c:ext>
          </c:extLst>
        </c:ser>
        <c:dLbls>
          <c:showLegendKey val="0"/>
          <c:showVal val="0"/>
          <c:showCatName val="0"/>
          <c:showSerName val="0"/>
          <c:showPercent val="0"/>
          <c:showBubbleSize val="0"/>
        </c:dLbls>
        <c:gapWidth val="219"/>
        <c:axId val="140514064"/>
        <c:axId val="174191407"/>
      </c:barChart>
      <c:catAx>
        <c:axId val="140514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91407"/>
        <c:crosses val="autoZero"/>
        <c:auto val="1"/>
        <c:lblAlgn val="ctr"/>
        <c:lblOffset val="100"/>
        <c:noMultiLvlLbl val="0"/>
      </c:catAx>
      <c:valAx>
        <c:axId val="174191407"/>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14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Dashboard newww.xlsx]Analysis!PivotTable4</c:name>
    <c:fmtId val="3"/>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28937007874016"/>
          <c:y val="0.24939596092155147"/>
          <c:w val="0.6752101924759405"/>
          <c:h val="0.42044983960338289"/>
        </c:manualLayout>
      </c:layout>
      <c:lineChart>
        <c:grouping val="standard"/>
        <c:varyColors val="0"/>
        <c:ser>
          <c:idx val="0"/>
          <c:order val="0"/>
          <c:tx>
            <c:strRef>
              <c:f>Analysis!$W$4</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Analysis!$V$5:$V$16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Analysis!$W$5:$W$16</c:f>
              <c:numCache>
                <c:formatCode>"$"#,"M"</c:formatCode>
                <c:ptCount val="12"/>
                <c:pt idx="0">
                  <c:v>7682911</c:v>
                </c:pt>
                <c:pt idx="1">
                  <c:v>6840800</c:v>
                </c:pt>
                <c:pt idx="2">
                  <c:v>9929200</c:v>
                </c:pt>
                <c:pt idx="3">
                  <c:v>10525618</c:v>
                </c:pt>
                <c:pt idx="4">
                  <c:v>16335860</c:v>
                </c:pt>
                <c:pt idx="5">
                  <c:v>13613338</c:v>
                </c:pt>
                <c:pt idx="6">
                  <c:v>19705766</c:v>
                </c:pt>
                <c:pt idx="7">
                  <c:v>8461250</c:v>
                </c:pt>
                <c:pt idx="8">
                  <c:v>12590314</c:v>
                </c:pt>
                <c:pt idx="9">
                  <c:v>8302200</c:v>
                </c:pt>
                <c:pt idx="10">
                  <c:v>5424626</c:v>
                </c:pt>
                <c:pt idx="11">
                  <c:v>21019750</c:v>
                </c:pt>
              </c:numCache>
            </c:numRef>
          </c:val>
          <c:smooth val="0"/>
          <c:extLst>
            <c:ext xmlns:c16="http://schemas.microsoft.com/office/drawing/2014/chart" uri="{C3380CC4-5D6E-409C-BE32-E72D297353CC}">
              <c16:uniqueId val="{00000000-7136-4F04-85C4-00AF78F752A7}"/>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239017216"/>
        <c:axId val="1239032096"/>
      </c:lineChart>
      <c:catAx>
        <c:axId val="1239017216"/>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239032096"/>
        <c:crosses val="autoZero"/>
        <c:auto val="1"/>
        <c:lblAlgn val="ctr"/>
        <c:lblOffset val="100"/>
        <c:noMultiLvlLbl val="0"/>
      </c:catAx>
      <c:valAx>
        <c:axId val="1239032096"/>
        <c:scaling>
          <c:orientation val="minMax"/>
        </c:scaling>
        <c:delete val="0"/>
        <c:axPos val="l"/>
        <c:numFmt formatCode="&quot;$&quot;#,&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39017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Dashboard newww.xlsx]Analysis!PivotTable33</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Analysis!$CQ$70:$CQ$71</c:f>
              <c:strCache>
                <c:ptCount val="1"/>
                <c:pt idx="0">
                  <c:v>2018</c:v>
                </c:pt>
              </c:strCache>
            </c:strRef>
          </c:tx>
          <c:spPr>
            <a:solidFill>
              <a:schemeClr val="accent1"/>
            </a:solidFill>
            <a:ln>
              <a:noFill/>
            </a:ln>
            <a:effectLst/>
          </c:spPr>
          <c:invertIfNegative val="0"/>
          <c:cat>
            <c:strRef>
              <c:f>Analysis!$CP$72:$CP$83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Analysis!$CQ$72:$CQ$83</c:f>
              <c:numCache>
                <c:formatCode>"$"#,##0</c:formatCode>
                <c:ptCount val="12"/>
                <c:pt idx="0">
                  <c:v>59000</c:v>
                </c:pt>
                <c:pt idx="3">
                  <c:v>437368</c:v>
                </c:pt>
                <c:pt idx="4">
                  <c:v>6678000</c:v>
                </c:pt>
              </c:numCache>
            </c:numRef>
          </c:val>
          <c:extLst>
            <c:ext xmlns:c16="http://schemas.microsoft.com/office/drawing/2014/chart" uri="{C3380CC4-5D6E-409C-BE32-E72D297353CC}">
              <c16:uniqueId val="{00000000-ACC0-4623-9190-DE77DC91658C}"/>
            </c:ext>
          </c:extLst>
        </c:ser>
        <c:ser>
          <c:idx val="1"/>
          <c:order val="1"/>
          <c:tx>
            <c:strRef>
              <c:f>Analysis!$CR$70:$CR$71</c:f>
              <c:strCache>
                <c:ptCount val="1"/>
                <c:pt idx="0">
                  <c:v>2019</c:v>
                </c:pt>
              </c:strCache>
            </c:strRef>
          </c:tx>
          <c:spPr>
            <a:solidFill>
              <a:schemeClr val="accent2"/>
            </a:solidFill>
            <a:ln>
              <a:noFill/>
            </a:ln>
            <a:effectLst/>
          </c:spPr>
          <c:invertIfNegative val="0"/>
          <c:cat>
            <c:strRef>
              <c:f>Analysis!$CP$72:$CP$83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Analysis!$CR$72:$CR$83</c:f>
              <c:numCache>
                <c:formatCode>"$"#,##0</c:formatCode>
                <c:ptCount val="12"/>
                <c:pt idx="0">
                  <c:v>108000</c:v>
                </c:pt>
                <c:pt idx="1">
                  <c:v>156000</c:v>
                </c:pt>
                <c:pt idx="4">
                  <c:v>30000</c:v>
                </c:pt>
                <c:pt idx="5">
                  <c:v>52000</c:v>
                </c:pt>
              </c:numCache>
            </c:numRef>
          </c:val>
          <c:extLst>
            <c:ext xmlns:c16="http://schemas.microsoft.com/office/drawing/2014/chart" uri="{C3380CC4-5D6E-409C-BE32-E72D297353CC}">
              <c16:uniqueId val="{00000001-ACC0-4623-9190-DE77DC91658C}"/>
            </c:ext>
          </c:extLst>
        </c:ser>
        <c:ser>
          <c:idx val="2"/>
          <c:order val="2"/>
          <c:tx>
            <c:strRef>
              <c:f>Analysis!$CS$70:$CS$71</c:f>
              <c:strCache>
                <c:ptCount val="1"/>
                <c:pt idx="0">
                  <c:v>2020</c:v>
                </c:pt>
              </c:strCache>
            </c:strRef>
          </c:tx>
          <c:spPr>
            <a:solidFill>
              <a:schemeClr val="accent3"/>
            </a:solidFill>
            <a:ln>
              <a:noFill/>
            </a:ln>
            <a:effectLst/>
          </c:spPr>
          <c:invertIfNegative val="0"/>
          <c:cat>
            <c:strRef>
              <c:f>Analysis!$CP$72:$CP$83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Analysis!$CS$72:$CS$83</c:f>
              <c:numCache>
                <c:formatCode>"$"#,##0</c:formatCode>
                <c:ptCount val="12"/>
                <c:pt idx="2">
                  <c:v>61000</c:v>
                </c:pt>
                <c:pt idx="3">
                  <c:v>153000</c:v>
                </c:pt>
                <c:pt idx="9">
                  <c:v>6832000</c:v>
                </c:pt>
                <c:pt idx="10">
                  <c:v>3652005</c:v>
                </c:pt>
                <c:pt idx="11">
                  <c:v>5553900</c:v>
                </c:pt>
              </c:numCache>
            </c:numRef>
          </c:val>
          <c:extLst>
            <c:ext xmlns:c16="http://schemas.microsoft.com/office/drawing/2014/chart" uri="{C3380CC4-5D6E-409C-BE32-E72D297353CC}">
              <c16:uniqueId val="{00000002-ACC0-4623-9190-DE77DC91658C}"/>
            </c:ext>
          </c:extLst>
        </c:ser>
        <c:ser>
          <c:idx val="3"/>
          <c:order val="3"/>
          <c:tx>
            <c:strRef>
              <c:f>Analysis!$CT$70:$CT$71</c:f>
              <c:strCache>
                <c:ptCount val="1"/>
                <c:pt idx="0">
                  <c:v>2021</c:v>
                </c:pt>
              </c:strCache>
            </c:strRef>
          </c:tx>
          <c:spPr>
            <a:solidFill>
              <a:schemeClr val="accent4"/>
            </a:solidFill>
            <a:ln>
              <a:noFill/>
            </a:ln>
            <a:effectLst/>
          </c:spPr>
          <c:invertIfNegative val="0"/>
          <c:cat>
            <c:strRef>
              <c:f>Analysis!$CP$72:$CP$83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Analysis!$CT$72:$CT$83</c:f>
              <c:numCache>
                <c:formatCode>"$"#,##0</c:formatCode>
                <c:ptCount val="12"/>
                <c:pt idx="0">
                  <c:v>7165711</c:v>
                </c:pt>
                <c:pt idx="1">
                  <c:v>5871800</c:v>
                </c:pt>
                <c:pt idx="2">
                  <c:v>8519700</c:v>
                </c:pt>
                <c:pt idx="3">
                  <c:v>9336250</c:v>
                </c:pt>
                <c:pt idx="4">
                  <c:v>7091650</c:v>
                </c:pt>
                <c:pt idx="5">
                  <c:v>9113300</c:v>
                </c:pt>
                <c:pt idx="6">
                  <c:v>18232500</c:v>
                </c:pt>
                <c:pt idx="7">
                  <c:v>7569800</c:v>
                </c:pt>
                <c:pt idx="8">
                  <c:v>9003365</c:v>
                </c:pt>
              </c:numCache>
            </c:numRef>
          </c:val>
          <c:extLst>
            <c:ext xmlns:c16="http://schemas.microsoft.com/office/drawing/2014/chart" uri="{C3380CC4-5D6E-409C-BE32-E72D297353CC}">
              <c16:uniqueId val="{00000003-ACC0-4623-9190-DE77DC91658C}"/>
            </c:ext>
          </c:extLst>
        </c:ser>
        <c:dLbls>
          <c:showLegendKey val="0"/>
          <c:showVal val="0"/>
          <c:showCatName val="0"/>
          <c:showSerName val="0"/>
          <c:showPercent val="0"/>
          <c:showBubbleSize val="0"/>
        </c:dLbls>
        <c:gapWidth val="150"/>
        <c:overlap val="100"/>
        <c:axId val="468505712"/>
        <c:axId val="468496592"/>
      </c:barChart>
      <c:catAx>
        <c:axId val="468505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496592"/>
        <c:crosses val="autoZero"/>
        <c:auto val="1"/>
        <c:lblAlgn val="ctr"/>
        <c:lblOffset val="100"/>
        <c:noMultiLvlLbl val="0"/>
      </c:catAx>
      <c:valAx>
        <c:axId val="46849659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505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Dashboard newww.xlsx]Analysis!PivotTable10</c:name>
    <c:fmtId val="2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Analysis!$CA$7</c:f>
              <c:strCache>
                <c:ptCount val="1"/>
                <c:pt idx="0">
                  <c:v>Total</c:v>
                </c:pt>
              </c:strCache>
            </c:strRef>
          </c:tx>
          <c:spPr>
            <a:solidFill>
              <a:schemeClr val="accent1"/>
            </a:solidFill>
            <a:ln>
              <a:noFill/>
            </a:ln>
            <a:effectLst/>
          </c:spPr>
          <c:invertIfNegative val="0"/>
          <c:cat>
            <c:strRef>
              <c:f>Analysis!$BZ$8:$BZ$11</c:f>
              <c:strCache>
                <c:ptCount val="4"/>
                <c:pt idx="0">
                  <c:v>Apartments</c:v>
                </c:pt>
                <c:pt idx="1">
                  <c:v>Commercial</c:v>
                </c:pt>
                <c:pt idx="2">
                  <c:v>Condo</c:v>
                </c:pt>
                <c:pt idx="3">
                  <c:v>Residential</c:v>
                </c:pt>
              </c:strCache>
            </c:strRef>
          </c:cat>
          <c:val>
            <c:numRef>
              <c:f>Analysis!$CA$8:$CA$11</c:f>
              <c:numCache>
                <c:formatCode>General</c:formatCode>
                <c:ptCount val="4"/>
                <c:pt idx="0">
                  <c:v>292833.33333333331</c:v>
                </c:pt>
                <c:pt idx="1">
                  <c:v>986120.04347826086</c:v>
                </c:pt>
                <c:pt idx="2">
                  <c:v>386269.56363636366</c:v>
                </c:pt>
                <c:pt idx="3">
                  <c:v>448088.67469879519</c:v>
                </c:pt>
              </c:numCache>
            </c:numRef>
          </c:val>
          <c:extLst>
            <c:ext xmlns:c16="http://schemas.microsoft.com/office/drawing/2014/chart" uri="{C3380CC4-5D6E-409C-BE32-E72D297353CC}">
              <c16:uniqueId val="{00000000-47EE-4A9B-9541-F9B754CEFB2A}"/>
            </c:ext>
          </c:extLst>
        </c:ser>
        <c:dLbls>
          <c:showLegendKey val="0"/>
          <c:showVal val="0"/>
          <c:showCatName val="0"/>
          <c:showSerName val="0"/>
          <c:showPercent val="0"/>
          <c:showBubbleSize val="0"/>
        </c:dLbls>
        <c:gapWidth val="182"/>
        <c:axId val="1841024128"/>
        <c:axId val="1841034208"/>
      </c:barChart>
      <c:catAx>
        <c:axId val="1841024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1034208"/>
        <c:crosses val="autoZero"/>
        <c:auto val="1"/>
        <c:lblAlgn val="ctr"/>
        <c:lblOffset val="100"/>
        <c:noMultiLvlLbl val="0"/>
      </c:catAx>
      <c:valAx>
        <c:axId val="18410342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1024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Dashboard newww.xlsx]Analysis!PivotTable1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Analysis!$AQ$7</c:f>
              <c:strCache>
                <c:ptCount val="1"/>
                <c:pt idx="0">
                  <c:v>Total</c:v>
                </c:pt>
              </c:strCache>
            </c:strRef>
          </c:tx>
          <c:spPr>
            <a:solidFill>
              <a:schemeClr val="accent1"/>
            </a:solidFill>
            <a:ln>
              <a:noFill/>
            </a:ln>
            <a:effectLst/>
          </c:spPr>
          <c:invertIfNegative val="0"/>
          <c:cat>
            <c:multiLvlStrRef>
              <c:f>Analysis!$AP$8:$AP$17</c:f>
              <c:multiLvlStrCache>
                <c:ptCount val="5"/>
                <c:lvl>
                  <c:pt idx="0">
                    <c:v>Rocky Hill</c:v>
                  </c:pt>
                  <c:pt idx="1">
                    <c:v>Cromwell</c:v>
                  </c:pt>
                  <c:pt idx="2">
                    <c:v>Greenwich</c:v>
                  </c:pt>
                  <c:pt idx="3">
                    <c:v>New London</c:v>
                  </c:pt>
                  <c:pt idx="4">
                    <c:v>New London</c:v>
                  </c:pt>
                </c:lvl>
                <c:lvl>
                  <c:pt idx="0">
                    <c:v>13D ROBBINS LANE</c:v>
                  </c:pt>
                  <c:pt idx="1">
                    <c:v>34      SHUNPIKE      ROAD</c:v>
                  </c:pt>
                  <c:pt idx="2">
                    <c:v>11 BAYBERRY LANE</c:v>
                  </c:pt>
                  <c:pt idx="3">
                    <c:v>83 MANSFIELD RD 228</c:v>
                  </c:pt>
                  <c:pt idx="4">
                    <c:v>83 MANSFIELD RD 220</c:v>
                  </c:pt>
                </c:lvl>
              </c:multiLvlStrCache>
            </c:multiLvlStrRef>
          </c:cat>
          <c:val>
            <c:numRef>
              <c:f>Analysis!$AQ$8:$AQ$17</c:f>
              <c:numCache>
                <c:formatCode>_("$"* #,##0_);_("$"* \(#,##0\);_("$"* "-"_);_(@_)</c:formatCode>
                <c:ptCount val="5"/>
                <c:pt idx="0">
                  <c:v>13650000</c:v>
                </c:pt>
                <c:pt idx="1">
                  <c:v>5214750</c:v>
                </c:pt>
                <c:pt idx="2">
                  <c:v>4300000</c:v>
                </c:pt>
                <c:pt idx="3">
                  <c:v>3266250</c:v>
                </c:pt>
                <c:pt idx="4">
                  <c:v>3266250</c:v>
                </c:pt>
              </c:numCache>
            </c:numRef>
          </c:val>
          <c:extLst>
            <c:ext xmlns:c16="http://schemas.microsoft.com/office/drawing/2014/chart" uri="{C3380CC4-5D6E-409C-BE32-E72D297353CC}">
              <c16:uniqueId val="{00000000-3CD3-4E76-81B0-37907E958A37}"/>
            </c:ext>
          </c:extLst>
        </c:ser>
        <c:dLbls>
          <c:showLegendKey val="0"/>
          <c:showVal val="0"/>
          <c:showCatName val="0"/>
          <c:showSerName val="0"/>
          <c:showPercent val="0"/>
          <c:showBubbleSize val="0"/>
        </c:dLbls>
        <c:gapWidth val="219"/>
        <c:overlap val="-27"/>
        <c:axId val="1973300224"/>
        <c:axId val="1973322784"/>
      </c:barChart>
      <c:catAx>
        <c:axId val="1973300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322784"/>
        <c:crosses val="autoZero"/>
        <c:auto val="1"/>
        <c:lblAlgn val="ctr"/>
        <c:lblOffset val="100"/>
        <c:noMultiLvlLbl val="0"/>
      </c:catAx>
      <c:valAx>
        <c:axId val="197332278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300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Dashboard newww.xlsx]Analysis!PivotTable16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SALES BY </a:t>
            </a:r>
          </a:p>
          <a:p>
            <a:pPr>
              <a:defRPr/>
            </a:pPr>
            <a:r>
              <a:rPr lang="en-US" baseline="0"/>
              <a:t>TOWN</a:t>
            </a:r>
          </a:p>
          <a:p>
            <a:pPr>
              <a:defRPr/>
            </a:pPr>
            <a:endParaRPr lang="en-US"/>
          </a:p>
        </c:rich>
      </c:tx>
      <c:layout>
        <c:manualLayout>
          <c:xMode val="edge"/>
          <c:yMode val="edge"/>
          <c:x val="8.3603402790274464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pivotFmt>
      <c:pivotFmt>
        <c:idx val="175"/>
        <c:spPr>
          <a:solidFill>
            <a:schemeClr val="accent1"/>
          </a:solidFill>
          <a:ln w="19050">
            <a:solidFill>
              <a:schemeClr val="lt1"/>
            </a:solidFill>
          </a:ln>
          <a:effectLst/>
        </c:spPr>
      </c:pivotFmt>
      <c:pivotFmt>
        <c:idx val="176"/>
        <c:spPr>
          <a:solidFill>
            <a:schemeClr val="accent1"/>
          </a:solidFill>
          <a:ln w="19050">
            <a:solidFill>
              <a:schemeClr val="lt1"/>
            </a:solidFill>
          </a:ln>
          <a:effectLst/>
        </c:spPr>
      </c:pivotFmt>
      <c:pivotFmt>
        <c:idx val="177"/>
        <c:spPr>
          <a:solidFill>
            <a:schemeClr val="accent1"/>
          </a:solidFill>
          <a:ln w="19050">
            <a:solidFill>
              <a:schemeClr val="lt1"/>
            </a:solidFill>
          </a:ln>
          <a:effectLst/>
        </c:spPr>
      </c:pivotFmt>
      <c:pivotFmt>
        <c:idx val="178"/>
        <c:spPr>
          <a:solidFill>
            <a:schemeClr val="accent1"/>
          </a:solidFill>
          <a:ln w="19050">
            <a:solidFill>
              <a:schemeClr val="lt1"/>
            </a:solidFill>
          </a:ln>
          <a:effectLst/>
        </c:spPr>
      </c:pivotFmt>
      <c:pivotFmt>
        <c:idx val="179"/>
        <c:spPr>
          <a:solidFill>
            <a:schemeClr val="accent1"/>
          </a:solidFill>
          <a:ln w="19050">
            <a:solidFill>
              <a:schemeClr val="lt1"/>
            </a:solidFill>
          </a:ln>
          <a:effectLst/>
        </c:spPr>
      </c:pivotFmt>
      <c:pivotFmt>
        <c:idx val="180"/>
        <c:spPr>
          <a:solidFill>
            <a:schemeClr val="accent1"/>
          </a:solidFill>
          <a:ln w="19050">
            <a:solidFill>
              <a:schemeClr val="lt1"/>
            </a:solidFill>
          </a:ln>
          <a:effectLst/>
        </c:spPr>
      </c:pivotFmt>
      <c:pivotFmt>
        <c:idx val="181"/>
        <c:spPr>
          <a:solidFill>
            <a:schemeClr val="accent1"/>
          </a:solidFill>
          <a:ln w="19050">
            <a:solidFill>
              <a:schemeClr val="lt1"/>
            </a:solidFill>
          </a:ln>
          <a:effectLst/>
        </c:spPr>
      </c:pivotFmt>
      <c:pivotFmt>
        <c:idx val="182"/>
        <c:spPr>
          <a:solidFill>
            <a:schemeClr val="accent1"/>
          </a:solidFill>
          <a:ln w="19050">
            <a:solidFill>
              <a:schemeClr val="lt1"/>
            </a:solidFill>
          </a:ln>
          <a:effectLst/>
        </c:spPr>
      </c:pivotFmt>
      <c:pivotFmt>
        <c:idx val="183"/>
        <c:spPr>
          <a:solidFill>
            <a:schemeClr val="accent1"/>
          </a:solidFill>
          <a:ln w="19050">
            <a:solidFill>
              <a:schemeClr val="lt1"/>
            </a:solidFill>
          </a:ln>
          <a:effectLst/>
        </c:spPr>
      </c:pivotFmt>
      <c:pivotFmt>
        <c:idx val="184"/>
        <c:spPr>
          <a:solidFill>
            <a:schemeClr val="accent1"/>
          </a:solidFill>
          <a:ln w="19050">
            <a:solidFill>
              <a:schemeClr val="lt1"/>
            </a:solidFill>
          </a:ln>
          <a:effectLst/>
        </c:spPr>
      </c:pivotFmt>
      <c:pivotFmt>
        <c:idx val="185"/>
        <c:spPr>
          <a:solidFill>
            <a:schemeClr val="accent1"/>
          </a:solidFill>
          <a:ln w="19050">
            <a:solidFill>
              <a:schemeClr val="lt1"/>
            </a:solidFill>
          </a:ln>
          <a:effectLst/>
        </c:spPr>
      </c:pivotFmt>
      <c:pivotFmt>
        <c:idx val="186"/>
        <c:spPr>
          <a:solidFill>
            <a:schemeClr val="accent1"/>
          </a:solidFill>
          <a:ln w="19050">
            <a:solidFill>
              <a:schemeClr val="lt1"/>
            </a:solidFill>
          </a:ln>
          <a:effectLst/>
        </c:spPr>
      </c:pivotFmt>
      <c:pivotFmt>
        <c:idx val="187"/>
        <c:spPr>
          <a:solidFill>
            <a:schemeClr val="accent1"/>
          </a:solidFill>
          <a:ln w="19050">
            <a:solidFill>
              <a:schemeClr val="lt1"/>
            </a:solidFill>
          </a:ln>
          <a:effectLst/>
        </c:spPr>
      </c:pivotFmt>
      <c:pivotFmt>
        <c:idx val="188"/>
        <c:spPr>
          <a:solidFill>
            <a:schemeClr val="accent1"/>
          </a:solidFill>
          <a:ln w="19050">
            <a:solidFill>
              <a:schemeClr val="lt1"/>
            </a:solidFill>
          </a:ln>
          <a:effectLst/>
        </c:spPr>
      </c:pivotFmt>
      <c:pivotFmt>
        <c:idx val="189"/>
        <c:spPr>
          <a:solidFill>
            <a:schemeClr val="accent1"/>
          </a:solidFill>
          <a:ln w="19050">
            <a:solidFill>
              <a:schemeClr val="lt1"/>
            </a:solidFill>
          </a:ln>
          <a:effectLst/>
        </c:spPr>
      </c:pivotFmt>
      <c:pivotFmt>
        <c:idx val="190"/>
        <c:spPr>
          <a:solidFill>
            <a:schemeClr val="accent1"/>
          </a:solidFill>
          <a:ln w="19050">
            <a:solidFill>
              <a:schemeClr val="lt1"/>
            </a:solidFill>
          </a:ln>
          <a:effectLst/>
        </c:spPr>
      </c:pivotFmt>
      <c:pivotFmt>
        <c:idx val="191"/>
        <c:spPr>
          <a:solidFill>
            <a:schemeClr val="accent1"/>
          </a:solidFill>
          <a:ln w="19050">
            <a:solidFill>
              <a:schemeClr val="lt1"/>
            </a:solidFill>
          </a:ln>
          <a:effectLst/>
        </c:spPr>
      </c:pivotFmt>
      <c:pivotFmt>
        <c:idx val="192"/>
        <c:spPr>
          <a:solidFill>
            <a:schemeClr val="accent1"/>
          </a:solidFill>
          <a:ln w="19050">
            <a:solidFill>
              <a:schemeClr val="lt1"/>
            </a:solidFill>
          </a:ln>
          <a:effectLst/>
        </c:spPr>
      </c:pivotFmt>
      <c:pivotFmt>
        <c:idx val="193"/>
        <c:spPr>
          <a:solidFill>
            <a:schemeClr val="accent1"/>
          </a:solidFill>
          <a:ln w="19050">
            <a:solidFill>
              <a:schemeClr val="lt1"/>
            </a:solidFill>
          </a:ln>
          <a:effectLst/>
        </c:spPr>
      </c:pivotFmt>
      <c:pivotFmt>
        <c:idx val="194"/>
        <c:spPr>
          <a:solidFill>
            <a:schemeClr val="accent1"/>
          </a:solidFill>
          <a:ln w="19050">
            <a:solidFill>
              <a:schemeClr val="lt1"/>
            </a:solidFill>
          </a:ln>
          <a:effectLst/>
        </c:spPr>
      </c:pivotFmt>
      <c:pivotFmt>
        <c:idx val="195"/>
        <c:spPr>
          <a:solidFill>
            <a:schemeClr val="accent1"/>
          </a:solidFill>
          <a:ln w="19050">
            <a:solidFill>
              <a:schemeClr val="lt1"/>
            </a:solidFill>
          </a:ln>
          <a:effectLst/>
        </c:spPr>
      </c:pivotFmt>
      <c:pivotFmt>
        <c:idx val="196"/>
        <c:spPr>
          <a:solidFill>
            <a:schemeClr val="accent1"/>
          </a:solidFill>
          <a:ln w="19050">
            <a:solidFill>
              <a:schemeClr val="lt1"/>
            </a:solidFill>
          </a:ln>
          <a:effectLst/>
        </c:spPr>
      </c:pivotFmt>
      <c:pivotFmt>
        <c:idx val="197"/>
        <c:spPr>
          <a:solidFill>
            <a:schemeClr val="accent1"/>
          </a:solidFill>
          <a:ln w="19050">
            <a:solidFill>
              <a:schemeClr val="lt1"/>
            </a:solidFill>
          </a:ln>
          <a:effectLst/>
        </c:spPr>
      </c:pivotFmt>
      <c:pivotFmt>
        <c:idx val="198"/>
        <c:spPr>
          <a:solidFill>
            <a:schemeClr val="accent1"/>
          </a:solidFill>
          <a:ln w="19050">
            <a:solidFill>
              <a:schemeClr val="lt1"/>
            </a:solidFill>
          </a:ln>
          <a:effectLst/>
        </c:spPr>
      </c:pivotFmt>
      <c:pivotFmt>
        <c:idx val="199"/>
        <c:spPr>
          <a:solidFill>
            <a:schemeClr val="accent1"/>
          </a:solidFill>
          <a:ln w="19050">
            <a:solidFill>
              <a:schemeClr val="lt1"/>
            </a:solidFill>
          </a:ln>
          <a:effectLst/>
        </c:spPr>
      </c:pivotFmt>
      <c:pivotFmt>
        <c:idx val="200"/>
        <c:spPr>
          <a:solidFill>
            <a:schemeClr val="accent1"/>
          </a:solidFill>
          <a:ln w="19050">
            <a:solidFill>
              <a:schemeClr val="lt1"/>
            </a:solidFill>
          </a:ln>
          <a:effectLst/>
        </c:spPr>
      </c:pivotFmt>
      <c:pivotFmt>
        <c:idx val="201"/>
        <c:spPr>
          <a:solidFill>
            <a:schemeClr val="accent1"/>
          </a:solidFill>
          <a:ln w="19050">
            <a:solidFill>
              <a:schemeClr val="lt1"/>
            </a:solidFill>
          </a:ln>
          <a:effectLst/>
        </c:spPr>
      </c:pivotFmt>
      <c:pivotFmt>
        <c:idx val="202"/>
        <c:spPr>
          <a:solidFill>
            <a:schemeClr val="accent1"/>
          </a:solidFill>
          <a:ln w="19050">
            <a:solidFill>
              <a:schemeClr val="lt1"/>
            </a:solidFill>
          </a:ln>
          <a:effectLst/>
        </c:spPr>
      </c:pivotFmt>
      <c:pivotFmt>
        <c:idx val="203"/>
        <c:spPr>
          <a:solidFill>
            <a:schemeClr val="accent1"/>
          </a:solidFill>
          <a:ln w="19050">
            <a:solidFill>
              <a:schemeClr val="lt1"/>
            </a:solidFill>
          </a:ln>
          <a:effectLst/>
        </c:spPr>
      </c:pivotFmt>
      <c:pivotFmt>
        <c:idx val="204"/>
        <c:spPr>
          <a:solidFill>
            <a:schemeClr val="accent1"/>
          </a:solidFill>
          <a:ln w="19050">
            <a:solidFill>
              <a:schemeClr val="lt1"/>
            </a:solidFill>
          </a:ln>
          <a:effectLst/>
        </c:spPr>
      </c:pivotFmt>
      <c:pivotFmt>
        <c:idx val="205"/>
        <c:spPr>
          <a:solidFill>
            <a:schemeClr val="accent1"/>
          </a:solidFill>
          <a:ln w="19050">
            <a:solidFill>
              <a:schemeClr val="lt1"/>
            </a:solidFill>
          </a:ln>
          <a:effectLst/>
        </c:spPr>
      </c:pivotFmt>
      <c:pivotFmt>
        <c:idx val="206"/>
        <c:spPr>
          <a:solidFill>
            <a:schemeClr val="accent1"/>
          </a:solidFill>
          <a:ln w="19050">
            <a:solidFill>
              <a:schemeClr val="lt1"/>
            </a:solidFill>
          </a:ln>
          <a:effectLst/>
        </c:spPr>
      </c:pivotFmt>
      <c:pivotFmt>
        <c:idx val="207"/>
        <c:spPr>
          <a:solidFill>
            <a:schemeClr val="accent1"/>
          </a:solidFill>
          <a:ln w="19050">
            <a:solidFill>
              <a:schemeClr val="lt1"/>
            </a:solidFill>
          </a:ln>
          <a:effectLst/>
        </c:spPr>
      </c:pivotFmt>
    </c:pivotFmts>
    <c:plotArea>
      <c:layout/>
      <c:doughnutChart>
        <c:varyColors val="1"/>
        <c:ser>
          <c:idx val="0"/>
          <c:order val="0"/>
          <c:tx>
            <c:strRef>
              <c:f>Analysis!$BB$3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3B0-442F-A06C-61B99FD42F4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3B0-442F-A06C-61B99FD42F4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3B0-442F-A06C-61B99FD42F4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3B0-442F-A06C-61B99FD42F4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3B0-442F-A06C-61B99FD42F4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A72-4CF2-B45D-CD21CC1C0FA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A72-4CF2-B45D-CD21CC1C0FA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6A72-4CF2-B45D-CD21CC1C0FA4}"/>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6A72-4CF2-B45D-CD21CC1C0FA4}"/>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6A72-4CF2-B45D-CD21CC1C0FA4}"/>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6A72-4CF2-B45D-CD21CC1C0FA4}"/>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6A72-4CF2-B45D-CD21CC1C0FA4}"/>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6A72-4CF2-B45D-CD21CC1C0FA4}"/>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6A72-4CF2-B45D-CD21CC1C0FA4}"/>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6A72-4CF2-B45D-CD21CC1C0FA4}"/>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6A72-4CF2-B45D-CD21CC1C0FA4}"/>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6A72-4CF2-B45D-CD21CC1C0FA4}"/>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6A72-4CF2-B45D-CD21CC1C0FA4}"/>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6A72-4CF2-B45D-CD21CC1C0FA4}"/>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6A72-4CF2-B45D-CD21CC1C0FA4}"/>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6A72-4CF2-B45D-CD21CC1C0FA4}"/>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6A72-4CF2-B45D-CD21CC1C0FA4}"/>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6A72-4CF2-B45D-CD21CC1C0FA4}"/>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6A72-4CF2-B45D-CD21CC1C0FA4}"/>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6A72-4CF2-B45D-CD21CC1C0FA4}"/>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6A72-4CF2-B45D-CD21CC1C0FA4}"/>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6A72-4CF2-B45D-CD21CC1C0FA4}"/>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6A72-4CF2-B45D-CD21CC1C0FA4}"/>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6A72-4CF2-B45D-CD21CC1C0FA4}"/>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6A72-4CF2-B45D-CD21CC1C0FA4}"/>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6A72-4CF2-B45D-CD21CC1C0FA4}"/>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6A72-4CF2-B45D-CD21CC1C0FA4}"/>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6A72-4CF2-B45D-CD21CC1C0FA4}"/>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43-6A72-4CF2-B45D-CD21CC1C0FA4}"/>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45-6A72-4CF2-B45D-CD21CC1C0FA4}"/>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47-6A72-4CF2-B45D-CD21CC1C0FA4}"/>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49-6A72-4CF2-B45D-CD21CC1C0FA4}"/>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4B-6A72-4CF2-B45D-CD21CC1C0FA4}"/>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4D-6A72-4CF2-B45D-CD21CC1C0FA4}"/>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4F-6A72-4CF2-B45D-CD21CC1C0FA4}"/>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51-6A72-4CF2-B45D-CD21CC1C0FA4}"/>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53-6A72-4CF2-B45D-CD21CC1C0FA4}"/>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55-6A72-4CF2-B45D-CD21CC1C0FA4}"/>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57-6A72-4CF2-B45D-CD21CC1C0FA4}"/>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59-6A72-4CF2-B45D-CD21CC1C0FA4}"/>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5B-6A72-4CF2-B45D-CD21CC1C0FA4}"/>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5D-6A72-4CF2-B45D-CD21CC1C0FA4}"/>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5F-6A72-4CF2-B45D-CD21CC1C0FA4}"/>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61-6A72-4CF2-B45D-CD21CC1C0FA4}"/>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63-6A72-4CF2-B45D-CD21CC1C0FA4}"/>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65-6A72-4CF2-B45D-CD21CC1C0FA4}"/>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67-6A72-4CF2-B45D-CD21CC1C0FA4}"/>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69-6A72-4CF2-B45D-CD21CC1C0FA4}"/>
              </c:ext>
            </c:extLst>
          </c:dPt>
          <c:dPt>
            <c:idx val="5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6B-6A72-4CF2-B45D-CD21CC1C0FA4}"/>
              </c:ext>
            </c:extLst>
          </c:dPt>
          <c:dPt>
            <c:idx val="54"/>
            <c:bubble3D val="0"/>
            <c:spPr>
              <a:solidFill>
                <a:schemeClr val="accent1"/>
              </a:solidFill>
              <a:ln w="19050">
                <a:solidFill>
                  <a:schemeClr val="lt1"/>
                </a:solidFill>
              </a:ln>
              <a:effectLst/>
            </c:spPr>
            <c:extLst>
              <c:ext xmlns:c16="http://schemas.microsoft.com/office/drawing/2014/chart" uri="{C3380CC4-5D6E-409C-BE32-E72D297353CC}">
                <c16:uniqueId val="{0000006D-6A72-4CF2-B45D-CD21CC1C0FA4}"/>
              </c:ext>
            </c:extLst>
          </c:dPt>
          <c:dPt>
            <c:idx val="55"/>
            <c:bubble3D val="0"/>
            <c:spPr>
              <a:solidFill>
                <a:schemeClr val="accent2"/>
              </a:solidFill>
              <a:ln w="19050">
                <a:solidFill>
                  <a:schemeClr val="lt1"/>
                </a:solidFill>
              </a:ln>
              <a:effectLst/>
            </c:spPr>
            <c:extLst>
              <c:ext xmlns:c16="http://schemas.microsoft.com/office/drawing/2014/chart" uri="{C3380CC4-5D6E-409C-BE32-E72D297353CC}">
                <c16:uniqueId val="{0000006F-6A72-4CF2-B45D-CD21CC1C0FA4}"/>
              </c:ext>
            </c:extLst>
          </c:dPt>
          <c:dPt>
            <c:idx val="56"/>
            <c:bubble3D val="0"/>
            <c:spPr>
              <a:solidFill>
                <a:schemeClr val="accent3"/>
              </a:solidFill>
              <a:ln w="19050">
                <a:solidFill>
                  <a:schemeClr val="lt1"/>
                </a:solidFill>
              </a:ln>
              <a:effectLst/>
            </c:spPr>
            <c:extLst>
              <c:ext xmlns:c16="http://schemas.microsoft.com/office/drawing/2014/chart" uri="{C3380CC4-5D6E-409C-BE32-E72D297353CC}">
                <c16:uniqueId val="{00000071-6A72-4CF2-B45D-CD21CC1C0FA4}"/>
              </c:ext>
            </c:extLst>
          </c:dPt>
          <c:dPt>
            <c:idx val="57"/>
            <c:bubble3D val="0"/>
            <c:spPr>
              <a:solidFill>
                <a:schemeClr val="accent4"/>
              </a:solidFill>
              <a:ln w="19050">
                <a:solidFill>
                  <a:schemeClr val="lt1"/>
                </a:solidFill>
              </a:ln>
              <a:effectLst/>
            </c:spPr>
            <c:extLst>
              <c:ext xmlns:c16="http://schemas.microsoft.com/office/drawing/2014/chart" uri="{C3380CC4-5D6E-409C-BE32-E72D297353CC}">
                <c16:uniqueId val="{00000073-6A72-4CF2-B45D-CD21CC1C0FA4}"/>
              </c:ext>
            </c:extLst>
          </c:dPt>
          <c:dPt>
            <c:idx val="58"/>
            <c:bubble3D val="0"/>
            <c:spPr>
              <a:solidFill>
                <a:schemeClr val="accent5"/>
              </a:solidFill>
              <a:ln w="19050">
                <a:solidFill>
                  <a:schemeClr val="lt1"/>
                </a:solidFill>
              </a:ln>
              <a:effectLst/>
            </c:spPr>
            <c:extLst>
              <c:ext xmlns:c16="http://schemas.microsoft.com/office/drawing/2014/chart" uri="{C3380CC4-5D6E-409C-BE32-E72D297353CC}">
                <c16:uniqueId val="{00000075-6A72-4CF2-B45D-CD21CC1C0FA4}"/>
              </c:ext>
            </c:extLst>
          </c:dPt>
          <c:dPt>
            <c:idx val="59"/>
            <c:bubble3D val="0"/>
            <c:spPr>
              <a:solidFill>
                <a:schemeClr val="accent6"/>
              </a:solidFill>
              <a:ln w="19050">
                <a:solidFill>
                  <a:schemeClr val="lt1"/>
                </a:solidFill>
              </a:ln>
              <a:effectLst/>
            </c:spPr>
            <c:extLst>
              <c:ext xmlns:c16="http://schemas.microsoft.com/office/drawing/2014/chart" uri="{C3380CC4-5D6E-409C-BE32-E72D297353CC}">
                <c16:uniqueId val="{00000077-6A72-4CF2-B45D-CD21CC1C0FA4}"/>
              </c:ext>
            </c:extLst>
          </c:dPt>
          <c:dPt>
            <c:idx val="6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79-6A72-4CF2-B45D-CD21CC1C0FA4}"/>
              </c:ext>
            </c:extLst>
          </c:dPt>
          <c:dPt>
            <c:idx val="6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7B-6A72-4CF2-B45D-CD21CC1C0FA4}"/>
              </c:ext>
            </c:extLst>
          </c:dPt>
          <c:dPt>
            <c:idx val="6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7D-6A72-4CF2-B45D-CD21CC1C0FA4}"/>
              </c:ext>
            </c:extLst>
          </c:dPt>
          <c:dPt>
            <c:idx val="6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7F-6A72-4CF2-B45D-CD21CC1C0FA4}"/>
              </c:ext>
            </c:extLst>
          </c:dPt>
          <c:dPt>
            <c:idx val="6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81-6A72-4CF2-B45D-CD21CC1C0FA4}"/>
              </c:ext>
            </c:extLst>
          </c:dPt>
          <c:dPt>
            <c:idx val="6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83-6A72-4CF2-B45D-CD21CC1C0FA4}"/>
              </c:ext>
            </c:extLst>
          </c:dPt>
          <c:dPt>
            <c:idx val="6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85-6A72-4CF2-B45D-CD21CC1C0FA4}"/>
              </c:ext>
            </c:extLst>
          </c:dPt>
          <c:dPt>
            <c:idx val="6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87-6A72-4CF2-B45D-CD21CC1C0FA4}"/>
              </c:ext>
            </c:extLst>
          </c:dPt>
          <c:dPt>
            <c:idx val="6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89-6A72-4CF2-B45D-CD21CC1C0FA4}"/>
              </c:ext>
            </c:extLst>
          </c:dPt>
          <c:dPt>
            <c:idx val="6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8B-6A72-4CF2-B45D-CD21CC1C0FA4}"/>
              </c:ext>
            </c:extLst>
          </c:dPt>
          <c:dPt>
            <c:idx val="7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8D-6A72-4CF2-B45D-CD21CC1C0FA4}"/>
              </c:ext>
            </c:extLst>
          </c:dPt>
          <c:dPt>
            <c:idx val="7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8F-6A72-4CF2-B45D-CD21CC1C0FA4}"/>
              </c:ext>
            </c:extLst>
          </c:dPt>
          <c:dPt>
            <c:idx val="7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91-6A72-4CF2-B45D-CD21CC1C0FA4}"/>
              </c:ext>
            </c:extLst>
          </c:dPt>
          <c:dPt>
            <c:idx val="7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93-6A72-4CF2-B45D-CD21CC1C0FA4}"/>
              </c:ext>
            </c:extLst>
          </c:dPt>
          <c:dPt>
            <c:idx val="7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95-6A72-4CF2-B45D-CD21CC1C0FA4}"/>
              </c:ext>
            </c:extLst>
          </c:dPt>
          <c:dPt>
            <c:idx val="7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97-6A72-4CF2-B45D-CD21CC1C0FA4}"/>
              </c:ext>
            </c:extLst>
          </c:dPt>
          <c:dPt>
            <c:idx val="7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99-6A72-4CF2-B45D-CD21CC1C0FA4}"/>
              </c:ext>
            </c:extLst>
          </c:dPt>
          <c:dPt>
            <c:idx val="7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9B-6A72-4CF2-B45D-CD21CC1C0FA4}"/>
              </c:ext>
            </c:extLst>
          </c:dPt>
          <c:dPt>
            <c:idx val="7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9D-6A72-4CF2-B45D-CD21CC1C0FA4}"/>
              </c:ext>
            </c:extLst>
          </c:dPt>
          <c:dPt>
            <c:idx val="7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9F-6A72-4CF2-B45D-CD21CC1C0FA4}"/>
              </c:ext>
            </c:extLst>
          </c:dPt>
          <c:dPt>
            <c:idx val="8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A1-6A72-4CF2-B45D-CD21CC1C0FA4}"/>
              </c:ext>
            </c:extLst>
          </c:dPt>
          <c:dPt>
            <c:idx val="8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A3-6A72-4CF2-B45D-CD21CC1C0FA4}"/>
              </c:ext>
            </c:extLst>
          </c:dPt>
          <c:dPt>
            <c:idx val="8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A5-6A72-4CF2-B45D-CD21CC1C0FA4}"/>
              </c:ext>
            </c:extLst>
          </c:dPt>
          <c:dPt>
            <c:idx val="8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A7-6A72-4CF2-B45D-CD21CC1C0FA4}"/>
              </c:ext>
            </c:extLst>
          </c:dPt>
          <c:dPt>
            <c:idx val="8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A9-6A72-4CF2-B45D-CD21CC1C0FA4}"/>
              </c:ext>
            </c:extLst>
          </c:dPt>
          <c:dPt>
            <c:idx val="8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AB-6A72-4CF2-B45D-CD21CC1C0FA4}"/>
              </c:ext>
            </c:extLst>
          </c:dPt>
          <c:dPt>
            <c:idx val="8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AD-6A72-4CF2-B45D-CD21CC1C0FA4}"/>
              </c:ext>
            </c:extLst>
          </c:dPt>
          <c:dPt>
            <c:idx val="8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AF-6A72-4CF2-B45D-CD21CC1C0FA4}"/>
              </c:ext>
            </c:extLst>
          </c:dPt>
          <c:dPt>
            <c:idx val="8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B1-6A72-4CF2-B45D-CD21CC1C0FA4}"/>
              </c:ext>
            </c:extLst>
          </c:dPt>
          <c:dPt>
            <c:idx val="8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B3-6A72-4CF2-B45D-CD21CC1C0FA4}"/>
              </c:ext>
            </c:extLst>
          </c:dPt>
          <c:dPt>
            <c:idx val="9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B5-6A72-4CF2-B45D-CD21CC1C0FA4}"/>
              </c:ext>
            </c:extLst>
          </c:dPt>
          <c:dPt>
            <c:idx val="9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B7-6A72-4CF2-B45D-CD21CC1C0FA4}"/>
              </c:ext>
            </c:extLst>
          </c:dPt>
          <c:dPt>
            <c:idx val="9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B9-6A72-4CF2-B45D-CD21CC1C0FA4}"/>
              </c:ext>
            </c:extLst>
          </c:dPt>
          <c:dPt>
            <c:idx val="9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BB-6A72-4CF2-B45D-CD21CC1C0FA4}"/>
              </c:ext>
            </c:extLst>
          </c:dPt>
          <c:dPt>
            <c:idx val="9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BD-6A72-4CF2-B45D-CD21CC1C0FA4}"/>
              </c:ext>
            </c:extLst>
          </c:dPt>
          <c:dPt>
            <c:idx val="9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BF-6A72-4CF2-B45D-CD21CC1C0FA4}"/>
              </c:ext>
            </c:extLst>
          </c:dPt>
          <c:dPt>
            <c:idx val="9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C1-6A72-4CF2-B45D-CD21CC1C0FA4}"/>
              </c:ext>
            </c:extLst>
          </c:dPt>
          <c:dPt>
            <c:idx val="9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C3-6A72-4CF2-B45D-CD21CC1C0FA4}"/>
              </c:ext>
            </c:extLst>
          </c:dPt>
          <c:dPt>
            <c:idx val="9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C5-6A72-4CF2-B45D-CD21CC1C0FA4}"/>
              </c:ext>
            </c:extLst>
          </c:dPt>
          <c:dPt>
            <c:idx val="9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C7-6A72-4CF2-B45D-CD21CC1C0FA4}"/>
              </c:ext>
            </c:extLst>
          </c:dPt>
          <c:dPt>
            <c:idx val="10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C9-6A72-4CF2-B45D-CD21CC1C0FA4}"/>
              </c:ext>
            </c:extLst>
          </c:dPt>
          <c:dPt>
            <c:idx val="10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CB-6A72-4CF2-B45D-CD21CC1C0FA4}"/>
              </c:ext>
            </c:extLst>
          </c:dPt>
          <c:dPt>
            <c:idx val="10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CD-6A72-4CF2-B45D-CD21CC1C0FA4}"/>
              </c:ext>
            </c:extLst>
          </c:dPt>
          <c:dPt>
            <c:idx val="10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CF-6A72-4CF2-B45D-CD21CC1C0FA4}"/>
              </c:ext>
            </c:extLst>
          </c:dPt>
          <c:dPt>
            <c:idx val="10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D1-6A72-4CF2-B45D-CD21CC1C0FA4}"/>
              </c:ext>
            </c:extLst>
          </c:dPt>
          <c:dPt>
            <c:idx val="10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D3-6A72-4CF2-B45D-CD21CC1C0FA4}"/>
              </c:ext>
            </c:extLst>
          </c:dPt>
          <c:cat>
            <c:strRef>
              <c:f>Analysis!$BA$4:$BA$109</c:f>
              <c:strCache>
                <c:ptCount val="106"/>
                <c:pt idx="0">
                  <c:v>Rocky Hill</c:v>
                </c:pt>
                <c:pt idx="1">
                  <c:v>Stamford</c:v>
                </c:pt>
                <c:pt idx="2">
                  <c:v>Greenwich</c:v>
                </c:pt>
                <c:pt idx="3">
                  <c:v>New London</c:v>
                </c:pt>
                <c:pt idx="4">
                  <c:v>Cromwell</c:v>
                </c:pt>
                <c:pt idx="5">
                  <c:v>Danbury</c:v>
                </c:pt>
                <c:pt idx="6">
                  <c:v>Avon</c:v>
                </c:pt>
                <c:pt idx="7">
                  <c:v>New Canaan</c:v>
                </c:pt>
                <c:pt idx="8">
                  <c:v>East Lyme</c:v>
                </c:pt>
                <c:pt idx="9">
                  <c:v>Norwalk</c:v>
                </c:pt>
                <c:pt idx="10">
                  <c:v>Groton</c:v>
                </c:pt>
                <c:pt idx="11">
                  <c:v>Trumbull</c:v>
                </c:pt>
                <c:pt idx="12">
                  <c:v>Hartford</c:v>
                </c:pt>
                <c:pt idx="13">
                  <c:v>Washington</c:v>
                </c:pt>
                <c:pt idx="14">
                  <c:v>Newtown</c:v>
                </c:pt>
                <c:pt idx="15">
                  <c:v>New Haven</c:v>
                </c:pt>
                <c:pt idx="16">
                  <c:v>Shelton</c:v>
                </c:pt>
                <c:pt idx="17">
                  <c:v>Enfield</c:v>
                </c:pt>
                <c:pt idx="18">
                  <c:v>Branford</c:v>
                </c:pt>
                <c:pt idx="19">
                  <c:v>Norwich</c:v>
                </c:pt>
                <c:pt idx="20">
                  <c:v>Redding</c:v>
                </c:pt>
                <c:pt idx="21">
                  <c:v>West Hartford</c:v>
                </c:pt>
                <c:pt idx="22">
                  <c:v>Stratford</c:v>
                </c:pt>
                <c:pt idx="23">
                  <c:v>New Britain</c:v>
                </c:pt>
                <c:pt idx="24">
                  <c:v>Meriden</c:v>
                </c:pt>
                <c:pt idx="25">
                  <c:v>Farmington</c:v>
                </c:pt>
                <c:pt idx="26">
                  <c:v>Manchester</c:v>
                </c:pt>
                <c:pt idx="27">
                  <c:v>Westbrook</c:v>
                </c:pt>
                <c:pt idx="28">
                  <c:v>Bristol</c:v>
                </c:pt>
                <c:pt idx="29">
                  <c:v>Southbury</c:v>
                </c:pt>
                <c:pt idx="30">
                  <c:v>Plymouth</c:v>
                </c:pt>
                <c:pt idx="31">
                  <c:v>Guilford</c:v>
                </c:pt>
                <c:pt idx="32">
                  <c:v>Essex</c:v>
                </c:pt>
                <c:pt idx="33">
                  <c:v>Simsbury</c:v>
                </c:pt>
                <c:pt idx="34">
                  <c:v>Wethersfield</c:v>
                </c:pt>
                <c:pt idx="35">
                  <c:v>Monroe</c:v>
                </c:pt>
                <c:pt idx="36">
                  <c:v>Derby</c:v>
                </c:pt>
                <c:pt idx="37">
                  <c:v>Vernon</c:v>
                </c:pt>
                <c:pt idx="38">
                  <c:v>Plainfield</c:v>
                </c:pt>
                <c:pt idx="39">
                  <c:v>Naugatuck</c:v>
                </c:pt>
                <c:pt idx="40">
                  <c:v>Bethany</c:v>
                </c:pt>
                <c:pt idx="41">
                  <c:v>Fairfield</c:v>
                </c:pt>
                <c:pt idx="42">
                  <c:v>Sharon</c:v>
                </c:pt>
                <c:pt idx="43">
                  <c:v>Cheshire</c:v>
                </c:pt>
                <c:pt idx="44">
                  <c:v>Wallingford</c:v>
                </c:pt>
                <c:pt idx="45">
                  <c:v>Coventry</c:v>
                </c:pt>
                <c:pt idx="46">
                  <c:v>Waterbury</c:v>
                </c:pt>
                <c:pt idx="47">
                  <c:v>Waterford</c:v>
                </c:pt>
                <c:pt idx="48">
                  <c:v>Torrington</c:v>
                </c:pt>
                <c:pt idx="49">
                  <c:v>Glastonbury</c:v>
                </c:pt>
                <c:pt idx="50">
                  <c:v>Berlin</c:v>
                </c:pt>
                <c:pt idx="51">
                  <c:v>Killingworth</c:v>
                </c:pt>
                <c:pt idx="52">
                  <c:v>Thomaston</c:v>
                </c:pt>
                <c:pt idx="53">
                  <c:v>Canaan</c:v>
                </c:pt>
                <c:pt idx="54">
                  <c:v>West Haven</c:v>
                </c:pt>
                <c:pt idx="55">
                  <c:v>Roxbury</c:v>
                </c:pt>
                <c:pt idx="56">
                  <c:v>Old Saybrook</c:v>
                </c:pt>
                <c:pt idx="57">
                  <c:v>Orange</c:v>
                </c:pt>
                <c:pt idx="58">
                  <c:v>Ansonia</c:v>
                </c:pt>
                <c:pt idx="59">
                  <c:v>Canton</c:v>
                </c:pt>
                <c:pt idx="60">
                  <c:v>Bridgeport</c:v>
                </c:pt>
                <c:pt idx="61">
                  <c:v>New Hartford</c:v>
                </c:pt>
                <c:pt idx="62">
                  <c:v>Hamden</c:v>
                </c:pt>
                <c:pt idx="63">
                  <c:v>North Haven</c:v>
                </c:pt>
                <c:pt idx="64">
                  <c:v>Stonington</c:v>
                </c:pt>
                <c:pt idx="65">
                  <c:v>Suffield</c:v>
                </c:pt>
                <c:pt idx="66">
                  <c:v>Ashford</c:v>
                </c:pt>
                <c:pt idx="67">
                  <c:v>Chester</c:v>
                </c:pt>
                <c:pt idx="68">
                  <c:v>East Haven</c:v>
                </c:pt>
                <c:pt idx="69">
                  <c:v>Colchester</c:v>
                </c:pt>
                <c:pt idx="70">
                  <c:v>Newington</c:v>
                </c:pt>
                <c:pt idx="71">
                  <c:v>Cornwall</c:v>
                </c:pt>
                <c:pt idx="72">
                  <c:v>Bloomfield</c:v>
                </c:pt>
                <c:pt idx="73">
                  <c:v>Harwinton</c:v>
                </c:pt>
                <c:pt idx="74">
                  <c:v>Bethlehem</c:v>
                </c:pt>
                <c:pt idx="75">
                  <c:v>Mansfield</c:v>
                </c:pt>
                <c:pt idx="76">
                  <c:v>Bethel</c:v>
                </c:pt>
                <c:pt idx="77">
                  <c:v>Brookfield</c:v>
                </c:pt>
                <c:pt idx="78">
                  <c:v>Milford</c:v>
                </c:pt>
                <c:pt idx="79">
                  <c:v>Griswold</c:v>
                </c:pt>
                <c:pt idx="80">
                  <c:v>East Hampton</c:v>
                </c:pt>
                <c:pt idx="81">
                  <c:v>Woodstock</c:v>
                </c:pt>
                <c:pt idx="82">
                  <c:v>Madison</c:v>
                </c:pt>
                <c:pt idx="83">
                  <c:v>Sterling</c:v>
                </c:pt>
                <c:pt idx="84">
                  <c:v>W Hartford</c:v>
                </c:pt>
                <c:pt idx="85">
                  <c:v>Darien</c:v>
                </c:pt>
                <c:pt idx="86">
                  <c:v>New Fairfield</c:v>
                </c:pt>
                <c:pt idx="87">
                  <c:v>Windsor</c:v>
                </c:pt>
                <c:pt idx="88">
                  <c:v>Lebanon</c:v>
                </c:pt>
                <c:pt idx="89">
                  <c:v>Watertown</c:v>
                </c:pt>
                <c:pt idx="90">
                  <c:v>Portland</c:v>
                </c:pt>
                <c:pt idx="91">
                  <c:v>Franklin</c:v>
                </c:pt>
                <c:pt idx="92">
                  <c:v>Litchfield</c:v>
                </c:pt>
                <c:pt idx="93">
                  <c:v>Tolland</c:v>
                </c:pt>
                <c:pt idx="94">
                  <c:v>Putnam</c:v>
                </c:pt>
                <c:pt idx="95">
                  <c:v>Middletown</c:v>
                </c:pt>
                <c:pt idx="96">
                  <c:v>Killingly</c:v>
                </c:pt>
                <c:pt idx="97">
                  <c:v>East Granby</c:v>
                </c:pt>
                <c:pt idx="98">
                  <c:v>North Branford</c:v>
                </c:pt>
                <c:pt idx="99">
                  <c:v>Ridgefield</c:v>
                </c:pt>
                <c:pt idx="100">
                  <c:v>Ledyard</c:v>
                </c:pt>
                <c:pt idx="101">
                  <c:v>South Windsor</c:v>
                </c:pt>
                <c:pt idx="102">
                  <c:v>Winchester</c:v>
                </c:pt>
                <c:pt idx="103">
                  <c:v>Southington</c:v>
                </c:pt>
                <c:pt idx="104">
                  <c:v>Plainville</c:v>
                </c:pt>
                <c:pt idx="105">
                  <c:v>East Hartford</c:v>
                </c:pt>
              </c:strCache>
            </c:strRef>
          </c:cat>
          <c:val>
            <c:numRef>
              <c:f>Analysis!$BB$4:$BB$109</c:f>
              <c:numCache>
                <c:formatCode>0.00%</c:formatCode>
                <c:ptCount val="106"/>
                <c:pt idx="0">
                  <c:v>0.10590135343651526</c:v>
                </c:pt>
                <c:pt idx="1">
                  <c:v>8.583634429430867E-2</c:v>
                </c:pt>
                <c:pt idx="2">
                  <c:v>8.2282031143225395E-2</c:v>
                </c:pt>
                <c:pt idx="3">
                  <c:v>4.7877389562222067E-2</c:v>
                </c:pt>
                <c:pt idx="4">
                  <c:v>4.2403195582009647E-2</c:v>
                </c:pt>
                <c:pt idx="5">
                  <c:v>4.1321174410896437E-2</c:v>
                </c:pt>
                <c:pt idx="6">
                  <c:v>2.6827288976978569E-2</c:v>
                </c:pt>
                <c:pt idx="7">
                  <c:v>2.3142933900085032E-2</c:v>
                </c:pt>
                <c:pt idx="8">
                  <c:v>2.031949596427466E-2</c:v>
                </c:pt>
                <c:pt idx="9">
                  <c:v>1.9150955824888828E-2</c:v>
                </c:pt>
                <c:pt idx="10">
                  <c:v>1.7891268130450354E-2</c:v>
                </c:pt>
                <c:pt idx="11">
                  <c:v>1.7880586776342619E-2</c:v>
                </c:pt>
                <c:pt idx="12">
                  <c:v>1.7787302950468431E-2</c:v>
                </c:pt>
                <c:pt idx="13">
                  <c:v>1.62712627574444E-2</c:v>
                </c:pt>
                <c:pt idx="14">
                  <c:v>1.5644623316457482E-2</c:v>
                </c:pt>
                <c:pt idx="15">
                  <c:v>1.5555612032226386E-2</c:v>
                </c:pt>
                <c:pt idx="16">
                  <c:v>1.4982728286012312E-2</c:v>
                </c:pt>
                <c:pt idx="17">
                  <c:v>1.4661938738546178E-2</c:v>
                </c:pt>
                <c:pt idx="18">
                  <c:v>1.4578268131368949E-2</c:v>
                </c:pt>
                <c:pt idx="19">
                  <c:v>1.2863910797078035E-2</c:v>
                </c:pt>
                <c:pt idx="20">
                  <c:v>1.2817624929277864E-2</c:v>
                </c:pt>
                <c:pt idx="21">
                  <c:v>1.1910493129421915E-2</c:v>
                </c:pt>
                <c:pt idx="22">
                  <c:v>1.0937706606317111E-2</c:v>
                </c:pt>
                <c:pt idx="23">
                  <c:v>1.0476984199136957E-2</c:v>
                </c:pt>
                <c:pt idx="24">
                  <c:v>9.983505639359758E-3</c:v>
                </c:pt>
                <c:pt idx="25">
                  <c:v>9.4166817813761371E-3</c:v>
                </c:pt>
                <c:pt idx="26">
                  <c:v>8.8477216525709706E-3</c:v>
                </c:pt>
                <c:pt idx="27">
                  <c:v>7.8828393315058861E-3</c:v>
                </c:pt>
                <c:pt idx="28">
                  <c:v>7.818039116585648E-3</c:v>
                </c:pt>
                <c:pt idx="29">
                  <c:v>7.5481569027969642E-3</c:v>
                </c:pt>
                <c:pt idx="30">
                  <c:v>7.499101003831523E-3</c:v>
                </c:pt>
                <c:pt idx="31">
                  <c:v>6.8360666289481939E-3</c:v>
                </c:pt>
                <c:pt idx="32">
                  <c:v>6.7292530878708791E-3</c:v>
                </c:pt>
                <c:pt idx="33">
                  <c:v>6.6509231577475143E-3</c:v>
                </c:pt>
                <c:pt idx="34">
                  <c:v>6.5170501862639452E-3</c:v>
                </c:pt>
                <c:pt idx="35">
                  <c:v>6.2663944098691783E-3</c:v>
                </c:pt>
                <c:pt idx="36">
                  <c:v>6.2165480906997642E-3</c:v>
                </c:pt>
                <c:pt idx="37">
                  <c:v>6.2008821046750911E-3</c:v>
                </c:pt>
                <c:pt idx="38">
                  <c:v>6.1951853824843009E-3</c:v>
                </c:pt>
                <c:pt idx="39">
                  <c:v>6.0492068763453033E-3</c:v>
                </c:pt>
                <c:pt idx="40">
                  <c:v>5.6611176770977236E-3</c:v>
                </c:pt>
                <c:pt idx="41">
                  <c:v>5.6611176770977236E-3</c:v>
                </c:pt>
                <c:pt idx="42">
                  <c:v>5.6397549688822603E-3</c:v>
                </c:pt>
                <c:pt idx="43">
                  <c:v>5.5108666293156331E-3</c:v>
                </c:pt>
                <c:pt idx="44">
                  <c:v>5.3798420189274596E-3</c:v>
                </c:pt>
                <c:pt idx="45">
                  <c:v>5.1626544854035845E-3</c:v>
                </c:pt>
                <c:pt idx="46">
                  <c:v>5.1323906487650119E-3</c:v>
                </c:pt>
                <c:pt idx="47">
                  <c:v>5.0558409443262689E-3</c:v>
                </c:pt>
                <c:pt idx="48">
                  <c:v>4.8600517235315496E-3</c:v>
                </c:pt>
                <c:pt idx="49">
                  <c:v>4.8493347649101251E-3</c:v>
                </c:pt>
                <c:pt idx="50">
                  <c:v>4.8244116053254181E-3</c:v>
                </c:pt>
                <c:pt idx="51">
                  <c:v>4.5929822663245681E-3</c:v>
                </c:pt>
                <c:pt idx="52">
                  <c:v>4.4676543781271847E-3</c:v>
                </c:pt>
                <c:pt idx="53">
                  <c:v>4.2654207403541337E-3</c:v>
                </c:pt>
                <c:pt idx="54">
                  <c:v>4.1205103696259088E-3</c:v>
                </c:pt>
                <c:pt idx="55">
                  <c:v>4.094519074630429E-3</c:v>
                </c:pt>
                <c:pt idx="56">
                  <c:v>4.0767168177842095E-3</c:v>
                </c:pt>
                <c:pt idx="57">
                  <c:v>3.916496506168236E-3</c:v>
                </c:pt>
                <c:pt idx="58">
                  <c:v>3.5604513692438513E-3</c:v>
                </c:pt>
                <c:pt idx="59">
                  <c:v>3.5426491123976321E-3</c:v>
                </c:pt>
                <c:pt idx="60">
                  <c:v>3.4215937658433411E-3</c:v>
                </c:pt>
                <c:pt idx="61">
                  <c:v>3.2756152597043431E-3</c:v>
                </c:pt>
                <c:pt idx="62">
                  <c:v>3.1616808158885399E-3</c:v>
                </c:pt>
                <c:pt idx="63">
                  <c:v>3.1557348621019028E-3</c:v>
                </c:pt>
                <c:pt idx="64">
                  <c:v>3.0975926912421505E-3</c:v>
                </c:pt>
                <c:pt idx="65">
                  <c:v>3.068396990014351E-3</c:v>
                </c:pt>
                <c:pt idx="66">
                  <c:v>3.0619881775497122E-3</c:v>
                </c:pt>
                <c:pt idx="67">
                  <c:v>2.9822340668786496E-3</c:v>
                </c:pt>
                <c:pt idx="68">
                  <c:v>2.8697238036105442E-3</c:v>
                </c:pt>
                <c:pt idx="69">
                  <c:v>2.7913938734871794E-3</c:v>
                </c:pt>
                <c:pt idx="70">
                  <c:v>2.7629102625332286E-3</c:v>
                </c:pt>
                <c:pt idx="71">
                  <c:v>2.7415475543177653E-3</c:v>
                </c:pt>
                <c:pt idx="72">
                  <c:v>2.7273057488407899E-3</c:v>
                </c:pt>
                <c:pt idx="73">
                  <c:v>2.5635249858555727E-3</c:v>
                </c:pt>
                <c:pt idx="74">
                  <c:v>2.5065577639476712E-3</c:v>
                </c:pt>
                <c:pt idx="75">
                  <c:v>2.4567114447782575E-3</c:v>
                </c:pt>
                <c:pt idx="76">
                  <c:v>2.3855024173933801E-3</c:v>
                </c:pt>
                <c:pt idx="77">
                  <c:v>2.3498979037009419E-3</c:v>
                </c:pt>
                <c:pt idx="78">
                  <c:v>2.3142933900085032E-3</c:v>
                </c:pt>
                <c:pt idx="79">
                  <c:v>2.150512627023286E-3</c:v>
                </c:pt>
                <c:pt idx="80">
                  <c:v>2.1291499188078231E-3</c:v>
                </c:pt>
                <c:pt idx="81">
                  <c:v>2.0009736695150442E-3</c:v>
                </c:pt>
                <c:pt idx="82">
                  <c:v>1.8514347120068026E-3</c:v>
                </c:pt>
                <c:pt idx="83">
                  <c:v>1.8158301983143641E-3</c:v>
                </c:pt>
                <c:pt idx="84">
                  <c:v>1.7375002681909995E-3</c:v>
                </c:pt>
                <c:pt idx="85">
                  <c:v>1.7187580521832997E-3</c:v>
                </c:pt>
                <c:pt idx="86">
                  <c:v>1.7090166572370485E-3</c:v>
                </c:pt>
                <c:pt idx="87">
                  <c:v>1.6984848420868253E-3</c:v>
                </c:pt>
                <c:pt idx="88">
                  <c:v>1.6370955395783229E-3</c:v>
                </c:pt>
                <c:pt idx="89">
                  <c:v>1.5879613106827577E-3</c:v>
                </c:pt>
                <c:pt idx="90">
                  <c:v>1.5665986024672946E-3</c:v>
                </c:pt>
                <c:pt idx="91">
                  <c:v>1.4882686723439297E-3</c:v>
                </c:pt>
                <c:pt idx="92">
                  <c:v>1.4241805476975405E-3</c:v>
                </c:pt>
                <c:pt idx="93">
                  <c:v>1.2810504026539377E-3</c:v>
                </c:pt>
                <c:pt idx="94">
                  <c:v>1.1179817299425694E-3</c:v>
                </c:pt>
                <c:pt idx="95">
                  <c:v>1.0894981189886184E-3</c:v>
                </c:pt>
                <c:pt idx="96">
                  <c:v>1.0681354107731553E-3</c:v>
                </c:pt>
                <c:pt idx="97">
                  <c:v>1.0318188068068682E-3</c:v>
                </c:pt>
                <c:pt idx="98">
                  <c:v>9.1764225229795627E-4</c:v>
                </c:pt>
                <c:pt idx="99">
                  <c:v>9.1361182134797221E-4</c:v>
                </c:pt>
                <c:pt idx="100">
                  <c:v>8.8299193957247512E-4</c:v>
                </c:pt>
                <c:pt idx="101">
                  <c:v>7.4769478754120871E-4</c:v>
                </c:pt>
                <c:pt idx="102">
                  <c:v>7.1209027384877023E-4</c:v>
                </c:pt>
                <c:pt idx="103">
                  <c:v>6.7648576015633176E-4</c:v>
                </c:pt>
                <c:pt idx="104">
                  <c:v>6.4016915619004441E-4</c:v>
                </c:pt>
                <c:pt idx="105">
                  <c:v>3.5604513692438512E-4</c:v>
                </c:pt>
              </c:numCache>
            </c:numRef>
          </c:val>
          <c:extLst>
            <c:ext xmlns:c16="http://schemas.microsoft.com/office/drawing/2014/chart" uri="{C3380CC4-5D6E-409C-BE32-E72D297353CC}">
              <c16:uniqueId val="{0000000A-E00E-4AC9-A827-7F500F03210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29542766740837972"/>
          <c:y val="7.5396827752681785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Analysis!$BD$3</c:f>
              <c:strCache>
                <c:ptCount val="1"/>
                <c:pt idx="0">
                  <c:v> Sale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647-421F-8893-C9709ABCF2E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647-421F-8893-C9709ABCF2E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647-421F-8893-C9709ABCF2E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647-421F-8893-C9709ABCF2E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647-421F-8893-C9709ABCF2E0}"/>
              </c:ext>
            </c:extLst>
          </c:dPt>
          <c:cat>
            <c:strRef>
              <c:f>Analysis!$BC$4:$BC$8</c:f>
              <c:strCache>
                <c:ptCount val="5"/>
                <c:pt idx="0">
                  <c:v>Rocky Hill</c:v>
                </c:pt>
                <c:pt idx="1">
                  <c:v>Stamford</c:v>
                </c:pt>
                <c:pt idx="2">
                  <c:v>Greenwich</c:v>
                </c:pt>
                <c:pt idx="3">
                  <c:v>New London</c:v>
                </c:pt>
                <c:pt idx="4">
                  <c:v>Cromwell</c:v>
                </c:pt>
              </c:strCache>
            </c:strRef>
          </c:cat>
          <c:val>
            <c:numRef>
              <c:f>Analysis!$BD$4:$BD$8</c:f>
              <c:numCache>
                <c:formatCode>0.00%</c:formatCode>
                <c:ptCount val="5"/>
                <c:pt idx="0">
                  <c:v>0.10590135343651526</c:v>
                </c:pt>
                <c:pt idx="1">
                  <c:v>8.583634429430867E-2</c:v>
                </c:pt>
                <c:pt idx="2">
                  <c:v>8.2282031143225395E-2</c:v>
                </c:pt>
                <c:pt idx="3">
                  <c:v>4.7877389562222067E-2</c:v>
                </c:pt>
                <c:pt idx="4">
                  <c:v>4.2403195582009647E-2</c:v>
                </c:pt>
              </c:numCache>
            </c:numRef>
          </c:val>
          <c:extLst>
            <c:ext xmlns:c16="http://schemas.microsoft.com/office/drawing/2014/chart" uri="{C3380CC4-5D6E-409C-BE32-E72D297353CC}">
              <c16:uniqueId val="{00000000-1820-43B8-8023-A445450093C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Dashboard newww.xlsx]Analysis!PivotTable4</c:name>
    <c:fmtId val="5"/>
  </c:pivotSource>
  <c:chart>
    <c:title>
      <c:tx>
        <c:rich>
          <a:bodyPr rot="0" spcFirstLastPara="1" vertOverflow="ellipsis" vert="horz" wrap="square" anchor="ctr" anchorCtr="1"/>
          <a:lstStyle/>
          <a:p>
            <a:pPr>
              <a:defRPr sz="1400" b="0" i="0" u="none" strike="noStrike" kern="1200" spc="0" baseline="0">
                <a:solidFill>
                  <a:srgbClr val="FF6600"/>
                </a:solidFill>
                <a:latin typeface="+mn-lt"/>
                <a:ea typeface="+mn-ea"/>
                <a:cs typeface="+mn-cs"/>
              </a:defRPr>
            </a:pPr>
            <a:r>
              <a:rPr lang="en-US">
                <a:solidFill>
                  <a:srgbClr val="FF6600"/>
                </a:solidFill>
              </a:rPr>
              <a:t>Monthly sales</a:t>
            </a:r>
          </a:p>
        </c:rich>
      </c:tx>
      <c:layout>
        <c:manualLayout>
          <c:xMode val="edge"/>
          <c:yMode val="edge"/>
          <c:x val="0.55555247303931576"/>
          <c:y val="3.6697247706422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FF66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39834E"/>
            </a:solidFill>
            <a:round/>
          </a:ln>
          <a:effectLst/>
        </c:spPr>
        <c:marker>
          <c:symbol val="circle"/>
          <c:size val="5"/>
          <c:spPr>
            <a:solidFill>
              <a:srgbClr val="FF6600"/>
            </a:solidFill>
            <a:ln w="31750">
              <a:solidFill>
                <a:srgbClr val="FF66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87500122092213"/>
          <c:y val="0.26208836584857131"/>
          <c:w val="0.83436925114090477"/>
          <c:h val="0.42044983960338289"/>
        </c:manualLayout>
      </c:layout>
      <c:lineChart>
        <c:grouping val="standard"/>
        <c:varyColors val="0"/>
        <c:ser>
          <c:idx val="0"/>
          <c:order val="0"/>
          <c:tx>
            <c:strRef>
              <c:f>Analysis!$W$4</c:f>
              <c:strCache>
                <c:ptCount val="1"/>
                <c:pt idx="0">
                  <c:v>Total</c:v>
                </c:pt>
              </c:strCache>
            </c:strRef>
          </c:tx>
          <c:spPr>
            <a:ln w="28575" cap="rnd">
              <a:solidFill>
                <a:srgbClr val="39834E"/>
              </a:solidFill>
              <a:round/>
            </a:ln>
            <a:effectLst/>
          </c:spPr>
          <c:marker>
            <c:symbol val="circle"/>
            <c:size val="5"/>
            <c:spPr>
              <a:solidFill>
                <a:srgbClr val="FF6600"/>
              </a:solidFill>
              <a:ln w="31750">
                <a:solidFill>
                  <a:srgbClr val="FF6600"/>
                </a:solidFill>
              </a:ln>
              <a:effectLst/>
            </c:spPr>
          </c:marker>
          <c:cat>
            <c:strRef>
              <c:f>Analysis!$V$5:$V$16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Analysis!$W$5:$W$16</c:f>
              <c:numCache>
                <c:formatCode>"$"#,"M"</c:formatCode>
                <c:ptCount val="12"/>
                <c:pt idx="0">
                  <c:v>7682911</c:v>
                </c:pt>
                <c:pt idx="1">
                  <c:v>6840800</c:v>
                </c:pt>
                <c:pt idx="2">
                  <c:v>9929200</c:v>
                </c:pt>
                <c:pt idx="3">
                  <c:v>10525618</c:v>
                </c:pt>
                <c:pt idx="4">
                  <c:v>16335860</c:v>
                </c:pt>
                <c:pt idx="5">
                  <c:v>13613338</c:v>
                </c:pt>
                <c:pt idx="6">
                  <c:v>19705766</c:v>
                </c:pt>
                <c:pt idx="7">
                  <c:v>8461250</c:v>
                </c:pt>
                <c:pt idx="8">
                  <c:v>12590314</c:v>
                </c:pt>
                <c:pt idx="9">
                  <c:v>8302200</c:v>
                </c:pt>
                <c:pt idx="10">
                  <c:v>5424626</c:v>
                </c:pt>
                <c:pt idx="11">
                  <c:v>21019750</c:v>
                </c:pt>
              </c:numCache>
            </c:numRef>
          </c:val>
          <c:smooth val="0"/>
          <c:extLst>
            <c:ext xmlns:c16="http://schemas.microsoft.com/office/drawing/2014/chart" uri="{C3380CC4-5D6E-409C-BE32-E72D297353CC}">
              <c16:uniqueId val="{00000000-9069-49BF-96C4-4B54970D9E52}"/>
            </c:ext>
          </c:extLst>
        </c:ser>
        <c:dLbls>
          <c:showLegendKey val="0"/>
          <c:showVal val="0"/>
          <c:showCatName val="0"/>
          <c:showSerName val="0"/>
          <c:showPercent val="0"/>
          <c:showBubbleSize val="0"/>
        </c:dLbls>
        <c:upDownBars>
          <c:gapWidth val="287"/>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1239017216"/>
        <c:axId val="1239032096"/>
      </c:lineChart>
      <c:catAx>
        <c:axId val="1239017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6600"/>
                </a:solidFill>
                <a:latin typeface="+mn-lt"/>
                <a:ea typeface="+mn-ea"/>
                <a:cs typeface="+mn-cs"/>
              </a:defRPr>
            </a:pPr>
            <a:endParaRPr lang="en-US"/>
          </a:p>
        </c:txPr>
        <c:crossAx val="1239032096"/>
        <c:crosses val="autoZero"/>
        <c:auto val="1"/>
        <c:lblAlgn val="ctr"/>
        <c:lblOffset val="100"/>
        <c:noMultiLvlLbl val="0"/>
      </c:catAx>
      <c:valAx>
        <c:axId val="1239032096"/>
        <c:scaling>
          <c:orientation val="minMax"/>
        </c:scaling>
        <c:delete val="0"/>
        <c:axPos val="l"/>
        <c:majorGridlines>
          <c:spPr>
            <a:ln w="9525" cap="flat" cmpd="sng" algn="ctr">
              <a:noFill/>
              <a:round/>
            </a:ln>
            <a:effectLst/>
          </c:spPr>
        </c:majorGridlines>
        <c:numFmt formatCode="&quot;$&quot;#,&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6600"/>
                </a:solidFill>
                <a:latin typeface="+mn-lt"/>
                <a:ea typeface="+mn-ea"/>
                <a:cs typeface="+mn-cs"/>
              </a:defRPr>
            </a:pPr>
            <a:endParaRPr lang="en-US"/>
          </a:p>
        </c:txPr>
        <c:crossAx val="1239017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[Real Estate Dashboard newww.xlsx]Analysis!PivotTable6</c:name>
    <c:fmtId val="14"/>
  </c:pivotSource>
  <c:chart>
    <c:title>
      <c:tx>
        <c:rich>
          <a:bodyPr rot="0" spcFirstLastPara="1" vertOverflow="ellipsis" vert="horz" wrap="square" anchor="ctr" anchorCtr="1"/>
          <a:lstStyle/>
          <a:p>
            <a:pPr>
              <a:defRPr sz="1500" b="1" i="0" u="none" strike="noStrike" kern="1200" cap="all" spc="100" normalizeH="0" baseline="0">
                <a:solidFill>
                  <a:srgbClr val="1D4328"/>
                </a:solidFill>
                <a:latin typeface="+mn-lt"/>
                <a:ea typeface="+mn-ea"/>
                <a:cs typeface="+mn-cs"/>
              </a:defRPr>
            </a:pPr>
            <a:r>
              <a:rPr lang="en-US">
                <a:solidFill>
                  <a:srgbClr val="1D4328"/>
                </a:solidFill>
              </a:rPr>
              <a:t>2021</a:t>
            </a:r>
            <a:r>
              <a:rPr lang="en-US" baseline="0">
                <a:solidFill>
                  <a:srgbClr val="1D4328"/>
                </a:solidFill>
              </a:rPr>
              <a:t> SALES</a:t>
            </a:r>
            <a:endParaRPr lang="en-US">
              <a:solidFill>
                <a:srgbClr val="1D4328"/>
              </a:solidFill>
            </a:endParaRPr>
          </a:p>
        </c:rich>
      </c:tx>
      <c:layout>
        <c:manualLayout>
          <c:xMode val="edge"/>
          <c:yMode val="edge"/>
          <c:x val="0.6500558265264148"/>
          <c:y val="9.171545355992386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rgbClr val="1D4328"/>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25400" cap="rnd">
            <a:solidFill>
              <a:schemeClr val="lt1"/>
            </a:solidFill>
            <a:round/>
          </a:ln>
          <a:effectLst>
            <a:outerShdw dist="25400" dir="2700000" algn="tl" rotWithShape="0">
              <a:schemeClr val="dk1">
                <a:tint val="88500"/>
              </a:schemeClr>
            </a:outerShdw>
          </a:effectLst>
        </c:spPr>
        <c:marker>
          <c:symbol val="circle"/>
          <c:size val="14"/>
          <c:spPr>
            <a:solidFill>
              <a:schemeClr val="dk1">
                <a:tint val="88500"/>
              </a:schemeClr>
            </a:solidFill>
            <a:ln>
              <a:no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rgbClr val="FF66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72074052130122"/>
          <c:y val="0.26825056561876598"/>
          <c:w val="0.83669938050282955"/>
          <c:h val="0.33873375281311718"/>
        </c:manualLayout>
      </c:layout>
      <c:lineChart>
        <c:grouping val="standard"/>
        <c:varyColors val="0"/>
        <c:ser>
          <c:idx val="0"/>
          <c:order val="0"/>
          <c:tx>
            <c:strRef>
              <c:f>Analysis!$BQ$7</c:f>
              <c:strCache>
                <c:ptCount val="1"/>
                <c:pt idx="0">
                  <c:v>Total</c:v>
                </c:pt>
              </c:strCache>
            </c:strRef>
          </c:tx>
          <c:spPr>
            <a:ln w="25400" cap="rnd">
              <a:solidFill>
                <a:schemeClr val="lt1"/>
              </a:solidFill>
              <a:round/>
            </a:ln>
            <a:effectLst>
              <a:outerShdw dist="25400" dir="2700000" algn="tl" rotWithShape="0">
                <a:schemeClr val="dk1">
                  <a:tint val="88500"/>
                </a:schemeClr>
              </a:outerShdw>
            </a:effectLst>
          </c:spPr>
          <c:marker>
            <c:symbol val="circle"/>
            <c:size val="14"/>
            <c:spPr>
              <a:solidFill>
                <a:schemeClr val="dk1">
                  <a:tint val="88500"/>
                </a:schemeClr>
              </a:solidFill>
              <a:ln>
                <a:noFill/>
              </a:ln>
              <a:effectLst/>
            </c:spPr>
          </c:marker>
          <c:dLbls>
            <c:spPr>
              <a:noFill/>
              <a:ln>
                <a:noFill/>
              </a:ln>
              <a:effectLst/>
            </c:spPr>
            <c:txPr>
              <a:bodyPr rot="0" spcFirstLastPara="1" vertOverflow="ellipsis" vert="horz" wrap="square" anchor="ctr" anchorCtr="1"/>
              <a:lstStyle/>
              <a:p>
                <a:pPr>
                  <a:defRPr sz="900" b="1" i="0" u="none" strike="noStrike" kern="1200" baseline="0">
                    <a:solidFill>
                      <a:srgbClr val="FF66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tint val="88500"/>
                          <a:lumMod val="60000"/>
                          <a:lumOff val="40000"/>
                        </a:schemeClr>
                      </a:solidFill>
                    </a:ln>
                    <a:effectLst/>
                  </c:spPr>
                </c15:leaderLines>
              </c:ext>
            </c:extLst>
          </c:dLbls>
          <c:cat>
            <c:strRef>
              <c:f>Analysis!$BP$8:$BP$16</c:f>
              <c:strCache>
                <c:ptCount val="9"/>
                <c:pt idx="0">
                  <c:v>April,2021</c:v>
                </c:pt>
                <c:pt idx="1">
                  <c:v>August,2021</c:v>
                </c:pt>
                <c:pt idx="2">
                  <c:v>February,2021</c:v>
                </c:pt>
                <c:pt idx="3">
                  <c:v>January,2021</c:v>
                </c:pt>
                <c:pt idx="4">
                  <c:v>July,2021</c:v>
                </c:pt>
                <c:pt idx="5">
                  <c:v>June,2021</c:v>
                </c:pt>
                <c:pt idx="6">
                  <c:v>March,2021</c:v>
                </c:pt>
                <c:pt idx="7">
                  <c:v>May,2021</c:v>
                </c:pt>
                <c:pt idx="8">
                  <c:v>September,2021</c:v>
                </c:pt>
              </c:strCache>
            </c:strRef>
          </c:cat>
          <c:val>
            <c:numRef>
              <c:f>Analysis!$BQ$8:$BQ$16</c:f>
              <c:numCache>
                <c:formatCode>"$"#,,"M"</c:formatCode>
                <c:ptCount val="9"/>
                <c:pt idx="0">
                  <c:v>9336250</c:v>
                </c:pt>
                <c:pt idx="1">
                  <c:v>7569800</c:v>
                </c:pt>
                <c:pt idx="2">
                  <c:v>5871800</c:v>
                </c:pt>
                <c:pt idx="3">
                  <c:v>7165711</c:v>
                </c:pt>
                <c:pt idx="4">
                  <c:v>18232500</c:v>
                </c:pt>
                <c:pt idx="5">
                  <c:v>9113300</c:v>
                </c:pt>
                <c:pt idx="6">
                  <c:v>8519700</c:v>
                </c:pt>
                <c:pt idx="7">
                  <c:v>7091650</c:v>
                </c:pt>
                <c:pt idx="8">
                  <c:v>9003365</c:v>
                </c:pt>
              </c:numCache>
            </c:numRef>
          </c:val>
          <c:smooth val="0"/>
          <c:extLst>
            <c:ext xmlns:c16="http://schemas.microsoft.com/office/drawing/2014/chart" uri="{C3380CC4-5D6E-409C-BE32-E72D297353CC}">
              <c16:uniqueId val="{00000000-8A69-4814-A817-FB08C3E7BFC6}"/>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892094272"/>
        <c:axId val="892094752"/>
      </c:lineChart>
      <c:catAx>
        <c:axId val="89209427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rgbClr val="1D4328"/>
                </a:solidFill>
                <a:latin typeface="+mn-lt"/>
                <a:ea typeface="+mn-ea"/>
                <a:cs typeface="+mn-cs"/>
              </a:defRPr>
            </a:pPr>
            <a:endParaRPr lang="en-US"/>
          </a:p>
        </c:txPr>
        <c:crossAx val="892094752"/>
        <c:crosses val="autoZero"/>
        <c:auto val="1"/>
        <c:lblAlgn val="ctr"/>
        <c:lblOffset val="100"/>
        <c:noMultiLvlLbl val="0"/>
      </c:catAx>
      <c:valAx>
        <c:axId val="892094752"/>
        <c:scaling>
          <c:orientation val="minMax"/>
        </c:scaling>
        <c:delete val="0"/>
        <c:axPos val="l"/>
        <c:numFmt formatCode="&quot;$&quot;#,,&quot;M&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D4328"/>
                </a:solidFill>
                <a:latin typeface="+mn-lt"/>
                <a:ea typeface="+mn-ea"/>
                <a:cs typeface="+mn-cs"/>
              </a:defRPr>
            </a:pPr>
            <a:endParaRPr lang="en-US"/>
          </a:p>
        </c:txPr>
        <c:crossAx val="892094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lumMod val="85000"/>
              <a:lumOff val="1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Dashboard newww.xlsx]Analysis!PivotTable33</c:name>
    <c:fmtId val="12"/>
  </c:pivotSource>
  <c:chart>
    <c:title>
      <c:tx>
        <c:rich>
          <a:bodyPr rot="0" spcFirstLastPara="1" vertOverflow="ellipsis" vert="horz" wrap="square" anchor="ctr" anchorCtr="1"/>
          <a:lstStyle/>
          <a:p>
            <a:pPr>
              <a:defRPr sz="1400" b="0" i="0" u="none" strike="noStrike" kern="1200" spc="0" baseline="0">
                <a:solidFill>
                  <a:srgbClr val="FF6600"/>
                </a:solidFill>
                <a:latin typeface="+mn-lt"/>
                <a:ea typeface="+mn-ea"/>
                <a:cs typeface="+mn-cs"/>
              </a:defRPr>
            </a:pPr>
            <a:r>
              <a:rPr lang="en-US">
                <a:solidFill>
                  <a:srgbClr val="FF6600"/>
                </a:solidFill>
              </a:rPr>
              <a:t>Seasonal</a:t>
            </a:r>
            <a:r>
              <a:rPr lang="en-US" baseline="0">
                <a:solidFill>
                  <a:srgbClr val="FF6600"/>
                </a:solidFill>
              </a:rPr>
              <a:t> trends btw 2018-2021</a:t>
            </a:r>
            <a:endParaRPr lang="en-US">
              <a:solidFill>
                <a:srgbClr val="FF6600"/>
              </a:solidFill>
            </a:endParaRPr>
          </a:p>
        </c:rich>
      </c:tx>
      <c:layout>
        <c:manualLayout>
          <c:xMode val="edge"/>
          <c:yMode val="edge"/>
          <c:x val="0.43984711286089245"/>
          <c:y val="4.5729841061796499E-2"/>
        </c:manualLayout>
      </c:layout>
      <c:overlay val="1"/>
      <c:spPr>
        <a:noFill/>
        <a:ln>
          <a:noFill/>
        </a:ln>
        <a:effectLst/>
      </c:spPr>
      <c:txPr>
        <a:bodyPr rot="0" spcFirstLastPara="1" vertOverflow="ellipsis" vert="horz" wrap="square" anchor="ctr" anchorCtr="1"/>
        <a:lstStyle/>
        <a:p>
          <a:pPr>
            <a:defRPr sz="1400" b="0" i="0" u="none" strike="noStrike" kern="1200" spc="0" baseline="0">
              <a:solidFill>
                <a:srgbClr val="FF66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1">
              <a:lumMod val="95000"/>
            </a:schemeClr>
          </a:solidFill>
          <a:ln w="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Analysis!$CQ$70:$CQ$71</c:f>
              <c:strCache>
                <c:ptCount val="1"/>
                <c:pt idx="0">
                  <c:v>2018</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Analysis!$CP$72:$CP$83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Analysis!$CQ$72:$CQ$83</c:f>
              <c:numCache>
                <c:formatCode>"$"#,##0</c:formatCode>
                <c:ptCount val="12"/>
                <c:pt idx="0">
                  <c:v>59000</c:v>
                </c:pt>
                <c:pt idx="3">
                  <c:v>437368</c:v>
                </c:pt>
                <c:pt idx="4">
                  <c:v>6678000</c:v>
                </c:pt>
              </c:numCache>
            </c:numRef>
          </c:val>
          <c:extLst>
            <c:ext xmlns:c16="http://schemas.microsoft.com/office/drawing/2014/chart" uri="{C3380CC4-5D6E-409C-BE32-E72D297353CC}">
              <c16:uniqueId val="{00000000-A4E7-4EB9-B6B4-FDF40B6BAF72}"/>
            </c:ext>
          </c:extLst>
        </c:ser>
        <c:ser>
          <c:idx val="1"/>
          <c:order val="1"/>
          <c:tx>
            <c:strRef>
              <c:f>Analysis!$CR$70:$CR$71</c:f>
              <c:strCache>
                <c:ptCount val="1"/>
                <c:pt idx="0">
                  <c:v>2019</c:v>
                </c:pt>
              </c:strCache>
            </c:strRef>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Analysis!$CP$72:$CP$83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Analysis!$CR$72:$CR$83</c:f>
              <c:numCache>
                <c:formatCode>"$"#,##0</c:formatCode>
                <c:ptCount val="12"/>
                <c:pt idx="0">
                  <c:v>108000</c:v>
                </c:pt>
                <c:pt idx="1">
                  <c:v>156000</c:v>
                </c:pt>
                <c:pt idx="4">
                  <c:v>30000</c:v>
                </c:pt>
                <c:pt idx="5">
                  <c:v>52000</c:v>
                </c:pt>
              </c:numCache>
            </c:numRef>
          </c:val>
          <c:extLst>
            <c:ext xmlns:c16="http://schemas.microsoft.com/office/drawing/2014/chart" uri="{C3380CC4-5D6E-409C-BE32-E72D297353CC}">
              <c16:uniqueId val="{00000001-A4E7-4EB9-B6B4-FDF40B6BAF72}"/>
            </c:ext>
          </c:extLst>
        </c:ser>
        <c:ser>
          <c:idx val="2"/>
          <c:order val="2"/>
          <c:tx>
            <c:strRef>
              <c:f>Analysis!$CS$70:$CS$71</c:f>
              <c:strCache>
                <c:ptCount val="1"/>
                <c:pt idx="0">
                  <c:v>2020</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Analysis!$CP$72:$CP$83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Analysis!$CS$72:$CS$83</c:f>
              <c:numCache>
                <c:formatCode>"$"#,##0</c:formatCode>
                <c:ptCount val="12"/>
                <c:pt idx="2">
                  <c:v>61000</c:v>
                </c:pt>
                <c:pt idx="3">
                  <c:v>153000</c:v>
                </c:pt>
                <c:pt idx="9">
                  <c:v>6832000</c:v>
                </c:pt>
                <c:pt idx="10">
                  <c:v>3652005</c:v>
                </c:pt>
                <c:pt idx="11">
                  <c:v>5553900</c:v>
                </c:pt>
              </c:numCache>
            </c:numRef>
          </c:val>
          <c:extLst>
            <c:ext xmlns:c16="http://schemas.microsoft.com/office/drawing/2014/chart" uri="{C3380CC4-5D6E-409C-BE32-E72D297353CC}">
              <c16:uniqueId val="{00000002-A4E7-4EB9-B6B4-FDF40B6BAF72}"/>
            </c:ext>
          </c:extLst>
        </c:ser>
        <c:ser>
          <c:idx val="3"/>
          <c:order val="3"/>
          <c:tx>
            <c:strRef>
              <c:f>Analysis!$CT$70:$CT$71</c:f>
              <c:strCache>
                <c:ptCount val="1"/>
                <c:pt idx="0">
                  <c:v>2021</c:v>
                </c:pt>
              </c:strCache>
            </c:strRef>
          </c:tx>
          <c:spPr>
            <a:solidFill>
              <a:schemeClr val="bg1">
                <a:lumMod val="95000"/>
              </a:schemeClr>
            </a:solidFill>
            <a:ln w="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Analysis!$CP$72:$CP$83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Analysis!$CT$72:$CT$83</c:f>
              <c:numCache>
                <c:formatCode>"$"#,##0</c:formatCode>
                <c:ptCount val="12"/>
                <c:pt idx="0">
                  <c:v>7165711</c:v>
                </c:pt>
                <c:pt idx="1">
                  <c:v>5871800</c:v>
                </c:pt>
                <c:pt idx="2">
                  <c:v>8519700</c:v>
                </c:pt>
                <c:pt idx="3">
                  <c:v>9336250</c:v>
                </c:pt>
                <c:pt idx="4">
                  <c:v>7091650</c:v>
                </c:pt>
                <c:pt idx="5">
                  <c:v>9113300</c:v>
                </c:pt>
                <c:pt idx="6">
                  <c:v>18232500</c:v>
                </c:pt>
                <c:pt idx="7">
                  <c:v>7569800</c:v>
                </c:pt>
                <c:pt idx="8">
                  <c:v>9003365</c:v>
                </c:pt>
              </c:numCache>
            </c:numRef>
          </c:val>
          <c:extLst>
            <c:ext xmlns:c16="http://schemas.microsoft.com/office/drawing/2014/chart" uri="{C3380CC4-5D6E-409C-BE32-E72D297353CC}">
              <c16:uniqueId val="{00000003-A4E7-4EB9-B6B4-FDF40B6BAF72}"/>
            </c:ext>
          </c:extLst>
        </c:ser>
        <c:dLbls>
          <c:showLegendKey val="0"/>
          <c:showVal val="1"/>
          <c:showCatName val="0"/>
          <c:showSerName val="0"/>
          <c:showPercent val="0"/>
          <c:showBubbleSize val="0"/>
        </c:dLbls>
        <c:gapWidth val="184"/>
        <c:axId val="468505712"/>
        <c:axId val="468496592"/>
      </c:barChart>
      <c:catAx>
        <c:axId val="4685057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6600"/>
                </a:solidFill>
                <a:latin typeface="+mn-lt"/>
                <a:ea typeface="+mn-ea"/>
                <a:cs typeface="+mn-cs"/>
              </a:defRPr>
            </a:pPr>
            <a:endParaRPr lang="en-US"/>
          </a:p>
        </c:txPr>
        <c:crossAx val="468496592"/>
        <c:crosses val="autoZero"/>
        <c:auto val="1"/>
        <c:lblAlgn val="ctr"/>
        <c:lblOffset val="100"/>
        <c:noMultiLvlLbl val="0"/>
      </c:catAx>
      <c:valAx>
        <c:axId val="468496592"/>
        <c:scaling>
          <c:orientation val="minMax"/>
        </c:scaling>
        <c:delete val="0"/>
        <c:axPos val="b"/>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6600"/>
                </a:solidFill>
                <a:latin typeface="+mn-lt"/>
                <a:ea typeface="+mn-ea"/>
                <a:cs typeface="+mn-cs"/>
              </a:defRPr>
            </a:pPr>
            <a:endParaRPr lang="en-US"/>
          </a:p>
        </c:txPr>
        <c:crossAx val="468505712"/>
        <c:crosses val="autoZero"/>
        <c:crossBetween val="between"/>
      </c:valAx>
      <c:spPr>
        <a:noFill/>
        <a:ln w="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Dashboard newww.xlsx]Analysis!PivotTable10</c:name>
    <c:fmtId val="24"/>
  </c:pivotSource>
  <c:chart>
    <c:title>
      <c:tx>
        <c:rich>
          <a:bodyPr rot="0" spcFirstLastPara="1" vertOverflow="ellipsis" vert="horz" wrap="square" anchor="ctr" anchorCtr="1"/>
          <a:lstStyle/>
          <a:p>
            <a:pPr>
              <a:defRPr sz="1400" b="0" i="0" u="none" strike="noStrike" kern="1200" spc="0" baseline="0">
                <a:solidFill>
                  <a:srgbClr val="1D4328"/>
                </a:solidFill>
                <a:latin typeface="+mn-lt"/>
                <a:ea typeface="+mn-ea"/>
                <a:cs typeface="+mn-cs"/>
              </a:defRPr>
            </a:pPr>
            <a:r>
              <a:rPr lang="en-US">
                <a:solidFill>
                  <a:srgbClr val="1D4328"/>
                </a:solidFill>
              </a:rPr>
              <a:t>AVG. SALES OF</a:t>
            </a:r>
            <a:r>
              <a:rPr lang="en-US" baseline="0">
                <a:solidFill>
                  <a:srgbClr val="1D4328"/>
                </a:solidFill>
              </a:rPr>
              <a:t> PROPERTY TYPE</a:t>
            </a:r>
            <a:endParaRPr lang="en-US">
              <a:solidFill>
                <a:srgbClr val="1D4328"/>
              </a:solidFill>
            </a:endParaRPr>
          </a:p>
        </c:rich>
      </c:tx>
      <c:layout>
        <c:manualLayout>
          <c:xMode val="edge"/>
          <c:yMode val="edge"/>
          <c:x val="0.30374216410658456"/>
          <c:y val="3.9681112252288311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1D4328"/>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9834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66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25116858988509"/>
          <c:y val="0.20516654416758517"/>
          <c:w val="0.81791347823079275"/>
          <c:h val="0.67210172452578365"/>
        </c:manualLayout>
      </c:layout>
      <c:barChart>
        <c:barDir val="bar"/>
        <c:grouping val="clustered"/>
        <c:varyColors val="0"/>
        <c:ser>
          <c:idx val="0"/>
          <c:order val="0"/>
          <c:tx>
            <c:strRef>
              <c:f>Analysis!$CA$7</c:f>
              <c:strCache>
                <c:ptCount val="1"/>
                <c:pt idx="0">
                  <c:v>Total</c:v>
                </c:pt>
              </c:strCache>
            </c:strRef>
          </c:tx>
          <c:spPr>
            <a:solidFill>
              <a:srgbClr val="39834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66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Analysis!$BZ$8:$BZ$11</c:f>
              <c:strCache>
                <c:ptCount val="4"/>
                <c:pt idx="0">
                  <c:v>Apartments</c:v>
                </c:pt>
                <c:pt idx="1">
                  <c:v>Commercial</c:v>
                </c:pt>
                <c:pt idx="2">
                  <c:v>Condo</c:v>
                </c:pt>
                <c:pt idx="3">
                  <c:v>Residential</c:v>
                </c:pt>
              </c:strCache>
            </c:strRef>
          </c:cat>
          <c:val>
            <c:numRef>
              <c:f>Analysis!$CA$8:$CA$11</c:f>
              <c:numCache>
                <c:formatCode>General</c:formatCode>
                <c:ptCount val="4"/>
                <c:pt idx="0">
                  <c:v>292833.33333333331</c:v>
                </c:pt>
                <c:pt idx="1">
                  <c:v>986120.04347826086</c:v>
                </c:pt>
                <c:pt idx="2">
                  <c:v>386269.56363636366</c:v>
                </c:pt>
                <c:pt idx="3">
                  <c:v>448088.67469879519</c:v>
                </c:pt>
              </c:numCache>
            </c:numRef>
          </c:val>
          <c:extLst>
            <c:ext xmlns:c16="http://schemas.microsoft.com/office/drawing/2014/chart" uri="{C3380CC4-5D6E-409C-BE32-E72D297353CC}">
              <c16:uniqueId val="{00000000-E9E6-4417-A375-ABE750A26A50}"/>
            </c:ext>
          </c:extLst>
        </c:ser>
        <c:dLbls>
          <c:dLblPos val="outEnd"/>
          <c:showLegendKey val="0"/>
          <c:showVal val="1"/>
          <c:showCatName val="0"/>
          <c:showSerName val="0"/>
          <c:showPercent val="0"/>
          <c:showBubbleSize val="0"/>
        </c:dLbls>
        <c:gapWidth val="182"/>
        <c:axId val="1841024128"/>
        <c:axId val="1841034208"/>
      </c:barChart>
      <c:catAx>
        <c:axId val="18410241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6600"/>
                </a:solidFill>
                <a:latin typeface="+mn-lt"/>
                <a:ea typeface="+mn-ea"/>
                <a:cs typeface="+mn-cs"/>
              </a:defRPr>
            </a:pPr>
            <a:endParaRPr lang="en-US"/>
          </a:p>
        </c:txPr>
        <c:crossAx val="1841034208"/>
        <c:crosses val="autoZero"/>
        <c:auto val="1"/>
        <c:lblAlgn val="ctr"/>
        <c:lblOffset val="100"/>
        <c:noMultiLvlLbl val="0"/>
      </c:catAx>
      <c:valAx>
        <c:axId val="1841034208"/>
        <c:scaling>
          <c:orientation val="minMax"/>
        </c:scaling>
        <c:delete val="1"/>
        <c:axPos val="b"/>
        <c:numFmt formatCode="General" sourceLinked="1"/>
        <c:majorTickMark val="out"/>
        <c:minorTickMark val="none"/>
        <c:tickLblPos val="nextTo"/>
        <c:crossAx val="1841024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Estate Dashboard newww.xlsx]Analysis!PivotTable1</c:name>
    <c:fmtId val="3"/>
  </c:pivotSource>
  <c:chart>
    <c:title>
      <c:tx>
        <c:rich>
          <a:bodyPr rot="0" spcFirstLastPara="1" vertOverflow="ellipsis" vert="horz" wrap="square" anchor="ctr" anchorCtr="1"/>
          <a:lstStyle/>
          <a:p>
            <a:pPr>
              <a:defRPr sz="1400" b="0" i="0" u="none" strike="noStrike" kern="1200" spc="0" baseline="0">
                <a:solidFill>
                  <a:srgbClr val="1D4328"/>
                </a:solidFill>
                <a:latin typeface="+mn-lt"/>
                <a:ea typeface="+mn-ea"/>
                <a:cs typeface="+mn-cs"/>
              </a:defRPr>
            </a:pPr>
            <a:r>
              <a:rPr lang="en-US">
                <a:solidFill>
                  <a:srgbClr val="1D4328"/>
                </a:solidFill>
              </a:rPr>
              <a:t>Top</a:t>
            </a:r>
            <a:r>
              <a:rPr lang="en-US" baseline="0">
                <a:solidFill>
                  <a:srgbClr val="1D4328"/>
                </a:solidFill>
              </a:rPr>
              <a:t> 5  MOST EXPENSIVE PROPERTY</a:t>
            </a:r>
            <a:endParaRPr lang="en-US">
              <a:solidFill>
                <a:srgbClr val="1D4328"/>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1D4328"/>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9834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66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Analysis!$AQ$7</c:f>
              <c:strCache>
                <c:ptCount val="1"/>
                <c:pt idx="0">
                  <c:v>Total</c:v>
                </c:pt>
              </c:strCache>
            </c:strRef>
          </c:tx>
          <c:spPr>
            <a:solidFill>
              <a:srgbClr val="39834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66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Analysis!$AP$8:$AP$17</c:f>
              <c:multiLvlStrCache>
                <c:ptCount val="5"/>
                <c:lvl>
                  <c:pt idx="0">
                    <c:v>Rocky Hill</c:v>
                  </c:pt>
                  <c:pt idx="1">
                    <c:v>Cromwell</c:v>
                  </c:pt>
                  <c:pt idx="2">
                    <c:v>Greenwich</c:v>
                  </c:pt>
                  <c:pt idx="3">
                    <c:v>New London</c:v>
                  </c:pt>
                  <c:pt idx="4">
                    <c:v>New London</c:v>
                  </c:pt>
                </c:lvl>
                <c:lvl>
                  <c:pt idx="0">
                    <c:v>13D ROBBINS LANE</c:v>
                  </c:pt>
                  <c:pt idx="1">
                    <c:v>34      SHUNPIKE      ROAD</c:v>
                  </c:pt>
                  <c:pt idx="2">
                    <c:v>11 BAYBERRY LANE</c:v>
                  </c:pt>
                  <c:pt idx="3">
                    <c:v>83 MANSFIELD RD 228</c:v>
                  </c:pt>
                  <c:pt idx="4">
                    <c:v>83 MANSFIELD RD 220</c:v>
                  </c:pt>
                </c:lvl>
              </c:multiLvlStrCache>
            </c:multiLvlStrRef>
          </c:cat>
          <c:val>
            <c:numRef>
              <c:f>Analysis!$AQ$8:$AQ$17</c:f>
              <c:numCache>
                <c:formatCode>_("$"* #,##0_);_("$"* \(#,##0\);_("$"* "-"_);_(@_)</c:formatCode>
                <c:ptCount val="5"/>
                <c:pt idx="0">
                  <c:v>13650000</c:v>
                </c:pt>
                <c:pt idx="1">
                  <c:v>5214750</c:v>
                </c:pt>
                <c:pt idx="2">
                  <c:v>4300000</c:v>
                </c:pt>
                <c:pt idx="3">
                  <c:v>3266250</c:v>
                </c:pt>
                <c:pt idx="4">
                  <c:v>3266250</c:v>
                </c:pt>
              </c:numCache>
            </c:numRef>
          </c:val>
          <c:extLst>
            <c:ext xmlns:c16="http://schemas.microsoft.com/office/drawing/2014/chart" uri="{C3380CC4-5D6E-409C-BE32-E72D297353CC}">
              <c16:uniqueId val="{00000000-1008-4925-AEA8-22F8F6D1A1AA}"/>
            </c:ext>
          </c:extLst>
        </c:ser>
        <c:dLbls>
          <c:dLblPos val="outEnd"/>
          <c:showLegendKey val="0"/>
          <c:showVal val="1"/>
          <c:showCatName val="0"/>
          <c:showSerName val="0"/>
          <c:showPercent val="0"/>
          <c:showBubbleSize val="0"/>
        </c:dLbls>
        <c:gapWidth val="219"/>
        <c:overlap val="-27"/>
        <c:axId val="1973300224"/>
        <c:axId val="1973322784"/>
      </c:barChart>
      <c:catAx>
        <c:axId val="19733002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D4328"/>
                </a:solidFill>
                <a:latin typeface="+mn-lt"/>
                <a:ea typeface="+mn-ea"/>
                <a:cs typeface="+mn-cs"/>
              </a:defRPr>
            </a:pPr>
            <a:endParaRPr lang="en-US"/>
          </a:p>
        </c:txPr>
        <c:crossAx val="1973322784"/>
        <c:crosses val="autoZero"/>
        <c:auto val="1"/>
        <c:lblAlgn val="ctr"/>
        <c:lblOffset val="100"/>
        <c:noMultiLvlLbl val="0"/>
      </c:catAx>
      <c:valAx>
        <c:axId val="1973322784"/>
        <c:scaling>
          <c:orientation val="minMax"/>
        </c:scaling>
        <c:delete val="1"/>
        <c:axPos val="l"/>
        <c:numFmt formatCode="_(&quot;$&quot;* #,##0_);_(&quot;$&quot;* \(#,##0\);_(&quot;$&quot;* &quot;-&quot;_);_(@_)" sourceLinked="1"/>
        <c:majorTickMark val="out"/>
        <c:minorTickMark val="none"/>
        <c:tickLblPos val="nextTo"/>
        <c:crossAx val="1973300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Top</a:t>
            </a:r>
            <a:r>
              <a:rPr lang="en-US" baseline="0"/>
              <a:t> 5 sales by Town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Analysis!$BD$3</c:f>
              <c:strCache>
                <c:ptCount val="1"/>
                <c:pt idx="0">
                  <c:v> Sale Amount</c:v>
                </c:pt>
              </c:strCache>
            </c:strRef>
          </c:tx>
          <c:dPt>
            <c:idx val="0"/>
            <c:bubble3D val="0"/>
            <c:spPr>
              <a:solidFill>
                <a:srgbClr val="39834E"/>
              </a:solidFill>
              <a:ln w="19050">
                <a:solidFill>
                  <a:schemeClr val="lt1"/>
                </a:solidFill>
              </a:ln>
              <a:effectLst/>
            </c:spPr>
            <c:extLst>
              <c:ext xmlns:c16="http://schemas.microsoft.com/office/drawing/2014/chart" uri="{C3380CC4-5D6E-409C-BE32-E72D297353CC}">
                <c16:uniqueId val="{00000001-33DB-4AB2-99BA-414937C2F11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3DB-4AB2-99BA-414937C2F11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3DB-4AB2-99BA-414937C2F11D}"/>
              </c:ext>
            </c:extLst>
          </c:dPt>
          <c:dPt>
            <c:idx val="3"/>
            <c:bubble3D val="0"/>
            <c:spPr>
              <a:solidFill>
                <a:srgbClr val="C00000"/>
              </a:solidFill>
              <a:ln w="19050">
                <a:solidFill>
                  <a:schemeClr val="lt1"/>
                </a:solidFill>
              </a:ln>
              <a:effectLst/>
            </c:spPr>
            <c:extLst>
              <c:ext xmlns:c16="http://schemas.microsoft.com/office/drawing/2014/chart" uri="{C3380CC4-5D6E-409C-BE32-E72D297353CC}">
                <c16:uniqueId val="{00000007-33DB-4AB2-99BA-414937C2F11D}"/>
              </c:ext>
            </c:extLst>
          </c:dPt>
          <c:dPt>
            <c:idx val="4"/>
            <c:bubble3D val="0"/>
            <c:spPr>
              <a:solidFill>
                <a:schemeClr val="tx1"/>
              </a:solidFill>
              <a:ln w="19050">
                <a:solidFill>
                  <a:schemeClr val="lt1"/>
                </a:solidFill>
              </a:ln>
              <a:effectLst/>
            </c:spPr>
            <c:extLst>
              <c:ext xmlns:c16="http://schemas.microsoft.com/office/drawing/2014/chart" uri="{C3380CC4-5D6E-409C-BE32-E72D297353CC}">
                <c16:uniqueId val="{00000009-33DB-4AB2-99BA-414937C2F11D}"/>
              </c:ext>
            </c:extLst>
          </c:dPt>
          <c:cat>
            <c:strRef>
              <c:f>Analysis!$BC$4:$BC$8</c:f>
              <c:strCache>
                <c:ptCount val="5"/>
                <c:pt idx="0">
                  <c:v>Rocky Hill</c:v>
                </c:pt>
                <c:pt idx="1">
                  <c:v>Stamford</c:v>
                </c:pt>
                <c:pt idx="2">
                  <c:v>Greenwich</c:v>
                </c:pt>
                <c:pt idx="3">
                  <c:v>New London</c:v>
                </c:pt>
                <c:pt idx="4">
                  <c:v>Cromwell</c:v>
                </c:pt>
              </c:strCache>
            </c:strRef>
          </c:cat>
          <c:val>
            <c:numRef>
              <c:f>Analysis!$BD$4:$BD$8</c:f>
              <c:numCache>
                <c:formatCode>0.00%</c:formatCode>
                <c:ptCount val="5"/>
                <c:pt idx="0">
                  <c:v>0.10590135343651526</c:v>
                </c:pt>
                <c:pt idx="1">
                  <c:v>8.583634429430867E-2</c:v>
                </c:pt>
                <c:pt idx="2">
                  <c:v>8.2282031143225395E-2</c:v>
                </c:pt>
                <c:pt idx="3">
                  <c:v>4.7877389562222067E-2</c:v>
                </c:pt>
                <c:pt idx="4">
                  <c:v>4.2403195582009647E-2</c:v>
                </c:pt>
              </c:numCache>
            </c:numRef>
          </c:val>
          <c:extLst>
            <c:ext xmlns:c16="http://schemas.microsoft.com/office/drawing/2014/chart" uri="{C3380CC4-5D6E-409C-BE32-E72D297353CC}">
              <c16:uniqueId val="{0000000A-33DB-4AB2-99BA-414937C2F11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image" Target="../media/image3.png"/><Relationship Id="rId7" Type="http://schemas.openxmlformats.org/officeDocument/2006/relationships/image" Target="../media/image5.png"/><Relationship Id="rId12" Type="http://schemas.openxmlformats.org/officeDocument/2006/relationships/chart" Target="../charts/chart18.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4.xml"/><Relationship Id="rId11" Type="http://schemas.openxmlformats.org/officeDocument/2006/relationships/chart" Target="../charts/chart17.xml"/><Relationship Id="rId5" Type="http://schemas.openxmlformats.org/officeDocument/2006/relationships/chart" Target="../charts/chart13.xml"/><Relationship Id="rId10" Type="http://schemas.openxmlformats.org/officeDocument/2006/relationships/image" Target="../media/image6.png"/><Relationship Id="rId4" Type="http://schemas.openxmlformats.org/officeDocument/2006/relationships/image" Target="../media/image4.png"/><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37</xdr:col>
      <xdr:colOff>295775</xdr:colOff>
      <xdr:row>28</xdr:row>
      <xdr:rowOff>132346</xdr:rowOff>
    </xdr:from>
    <xdr:to>
      <xdr:col>41</xdr:col>
      <xdr:colOff>1117932</xdr:colOff>
      <xdr:row>44</xdr:row>
      <xdr:rowOff>60158</xdr:rowOff>
    </xdr:to>
    <xdr:graphicFrame macro="">
      <xdr:nvGraphicFramePr>
        <xdr:cNvPr id="6" name="Chart 5">
          <a:extLst>
            <a:ext uri="{FF2B5EF4-FFF2-40B4-BE49-F238E27FC236}">
              <a16:creationId xmlns:a16="http://schemas.microsoft.com/office/drawing/2014/main" id="{2C2ED21B-A28D-5BE3-12E1-B87F61886C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44</xdr:col>
      <xdr:colOff>466224</xdr:colOff>
      <xdr:row>22</xdr:row>
      <xdr:rowOff>132347</xdr:rowOff>
    </xdr:from>
    <xdr:to>
      <xdr:col>49</xdr:col>
      <xdr:colOff>115302</xdr:colOff>
      <xdr:row>37</xdr:row>
      <xdr:rowOff>118310</xdr:rowOff>
    </xdr:to>
    <xdr:graphicFrame macro="">
      <xdr:nvGraphicFramePr>
        <xdr:cNvPr id="8" name="Chart 7">
          <a:extLst>
            <a:ext uri="{FF2B5EF4-FFF2-40B4-BE49-F238E27FC236}">
              <a16:creationId xmlns:a16="http://schemas.microsoft.com/office/drawing/2014/main" id="{6656B81C-6747-A07A-118A-2A39F28A9C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69</xdr:col>
      <xdr:colOff>406066</xdr:colOff>
      <xdr:row>4</xdr:row>
      <xdr:rowOff>162427</xdr:rowOff>
    </xdr:from>
    <xdr:to>
      <xdr:col>75</xdr:col>
      <xdr:colOff>285750</xdr:colOff>
      <xdr:row>19</xdr:row>
      <xdr:rowOff>48127</xdr:rowOff>
    </xdr:to>
    <xdr:graphicFrame macro="">
      <xdr:nvGraphicFramePr>
        <xdr:cNvPr id="11" name="Chart 10">
          <a:extLst>
            <a:ext uri="{FF2B5EF4-FFF2-40B4-BE49-F238E27FC236}">
              <a16:creationId xmlns:a16="http://schemas.microsoft.com/office/drawing/2014/main" id="{7690A14C-1830-36F2-32DD-6A6199C168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91</xdr:col>
      <xdr:colOff>797091</xdr:colOff>
      <xdr:row>18</xdr:row>
      <xdr:rowOff>82218</xdr:rowOff>
    </xdr:from>
    <xdr:to>
      <xdr:col>95</xdr:col>
      <xdr:colOff>360949</xdr:colOff>
      <xdr:row>28</xdr:row>
      <xdr:rowOff>1</xdr:rowOff>
    </xdr:to>
    <xdr:graphicFrame macro="">
      <xdr:nvGraphicFramePr>
        <xdr:cNvPr id="13" name="Chart 12">
          <a:extLst>
            <a:ext uri="{FF2B5EF4-FFF2-40B4-BE49-F238E27FC236}">
              <a16:creationId xmlns:a16="http://schemas.microsoft.com/office/drawing/2014/main" id="{6E3A4F65-2881-4C35-48CD-845FB5F860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93</xdr:col>
      <xdr:colOff>215565</xdr:colOff>
      <xdr:row>39</xdr:row>
      <xdr:rowOff>182480</xdr:rowOff>
    </xdr:from>
    <xdr:to>
      <xdr:col>98</xdr:col>
      <xdr:colOff>792080</xdr:colOff>
      <xdr:row>51</xdr:row>
      <xdr:rowOff>160421</xdr:rowOff>
    </xdr:to>
    <xdr:graphicFrame macro="">
      <xdr:nvGraphicFramePr>
        <xdr:cNvPr id="16" name="Chart 15">
          <a:extLst>
            <a:ext uri="{FF2B5EF4-FFF2-40B4-BE49-F238E27FC236}">
              <a16:creationId xmlns:a16="http://schemas.microsoft.com/office/drawing/2014/main" id="{5BE6B1D9-A8B6-FAC1-993C-589AF1CC62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93</xdr:col>
      <xdr:colOff>636670</xdr:colOff>
      <xdr:row>86</xdr:row>
      <xdr:rowOff>50132</xdr:rowOff>
    </xdr:from>
    <xdr:to>
      <xdr:col>100</xdr:col>
      <xdr:colOff>135355</xdr:colOff>
      <xdr:row>106</xdr:row>
      <xdr:rowOff>28074</xdr:rowOff>
    </xdr:to>
    <xdr:graphicFrame macro="">
      <xdr:nvGraphicFramePr>
        <xdr:cNvPr id="17" name="Chart 16">
          <a:extLst>
            <a:ext uri="{FF2B5EF4-FFF2-40B4-BE49-F238E27FC236}">
              <a16:creationId xmlns:a16="http://schemas.microsoft.com/office/drawing/2014/main" id="{30F5CEFF-1F11-C126-D33B-08F79E62ED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91</xdr:col>
      <xdr:colOff>194511</xdr:colOff>
      <xdr:row>84</xdr:row>
      <xdr:rowOff>159919</xdr:rowOff>
    </xdr:from>
    <xdr:to>
      <xdr:col>92</xdr:col>
      <xdr:colOff>1191127</xdr:colOff>
      <xdr:row>98</xdr:row>
      <xdr:rowOff>17044</xdr:rowOff>
    </xdr:to>
    <mc:AlternateContent xmlns:mc="http://schemas.openxmlformats.org/markup-compatibility/2006" xmlns:a14="http://schemas.microsoft.com/office/drawing/2010/main">
      <mc:Choice Requires="a14">
        <xdr:graphicFrame macro="">
          <xdr:nvGraphicFramePr>
            <xdr:cNvPr id="18" name="Month Name">
              <a:extLst>
                <a:ext uri="{FF2B5EF4-FFF2-40B4-BE49-F238E27FC236}">
                  <a16:creationId xmlns:a16="http://schemas.microsoft.com/office/drawing/2014/main" id="{C0502592-9A2F-E6F8-D4D8-F755FCAC425E}"/>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77838300" y="16161919"/>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90238</xdr:colOff>
      <xdr:row>2</xdr:row>
      <xdr:rowOff>173789</xdr:rowOff>
    </xdr:from>
    <xdr:to>
      <xdr:col>32</xdr:col>
      <xdr:colOff>127001</xdr:colOff>
      <xdr:row>12</xdr:row>
      <xdr:rowOff>163429</xdr:rowOff>
    </xdr:to>
    <xdr:graphicFrame macro="">
      <xdr:nvGraphicFramePr>
        <xdr:cNvPr id="14" name="Chart 13">
          <a:extLst>
            <a:ext uri="{FF2B5EF4-FFF2-40B4-BE49-F238E27FC236}">
              <a16:creationId xmlns:a16="http://schemas.microsoft.com/office/drawing/2014/main" id="{92A9ADE3-D221-6440-F04F-7ACD2AEBDC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93</xdr:col>
      <xdr:colOff>681790</xdr:colOff>
      <xdr:row>82</xdr:row>
      <xdr:rowOff>72190</xdr:rowOff>
    </xdr:from>
    <xdr:to>
      <xdr:col>99</xdr:col>
      <xdr:colOff>391027</xdr:colOff>
      <xdr:row>96</xdr:row>
      <xdr:rowOff>148390</xdr:rowOff>
    </xdr:to>
    <xdr:graphicFrame macro="">
      <xdr:nvGraphicFramePr>
        <xdr:cNvPr id="22" name="Chart 21">
          <a:extLst>
            <a:ext uri="{FF2B5EF4-FFF2-40B4-BE49-F238E27FC236}">
              <a16:creationId xmlns:a16="http://schemas.microsoft.com/office/drawing/2014/main" id="{3E1E7312-2C77-2789-9883-CDC0AE302F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83</xdr:col>
      <xdr:colOff>310815</xdr:colOff>
      <xdr:row>8</xdr:row>
      <xdr:rowOff>46790</xdr:rowOff>
    </xdr:from>
    <xdr:to>
      <xdr:col>88</xdr:col>
      <xdr:colOff>688474</xdr:colOff>
      <xdr:row>20</xdr:row>
      <xdr:rowOff>38101</xdr:rowOff>
    </xdr:to>
    <xdr:graphicFrame macro="">
      <xdr:nvGraphicFramePr>
        <xdr:cNvPr id="23" name="Chart 22">
          <a:extLst>
            <a:ext uri="{FF2B5EF4-FFF2-40B4-BE49-F238E27FC236}">
              <a16:creationId xmlns:a16="http://schemas.microsoft.com/office/drawing/2014/main" id="{ADBBEF28-F71A-70A0-64A6-DC336EDEBF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41</xdr:col>
      <xdr:colOff>1176421</xdr:colOff>
      <xdr:row>9</xdr:row>
      <xdr:rowOff>122321</xdr:rowOff>
    </xdr:from>
    <xdr:to>
      <xdr:col>47</xdr:col>
      <xdr:colOff>508000</xdr:colOff>
      <xdr:row>24</xdr:row>
      <xdr:rowOff>11363</xdr:rowOff>
    </xdr:to>
    <xdr:graphicFrame macro="">
      <xdr:nvGraphicFramePr>
        <xdr:cNvPr id="2" name="Chart 1">
          <a:extLst>
            <a:ext uri="{FF2B5EF4-FFF2-40B4-BE49-F238E27FC236}">
              <a16:creationId xmlns:a16="http://schemas.microsoft.com/office/drawing/2014/main" id="{35CDAA56-09B6-B699-EF48-A52ADEFAA7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48</xdr:col>
      <xdr:colOff>1246605</xdr:colOff>
      <xdr:row>0</xdr:row>
      <xdr:rowOff>147051</xdr:rowOff>
    </xdr:from>
    <xdr:to>
      <xdr:col>51</xdr:col>
      <xdr:colOff>1009315</xdr:colOff>
      <xdr:row>9</xdr:row>
      <xdr:rowOff>180137</xdr:rowOff>
    </xdr:to>
    <xdr:graphicFrame macro="">
      <xdr:nvGraphicFramePr>
        <xdr:cNvPr id="3" name="Chart 2">
          <a:extLst>
            <a:ext uri="{FF2B5EF4-FFF2-40B4-BE49-F238E27FC236}">
              <a16:creationId xmlns:a16="http://schemas.microsoft.com/office/drawing/2014/main" id="{3C4BDBDE-8AC4-C368-119A-5802F01ADC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68</xdr:col>
      <xdr:colOff>29578</xdr:colOff>
      <xdr:row>8</xdr:row>
      <xdr:rowOff>133350</xdr:rowOff>
    </xdr:from>
    <xdr:to>
      <xdr:col>69</xdr:col>
      <xdr:colOff>575009</xdr:colOff>
      <xdr:row>21</xdr:row>
      <xdr:rowOff>80712</xdr:rowOff>
    </xdr:to>
    <mc:AlternateContent xmlns:mc="http://schemas.openxmlformats.org/markup-compatibility/2006" xmlns:a14="http://schemas.microsoft.com/office/drawing/2010/main">
      <mc:Choice Requires="a14">
        <xdr:graphicFrame macro="">
          <xdr:nvGraphicFramePr>
            <xdr:cNvPr id="9" name="Town initials PQ">
              <a:extLst>
                <a:ext uri="{FF2B5EF4-FFF2-40B4-BE49-F238E27FC236}">
                  <a16:creationId xmlns:a16="http://schemas.microsoft.com/office/drawing/2014/main" id="{18539ACC-68C0-B417-F0B0-5D1A48F741AC}"/>
                </a:ext>
              </a:extLst>
            </xdr:cNvPr>
            <xdr:cNvGraphicFramePr/>
          </xdr:nvGraphicFramePr>
          <xdr:xfrm>
            <a:off x="0" y="0"/>
            <a:ext cx="0" cy="0"/>
          </xdr:xfrm>
          <a:graphic>
            <a:graphicData uri="http://schemas.microsoft.com/office/drawing/2010/slicer">
              <sle:slicer xmlns:sle="http://schemas.microsoft.com/office/drawing/2010/slicer" name="Town initials PQ"/>
            </a:graphicData>
          </a:graphic>
        </xdr:graphicFrame>
      </mc:Choice>
      <mc:Fallback xmlns="">
        <xdr:sp macro="" textlink="">
          <xdr:nvSpPr>
            <xdr:cNvPr id="0" name=""/>
            <xdr:cNvSpPr>
              <a:spLocks noTextEdit="1"/>
            </xdr:cNvSpPr>
          </xdr:nvSpPr>
          <xdr:spPr>
            <a:xfrm>
              <a:off x="57159525" y="16573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77</xdr:col>
      <xdr:colOff>93580</xdr:colOff>
      <xdr:row>11</xdr:row>
      <xdr:rowOff>30414</xdr:rowOff>
    </xdr:from>
    <xdr:to>
      <xdr:col>82</xdr:col>
      <xdr:colOff>153737</xdr:colOff>
      <xdr:row>25</xdr:row>
      <xdr:rowOff>106613</xdr:rowOff>
    </xdr:to>
    <xdr:sp macro="" textlink="">
      <xdr:nvSpPr>
        <xdr:cNvPr id="4" name="Rectangle 3">
          <a:extLst>
            <a:ext uri="{FF2B5EF4-FFF2-40B4-BE49-F238E27FC236}">
              <a16:creationId xmlns:a16="http://schemas.microsoft.com/office/drawing/2014/main" id="{00000000-0008-0000-0F00-000004000000}"/>
            </a:ext>
          </a:extLst>
        </xdr:cNvPr>
        <xdr:cNvSpPr>
          <a:spLocks noTextEdit="1"/>
        </xdr:cNvSpPr>
      </xdr:nvSpPr>
      <xdr:spPr>
        <a:xfrm>
          <a:off x="65318106" y="2202782"/>
          <a:ext cx="5273842" cy="269641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xdr:clientData/>
  </xdr:twoCellAnchor>
  <xdr:twoCellAnchor>
    <xdr:from>
      <xdr:col>54</xdr:col>
      <xdr:colOff>213897</xdr:colOff>
      <xdr:row>8</xdr:row>
      <xdr:rowOff>46790</xdr:rowOff>
    </xdr:from>
    <xdr:to>
      <xdr:col>56</xdr:col>
      <xdr:colOff>300791</xdr:colOff>
      <xdr:row>20</xdr:row>
      <xdr:rowOff>60157</xdr:rowOff>
    </xdr:to>
    <xdr:graphicFrame macro="">
      <xdr:nvGraphicFramePr>
        <xdr:cNvPr id="5" name="Chart 4">
          <a:extLst>
            <a:ext uri="{FF2B5EF4-FFF2-40B4-BE49-F238E27FC236}">
              <a16:creationId xmlns:a16="http://schemas.microsoft.com/office/drawing/2014/main" id="{62C2933B-AEE4-DE67-791B-12D816A63B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7374</xdr:rowOff>
    </xdr:from>
    <xdr:to>
      <xdr:col>22</xdr:col>
      <xdr:colOff>337984</xdr:colOff>
      <xdr:row>33</xdr:row>
      <xdr:rowOff>26425</xdr:rowOff>
    </xdr:to>
    <xdr:sp macro="" textlink="">
      <xdr:nvSpPr>
        <xdr:cNvPr id="3" name="Rectangle: Rounded Corners 2">
          <a:extLst>
            <a:ext uri="{FF2B5EF4-FFF2-40B4-BE49-F238E27FC236}">
              <a16:creationId xmlns:a16="http://schemas.microsoft.com/office/drawing/2014/main" id="{1F2FBDDA-6532-4C91-4028-FCF5AECE33E5}"/>
            </a:ext>
          </a:extLst>
        </xdr:cNvPr>
        <xdr:cNvSpPr/>
      </xdr:nvSpPr>
      <xdr:spPr>
        <a:xfrm>
          <a:off x="0" y="7374"/>
          <a:ext cx="14533307" cy="6102761"/>
        </a:xfrm>
        <a:prstGeom prst="roundRect">
          <a:avLst>
            <a:gd name="adj" fmla="val 2451"/>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624243</xdr:colOff>
      <xdr:row>0</xdr:row>
      <xdr:rowOff>40967</xdr:rowOff>
    </xdr:from>
    <xdr:to>
      <xdr:col>22</xdr:col>
      <xdr:colOff>297015</xdr:colOff>
      <xdr:row>11</xdr:row>
      <xdr:rowOff>60018</xdr:rowOff>
    </xdr:to>
    <xdr:sp macro="" textlink="">
      <xdr:nvSpPr>
        <xdr:cNvPr id="4" name="Rectangle: Rounded Corners 3">
          <a:extLst>
            <a:ext uri="{FF2B5EF4-FFF2-40B4-BE49-F238E27FC236}">
              <a16:creationId xmlns:a16="http://schemas.microsoft.com/office/drawing/2014/main" id="{BB673499-5AE9-174A-6567-F142BB2C6406}"/>
            </a:ext>
          </a:extLst>
        </xdr:cNvPr>
        <xdr:cNvSpPr/>
      </xdr:nvSpPr>
      <xdr:spPr>
        <a:xfrm>
          <a:off x="1914727" y="40967"/>
          <a:ext cx="12577611" cy="2046954"/>
        </a:xfrm>
        <a:prstGeom prst="roundRect">
          <a:avLst>
            <a:gd name="adj" fmla="val 769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rgbClr val="1D4328"/>
            </a:solidFill>
            <a:latin typeface="+mn-lt"/>
            <a:ea typeface="+mn-ea"/>
            <a:cs typeface="+mn-cs"/>
          </a:endParaRPr>
        </a:p>
      </xdr:txBody>
    </xdr:sp>
    <xdr:clientData/>
  </xdr:twoCellAnchor>
  <xdr:twoCellAnchor>
    <xdr:from>
      <xdr:col>4</xdr:col>
      <xdr:colOff>302895</xdr:colOff>
      <xdr:row>3</xdr:row>
      <xdr:rowOff>95249</xdr:rowOff>
    </xdr:from>
    <xdr:to>
      <xdr:col>5</xdr:col>
      <xdr:colOff>531495</xdr:colOff>
      <xdr:row>10</xdr:row>
      <xdr:rowOff>85342</xdr:rowOff>
    </xdr:to>
    <xdr:sp macro="" textlink="">
      <xdr:nvSpPr>
        <xdr:cNvPr id="8" name="Rectangle: Rounded Corners 7">
          <a:extLst>
            <a:ext uri="{FF2B5EF4-FFF2-40B4-BE49-F238E27FC236}">
              <a16:creationId xmlns:a16="http://schemas.microsoft.com/office/drawing/2014/main" id="{2364321F-DA6A-E4EB-865D-B76231915C36}"/>
            </a:ext>
          </a:extLst>
        </xdr:cNvPr>
        <xdr:cNvSpPr/>
      </xdr:nvSpPr>
      <xdr:spPr>
        <a:xfrm>
          <a:off x="2741295" y="666749"/>
          <a:ext cx="838200" cy="1323593"/>
        </a:xfrm>
        <a:prstGeom prst="roundRect">
          <a:avLst>
            <a:gd name="adj" fmla="val 18047"/>
          </a:avLst>
        </a:prstGeom>
        <a:solidFill>
          <a:schemeClr val="bg1">
            <a:lumMod val="50000"/>
          </a:schemeClr>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6</xdr:col>
      <xdr:colOff>2847</xdr:colOff>
      <xdr:row>3</xdr:row>
      <xdr:rowOff>85007</xdr:rowOff>
    </xdr:from>
    <xdr:to>
      <xdr:col>7</xdr:col>
      <xdr:colOff>231447</xdr:colOff>
      <xdr:row>10</xdr:row>
      <xdr:rowOff>75100</xdr:rowOff>
    </xdr:to>
    <xdr:sp macro="" textlink="">
      <xdr:nvSpPr>
        <xdr:cNvPr id="9" name="Rectangle: Rounded Corners 8">
          <a:extLst>
            <a:ext uri="{FF2B5EF4-FFF2-40B4-BE49-F238E27FC236}">
              <a16:creationId xmlns:a16="http://schemas.microsoft.com/office/drawing/2014/main" id="{B4273089-1E87-D1ED-5CF3-ADA54D25534D}"/>
            </a:ext>
          </a:extLst>
        </xdr:cNvPr>
        <xdr:cNvSpPr/>
      </xdr:nvSpPr>
      <xdr:spPr>
        <a:xfrm>
          <a:off x="3874299" y="638072"/>
          <a:ext cx="873842" cy="1280576"/>
        </a:xfrm>
        <a:prstGeom prst="roundRect">
          <a:avLst>
            <a:gd name="adj" fmla="val 18047"/>
          </a:avLst>
        </a:prstGeom>
        <a:solidFill>
          <a:schemeClr val="bg1">
            <a:lumMod val="50000"/>
          </a:schemeClr>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7</xdr:col>
      <xdr:colOff>464820</xdr:colOff>
      <xdr:row>3</xdr:row>
      <xdr:rowOff>76199</xdr:rowOff>
    </xdr:from>
    <xdr:to>
      <xdr:col>9</xdr:col>
      <xdr:colOff>83820</xdr:colOff>
      <xdr:row>10</xdr:row>
      <xdr:rowOff>66292</xdr:rowOff>
    </xdr:to>
    <xdr:sp macro="" textlink="">
      <xdr:nvSpPr>
        <xdr:cNvPr id="10" name="Rectangle: Rounded Corners 9">
          <a:extLst>
            <a:ext uri="{FF2B5EF4-FFF2-40B4-BE49-F238E27FC236}">
              <a16:creationId xmlns:a16="http://schemas.microsoft.com/office/drawing/2014/main" id="{74B2D839-C70E-455B-486F-24BC80349E7B}"/>
            </a:ext>
          </a:extLst>
        </xdr:cNvPr>
        <xdr:cNvSpPr/>
      </xdr:nvSpPr>
      <xdr:spPr>
        <a:xfrm>
          <a:off x="4732020" y="647699"/>
          <a:ext cx="838200" cy="1323593"/>
        </a:xfrm>
        <a:prstGeom prst="roundRect">
          <a:avLst>
            <a:gd name="adj" fmla="val 18047"/>
          </a:avLst>
        </a:prstGeom>
        <a:solidFill>
          <a:schemeClr val="bg1">
            <a:lumMod val="50000"/>
          </a:schemeClr>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9</xdr:col>
      <xdr:colOff>271677</xdr:colOff>
      <xdr:row>3</xdr:row>
      <xdr:rowOff>83573</xdr:rowOff>
    </xdr:from>
    <xdr:to>
      <xdr:col>10</xdr:col>
      <xdr:colOff>500277</xdr:colOff>
      <xdr:row>10</xdr:row>
      <xdr:rowOff>73666</xdr:rowOff>
    </xdr:to>
    <xdr:sp macro="" textlink="">
      <xdr:nvSpPr>
        <xdr:cNvPr id="11" name="Rectangle: Rounded Corners 10">
          <a:extLst>
            <a:ext uri="{FF2B5EF4-FFF2-40B4-BE49-F238E27FC236}">
              <a16:creationId xmlns:a16="http://schemas.microsoft.com/office/drawing/2014/main" id="{BB249158-6EA5-BF0D-C6EE-81286586CB36}"/>
            </a:ext>
          </a:extLst>
        </xdr:cNvPr>
        <xdr:cNvSpPr/>
      </xdr:nvSpPr>
      <xdr:spPr>
        <a:xfrm>
          <a:off x="6078854" y="636638"/>
          <a:ext cx="873842" cy="1280576"/>
        </a:xfrm>
        <a:prstGeom prst="roundRect">
          <a:avLst>
            <a:gd name="adj" fmla="val 18047"/>
          </a:avLst>
        </a:prstGeom>
        <a:solidFill>
          <a:schemeClr val="bg1">
            <a:lumMod val="50000"/>
          </a:schemeClr>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11</xdr:col>
      <xdr:colOff>104775</xdr:colOff>
      <xdr:row>3</xdr:row>
      <xdr:rowOff>95249</xdr:rowOff>
    </xdr:from>
    <xdr:to>
      <xdr:col>12</xdr:col>
      <xdr:colOff>333375</xdr:colOff>
      <xdr:row>10</xdr:row>
      <xdr:rowOff>85342</xdr:rowOff>
    </xdr:to>
    <xdr:sp macro="" textlink="">
      <xdr:nvSpPr>
        <xdr:cNvPr id="12" name="Rectangle: Rounded Corners 11">
          <a:extLst>
            <a:ext uri="{FF2B5EF4-FFF2-40B4-BE49-F238E27FC236}">
              <a16:creationId xmlns:a16="http://schemas.microsoft.com/office/drawing/2014/main" id="{472BED07-7C3F-C81B-01B3-50632A15D627}"/>
            </a:ext>
          </a:extLst>
        </xdr:cNvPr>
        <xdr:cNvSpPr/>
      </xdr:nvSpPr>
      <xdr:spPr>
        <a:xfrm>
          <a:off x="6810375" y="666749"/>
          <a:ext cx="838200" cy="1323593"/>
        </a:xfrm>
        <a:prstGeom prst="roundRect">
          <a:avLst>
            <a:gd name="adj" fmla="val 18047"/>
          </a:avLst>
        </a:prstGeom>
        <a:solidFill>
          <a:schemeClr val="bg1">
            <a:lumMod val="50000"/>
          </a:schemeClr>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368712</xdr:colOff>
      <xdr:row>11</xdr:row>
      <xdr:rowOff>107643</xdr:rowOff>
    </xdr:from>
    <xdr:to>
      <xdr:col>15</xdr:col>
      <xdr:colOff>614518</xdr:colOff>
      <xdr:row>22</xdr:row>
      <xdr:rowOff>69543</xdr:rowOff>
    </xdr:to>
    <xdr:sp macro="" textlink="">
      <xdr:nvSpPr>
        <xdr:cNvPr id="13" name="Rectangle: Rounded Corners 12">
          <a:extLst>
            <a:ext uri="{FF2B5EF4-FFF2-40B4-BE49-F238E27FC236}">
              <a16:creationId xmlns:a16="http://schemas.microsoft.com/office/drawing/2014/main" id="{05C5873A-003C-4AFE-5877-482DC6D85400}"/>
            </a:ext>
          </a:extLst>
        </xdr:cNvPr>
        <xdr:cNvSpPr/>
      </xdr:nvSpPr>
      <xdr:spPr>
        <a:xfrm>
          <a:off x="6175889" y="2135546"/>
          <a:ext cx="4117258" cy="1989803"/>
        </a:xfrm>
        <a:prstGeom prst="roundRect">
          <a:avLst>
            <a:gd name="adj" fmla="val 2351"/>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0</xdr:colOff>
      <xdr:row>21</xdr:row>
      <xdr:rowOff>104775</xdr:rowOff>
    </xdr:from>
    <xdr:to>
      <xdr:col>0</xdr:col>
      <xdr:colOff>0</xdr:colOff>
      <xdr:row>30</xdr:row>
      <xdr:rowOff>171448</xdr:rowOff>
    </xdr:to>
    <xdr:sp macro="" textlink="">
      <xdr:nvSpPr>
        <xdr:cNvPr id="14" name="Rectangle: Rounded Corners 13">
          <a:extLst>
            <a:ext uri="{FF2B5EF4-FFF2-40B4-BE49-F238E27FC236}">
              <a16:creationId xmlns:a16="http://schemas.microsoft.com/office/drawing/2014/main" id="{A4EB15F5-F4C2-44C6-F680-AF262CE433A4}"/>
            </a:ext>
          </a:extLst>
        </xdr:cNvPr>
        <xdr:cNvSpPr/>
      </xdr:nvSpPr>
      <xdr:spPr>
        <a:xfrm>
          <a:off x="0" y="4105275"/>
          <a:ext cx="0" cy="1781173"/>
        </a:xfrm>
        <a:prstGeom prst="roundRect">
          <a:avLst>
            <a:gd name="adj" fmla="val 2351"/>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581024</xdr:colOff>
      <xdr:row>22</xdr:row>
      <xdr:rowOff>85726</xdr:rowOff>
    </xdr:from>
    <xdr:to>
      <xdr:col>9</xdr:col>
      <xdr:colOff>307259</xdr:colOff>
      <xdr:row>33</xdr:row>
      <xdr:rowOff>57150</xdr:rowOff>
    </xdr:to>
    <xdr:sp macro="" textlink="">
      <xdr:nvSpPr>
        <xdr:cNvPr id="15" name="Rectangle: Rounded Corners 14">
          <a:extLst>
            <a:ext uri="{FF2B5EF4-FFF2-40B4-BE49-F238E27FC236}">
              <a16:creationId xmlns:a16="http://schemas.microsoft.com/office/drawing/2014/main" id="{7333024C-9165-8031-5DA4-E5B1E5A1C45B}"/>
            </a:ext>
          </a:extLst>
        </xdr:cNvPr>
        <xdr:cNvSpPr/>
      </xdr:nvSpPr>
      <xdr:spPr>
        <a:xfrm>
          <a:off x="1871508" y="4141532"/>
          <a:ext cx="4242928" cy="1999328"/>
        </a:xfrm>
        <a:prstGeom prst="roundRect">
          <a:avLst>
            <a:gd name="adj" fmla="val 2351"/>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9</xdr:col>
      <xdr:colOff>363897</xdr:colOff>
      <xdr:row>22</xdr:row>
      <xdr:rowOff>92177</xdr:rowOff>
    </xdr:from>
    <xdr:to>
      <xdr:col>15</xdr:col>
      <xdr:colOff>614516</xdr:colOff>
      <xdr:row>33</xdr:row>
      <xdr:rowOff>20484</xdr:rowOff>
    </xdr:to>
    <xdr:sp macro="" textlink="">
      <xdr:nvSpPr>
        <xdr:cNvPr id="17" name="Rectangle: Rounded Corners 16">
          <a:extLst>
            <a:ext uri="{FF2B5EF4-FFF2-40B4-BE49-F238E27FC236}">
              <a16:creationId xmlns:a16="http://schemas.microsoft.com/office/drawing/2014/main" id="{B92CC7B9-DED9-FE37-D161-425E57821EC0}"/>
            </a:ext>
          </a:extLst>
        </xdr:cNvPr>
        <xdr:cNvSpPr/>
      </xdr:nvSpPr>
      <xdr:spPr>
        <a:xfrm>
          <a:off x="6171074" y="4147983"/>
          <a:ext cx="4122071" cy="1956211"/>
        </a:xfrm>
        <a:prstGeom prst="roundRect">
          <a:avLst>
            <a:gd name="adj" fmla="val 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39</xdr:col>
      <xdr:colOff>447677</xdr:colOff>
      <xdr:row>11</xdr:row>
      <xdr:rowOff>104775</xdr:rowOff>
    </xdr:from>
    <xdr:to>
      <xdr:col>42</xdr:col>
      <xdr:colOff>571503</xdr:colOff>
      <xdr:row>22</xdr:row>
      <xdr:rowOff>66675</xdr:rowOff>
    </xdr:to>
    <xdr:sp macro="" textlink="">
      <xdr:nvSpPr>
        <xdr:cNvPr id="20" name="Rectangle: Rounded Corners 19">
          <a:extLst>
            <a:ext uri="{FF2B5EF4-FFF2-40B4-BE49-F238E27FC236}">
              <a16:creationId xmlns:a16="http://schemas.microsoft.com/office/drawing/2014/main" id="{8EB4398F-2D00-1AD6-E1C2-7DD2452296A0}"/>
            </a:ext>
          </a:extLst>
        </xdr:cNvPr>
        <xdr:cNvSpPr/>
      </xdr:nvSpPr>
      <xdr:spPr>
        <a:xfrm>
          <a:off x="24222077" y="2200275"/>
          <a:ext cx="1952626" cy="2057400"/>
        </a:xfrm>
        <a:prstGeom prst="roundRect">
          <a:avLst>
            <a:gd name="adj" fmla="val 2351"/>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95250</xdr:colOff>
      <xdr:row>4</xdr:row>
      <xdr:rowOff>19050</xdr:rowOff>
    </xdr:from>
    <xdr:to>
      <xdr:col>4</xdr:col>
      <xdr:colOff>476250</xdr:colOff>
      <xdr:row>5</xdr:row>
      <xdr:rowOff>95250</xdr:rowOff>
    </xdr:to>
    <xdr:sp macro="" textlink="">
      <xdr:nvSpPr>
        <xdr:cNvPr id="22" name="Rectangle 21">
          <a:extLst>
            <a:ext uri="{FF2B5EF4-FFF2-40B4-BE49-F238E27FC236}">
              <a16:creationId xmlns:a16="http://schemas.microsoft.com/office/drawing/2014/main" id="{31B93306-CD1B-A6CD-A4D4-77A8BF168940}"/>
            </a:ext>
          </a:extLst>
        </xdr:cNvPr>
        <xdr:cNvSpPr/>
      </xdr:nvSpPr>
      <xdr:spPr>
        <a:xfrm>
          <a:off x="1924050" y="781050"/>
          <a:ext cx="990600" cy="2667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552450</xdr:colOff>
      <xdr:row>4</xdr:row>
      <xdr:rowOff>0</xdr:rowOff>
    </xdr:from>
    <xdr:to>
      <xdr:col>7</xdr:col>
      <xdr:colOff>85725</xdr:colOff>
      <xdr:row>5</xdr:row>
      <xdr:rowOff>161925</xdr:rowOff>
    </xdr:to>
    <xdr:sp macro="" textlink="">
      <xdr:nvSpPr>
        <xdr:cNvPr id="33" name="Rectangle 32">
          <a:extLst>
            <a:ext uri="{FF2B5EF4-FFF2-40B4-BE49-F238E27FC236}">
              <a16:creationId xmlns:a16="http://schemas.microsoft.com/office/drawing/2014/main" id="{070F3A6B-70A1-4997-7B13-AF6F0178BAFD}"/>
            </a:ext>
          </a:extLst>
        </xdr:cNvPr>
        <xdr:cNvSpPr/>
      </xdr:nvSpPr>
      <xdr:spPr>
        <a:xfrm>
          <a:off x="3600450" y="762000"/>
          <a:ext cx="752475" cy="3524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241935</xdr:colOff>
      <xdr:row>3</xdr:row>
      <xdr:rowOff>123825</xdr:rowOff>
    </xdr:from>
    <xdr:to>
      <xdr:col>5</xdr:col>
      <xdr:colOff>304800</xdr:colOff>
      <xdr:row>7</xdr:row>
      <xdr:rowOff>161925</xdr:rowOff>
    </xdr:to>
    <xdr:sp macro="" textlink="">
      <xdr:nvSpPr>
        <xdr:cNvPr id="34" name="Rectangle 33">
          <a:extLst>
            <a:ext uri="{FF2B5EF4-FFF2-40B4-BE49-F238E27FC236}">
              <a16:creationId xmlns:a16="http://schemas.microsoft.com/office/drawing/2014/main" id="{D3BF4219-6F62-BDB1-7AD6-7BCE556600BF}"/>
            </a:ext>
          </a:extLst>
        </xdr:cNvPr>
        <xdr:cNvSpPr/>
      </xdr:nvSpPr>
      <xdr:spPr>
        <a:xfrm>
          <a:off x="2680335" y="695325"/>
          <a:ext cx="672465" cy="8001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bg1">
                  <a:lumMod val="85000"/>
                </a:schemeClr>
              </a:solidFill>
            </a:rPr>
            <a:t>AVG. SALES RATIO</a:t>
          </a:r>
        </a:p>
      </xdr:txBody>
    </xdr:sp>
    <xdr:clientData/>
  </xdr:twoCellAnchor>
  <xdr:twoCellAnchor>
    <xdr:from>
      <xdr:col>4</xdr:col>
      <xdr:colOff>314326</xdr:colOff>
      <xdr:row>7</xdr:row>
      <xdr:rowOff>123825</xdr:rowOff>
    </xdr:from>
    <xdr:to>
      <xdr:col>5</xdr:col>
      <xdr:colOff>447676</xdr:colOff>
      <xdr:row>9</xdr:row>
      <xdr:rowOff>123824</xdr:rowOff>
    </xdr:to>
    <xdr:sp macro="" textlink="">
      <xdr:nvSpPr>
        <xdr:cNvPr id="35" name="Rectangle 34">
          <a:extLst>
            <a:ext uri="{FF2B5EF4-FFF2-40B4-BE49-F238E27FC236}">
              <a16:creationId xmlns:a16="http://schemas.microsoft.com/office/drawing/2014/main" id="{FD6417DF-94E7-3C16-DED8-23B3F929DDA1}"/>
            </a:ext>
          </a:extLst>
        </xdr:cNvPr>
        <xdr:cNvSpPr/>
      </xdr:nvSpPr>
      <xdr:spPr>
        <a:xfrm>
          <a:off x="2752726" y="1457325"/>
          <a:ext cx="742950" cy="38099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solidFill>
                <a:srgbClr val="1D4328"/>
              </a:solidFill>
              <a:latin typeface="+mn-lt"/>
              <a:ea typeface="+mn-ea"/>
              <a:cs typeface="+mn-cs"/>
            </a:rPr>
            <a:t>3.67</a:t>
          </a:r>
        </a:p>
      </xdr:txBody>
    </xdr:sp>
    <xdr:clientData/>
  </xdr:twoCellAnchor>
  <xdr:twoCellAnchor>
    <xdr:from>
      <xdr:col>6</xdr:col>
      <xdr:colOff>9525</xdr:colOff>
      <xdr:row>7</xdr:row>
      <xdr:rowOff>104775</xdr:rowOff>
    </xdr:from>
    <xdr:to>
      <xdr:col>7</xdr:col>
      <xdr:colOff>200025</xdr:colOff>
      <xdr:row>9</xdr:row>
      <xdr:rowOff>171450</xdr:rowOff>
    </xdr:to>
    <xdr:sp macro="" textlink="">
      <xdr:nvSpPr>
        <xdr:cNvPr id="37" name="Rectangle 36">
          <a:extLst>
            <a:ext uri="{FF2B5EF4-FFF2-40B4-BE49-F238E27FC236}">
              <a16:creationId xmlns:a16="http://schemas.microsoft.com/office/drawing/2014/main" id="{3B088F99-48BB-69F5-7F80-35DE6035A112}"/>
            </a:ext>
          </a:extLst>
        </xdr:cNvPr>
        <xdr:cNvSpPr/>
      </xdr:nvSpPr>
      <xdr:spPr>
        <a:xfrm>
          <a:off x="3667125" y="1438275"/>
          <a:ext cx="800100" cy="4476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solidFill>
                <a:srgbClr val="1D4328"/>
              </a:solidFill>
            </a:rPr>
            <a:t>302</a:t>
          </a:r>
        </a:p>
      </xdr:txBody>
    </xdr:sp>
    <xdr:clientData/>
  </xdr:twoCellAnchor>
  <xdr:twoCellAnchor>
    <xdr:from>
      <xdr:col>7</xdr:col>
      <xdr:colOff>449580</xdr:colOff>
      <xdr:row>3</xdr:row>
      <xdr:rowOff>190499</xdr:rowOff>
    </xdr:from>
    <xdr:to>
      <xdr:col>9</xdr:col>
      <xdr:colOff>228600</xdr:colOff>
      <xdr:row>8</xdr:row>
      <xdr:rowOff>57150</xdr:rowOff>
    </xdr:to>
    <xdr:sp macro="" textlink="">
      <xdr:nvSpPr>
        <xdr:cNvPr id="38" name="Rectangle 37">
          <a:extLst>
            <a:ext uri="{FF2B5EF4-FFF2-40B4-BE49-F238E27FC236}">
              <a16:creationId xmlns:a16="http://schemas.microsoft.com/office/drawing/2014/main" id="{E1FE5823-F568-5FC0-5186-09FF12F4741E}"/>
            </a:ext>
          </a:extLst>
        </xdr:cNvPr>
        <xdr:cNvSpPr/>
      </xdr:nvSpPr>
      <xdr:spPr>
        <a:xfrm>
          <a:off x="4716780" y="761999"/>
          <a:ext cx="998220" cy="81915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lumMod val="85000"/>
                </a:schemeClr>
              </a:solidFill>
            </a:rPr>
            <a:t>TOWN WITH THE HIGHEST SOLD PROPERTY</a:t>
          </a:r>
        </a:p>
      </xdr:txBody>
    </xdr:sp>
    <xdr:clientData/>
  </xdr:twoCellAnchor>
  <xdr:twoCellAnchor>
    <xdr:from>
      <xdr:col>7</xdr:col>
      <xdr:colOff>394336</xdr:colOff>
      <xdr:row>7</xdr:row>
      <xdr:rowOff>85724</xdr:rowOff>
    </xdr:from>
    <xdr:to>
      <xdr:col>9</xdr:col>
      <xdr:colOff>40969</xdr:colOff>
      <xdr:row>10</xdr:row>
      <xdr:rowOff>76200</xdr:rowOff>
    </xdr:to>
    <xdr:sp macro="" textlink="">
      <xdr:nvSpPr>
        <xdr:cNvPr id="39" name="Rectangle 38">
          <a:extLst>
            <a:ext uri="{FF2B5EF4-FFF2-40B4-BE49-F238E27FC236}">
              <a16:creationId xmlns:a16="http://schemas.microsoft.com/office/drawing/2014/main" id="{A5829BA1-5A35-4497-BD8B-427F6F39EE74}"/>
            </a:ext>
          </a:extLst>
        </xdr:cNvPr>
        <xdr:cNvSpPr/>
      </xdr:nvSpPr>
      <xdr:spPr>
        <a:xfrm>
          <a:off x="4911030" y="1376208"/>
          <a:ext cx="937116" cy="5435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baseline="0">
              <a:solidFill>
                <a:srgbClr val="1D4328"/>
              </a:solidFill>
            </a:rPr>
            <a:t>ROCKEY</a:t>
          </a:r>
          <a:r>
            <a:rPr lang="en-US" sz="1400" b="1" baseline="0">
              <a:solidFill>
                <a:srgbClr val="92D050"/>
              </a:solidFill>
            </a:rPr>
            <a:t> </a:t>
          </a:r>
          <a:r>
            <a:rPr lang="en-US" sz="1400" b="1" baseline="0">
              <a:solidFill>
                <a:srgbClr val="1D4328"/>
              </a:solidFill>
            </a:rPr>
            <a:t>HILL</a:t>
          </a:r>
        </a:p>
        <a:p>
          <a:pPr algn="l"/>
          <a:endParaRPr lang="en-US" sz="1400" b="1">
            <a:solidFill>
              <a:srgbClr val="92D050"/>
            </a:solidFill>
          </a:endParaRPr>
        </a:p>
      </xdr:txBody>
    </xdr:sp>
    <xdr:clientData/>
  </xdr:twoCellAnchor>
  <xdr:twoCellAnchor>
    <xdr:from>
      <xdr:col>9</xdr:col>
      <xdr:colOff>286241</xdr:colOff>
      <xdr:row>4</xdr:row>
      <xdr:rowOff>133351</xdr:rowOff>
    </xdr:from>
    <xdr:to>
      <xdr:col>10</xdr:col>
      <xdr:colOff>624759</xdr:colOff>
      <xdr:row>9</xdr:row>
      <xdr:rowOff>0</xdr:rowOff>
    </xdr:to>
    <xdr:sp macro="" textlink="">
      <xdr:nvSpPr>
        <xdr:cNvPr id="40" name="Rectangle 39">
          <a:extLst>
            <a:ext uri="{FF2B5EF4-FFF2-40B4-BE49-F238E27FC236}">
              <a16:creationId xmlns:a16="http://schemas.microsoft.com/office/drawing/2014/main" id="{75FA802C-701A-05D6-566C-C3928D5A222A}"/>
            </a:ext>
          </a:extLst>
        </xdr:cNvPr>
        <xdr:cNvSpPr/>
      </xdr:nvSpPr>
      <xdr:spPr>
        <a:xfrm>
          <a:off x="6093418" y="870770"/>
          <a:ext cx="983760" cy="78842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2"/>
              </a:solidFill>
            </a:rPr>
            <a:t>MOST EXPENSIVE PROPERTY</a:t>
          </a:r>
          <a:r>
            <a:rPr lang="en-US" sz="1100" b="1" baseline="0">
              <a:solidFill>
                <a:schemeClr val="bg2"/>
              </a:solidFill>
            </a:rPr>
            <a:t> TYPE</a:t>
          </a:r>
          <a:endParaRPr lang="en-US" sz="1100" b="1">
            <a:solidFill>
              <a:schemeClr val="bg2"/>
            </a:solidFill>
          </a:endParaRPr>
        </a:p>
      </xdr:txBody>
    </xdr:sp>
    <xdr:clientData/>
  </xdr:twoCellAnchor>
  <xdr:twoCellAnchor>
    <xdr:from>
      <xdr:col>9</xdr:col>
      <xdr:colOff>289336</xdr:colOff>
      <xdr:row>8</xdr:row>
      <xdr:rowOff>70465</xdr:rowOff>
    </xdr:from>
    <xdr:to>
      <xdr:col>10</xdr:col>
      <xdr:colOff>419920</xdr:colOff>
      <xdr:row>9</xdr:row>
      <xdr:rowOff>153630</xdr:rowOff>
    </xdr:to>
    <xdr:sp macro="" textlink="">
      <xdr:nvSpPr>
        <xdr:cNvPr id="41" name="Rectangle 40">
          <a:extLst>
            <a:ext uri="{FF2B5EF4-FFF2-40B4-BE49-F238E27FC236}">
              <a16:creationId xmlns:a16="http://schemas.microsoft.com/office/drawing/2014/main" id="{161B6DF6-C2CE-9AB3-3151-D1D76A6152AD}"/>
            </a:ext>
          </a:extLst>
        </xdr:cNvPr>
        <xdr:cNvSpPr/>
      </xdr:nvSpPr>
      <xdr:spPr>
        <a:xfrm>
          <a:off x="6096513" y="1545304"/>
          <a:ext cx="775826" cy="2675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rgbClr val="1D4328"/>
              </a:solidFill>
            </a:rPr>
            <a:t>CONDO</a:t>
          </a:r>
        </a:p>
      </xdr:txBody>
    </xdr:sp>
    <xdr:clientData/>
  </xdr:twoCellAnchor>
  <xdr:twoCellAnchor>
    <xdr:from>
      <xdr:col>5</xdr:col>
      <xdr:colOff>579121</xdr:colOff>
      <xdr:row>3</xdr:row>
      <xdr:rowOff>123826</xdr:rowOff>
    </xdr:from>
    <xdr:to>
      <xdr:col>7</xdr:col>
      <xdr:colOff>225322</xdr:colOff>
      <xdr:row>8</xdr:row>
      <xdr:rowOff>0</xdr:rowOff>
    </xdr:to>
    <xdr:sp macro="" textlink="">
      <xdr:nvSpPr>
        <xdr:cNvPr id="15362" name="Rectangle 15361">
          <a:extLst>
            <a:ext uri="{FF2B5EF4-FFF2-40B4-BE49-F238E27FC236}">
              <a16:creationId xmlns:a16="http://schemas.microsoft.com/office/drawing/2014/main" id="{EA2ADAE5-A1D8-4600-81AC-6B50840A121D}"/>
            </a:ext>
          </a:extLst>
        </xdr:cNvPr>
        <xdr:cNvSpPr/>
      </xdr:nvSpPr>
      <xdr:spPr>
        <a:xfrm>
          <a:off x="3805331" y="676891"/>
          <a:ext cx="936685" cy="79794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bg1">
                  <a:lumMod val="85000"/>
                </a:schemeClr>
              </a:solidFill>
            </a:rPr>
            <a:t>TOTAL NO. OF PROPRTY SOLD</a:t>
          </a:r>
        </a:p>
        <a:p>
          <a:pPr algn="l"/>
          <a:endParaRPr lang="en-US" sz="1100"/>
        </a:p>
      </xdr:txBody>
    </xdr:sp>
    <xdr:clientData/>
  </xdr:twoCellAnchor>
  <xdr:twoCellAnchor editAs="oneCell">
    <xdr:from>
      <xdr:col>7</xdr:col>
      <xdr:colOff>133351</xdr:colOff>
      <xdr:row>3</xdr:row>
      <xdr:rowOff>15163</xdr:rowOff>
    </xdr:from>
    <xdr:to>
      <xdr:col>7</xdr:col>
      <xdr:colOff>600074</xdr:colOff>
      <xdr:row>4</xdr:row>
      <xdr:rowOff>166259</xdr:rowOff>
    </xdr:to>
    <xdr:pic>
      <xdr:nvPicPr>
        <xdr:cNvPr id="15363" name="Picture 15362">
          <a:extLst>
            <a:ext uri="{FF2B5EF4-FFF2-40B4-BE49-F238E27FC236}">
              <a16:creationId xmlns:a16="http://schemas.microsoft.com/office/drawing/2014/main" id="{2EA8DF95-63A7-31B0-5F26-7546608F0E60}"/>
            </a:ext>
          </a:extLst>
        </xdr:cNvPr>
        <xdr:cNvPicPr>
          <a:picLocks noChangeAspect="1"/>
        </xdr:cNvPicPr>
      </xdr:nvPicPr>
      <xdr:blipFill>
        <a:blip xmlns:r="http://schemas.openxmlformats.org/officeDocument/2006/relationships" r:embed="rId1"/>
        <a:stretch>
          <a:fillRect/>
        </a:stretch>
      </xdr:blipFill>
      <xdr:spPr>
        <a:xfrm>
          <a:off x="4400551" y="586663"/>
          <a:ext cx="466723" cy="341596"/>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editAs="oneCell">
    <xdr:from>
      <xdr:col>8</xdr:col>
      <xdr:colOff>523876</xdr:colOff>
      <xdr:row>2</xdr:row>
      <xdr:rowOff>101345</xdr:rowOff>
    </xdr:from>
    <xdr:to>
      <xdr:col>9</xdr:col>
      <xdr:colOff>276225</xdr:colOff>
      <xdr:row>4</xdr:row>
      <xdr:rowOff>82294</xdr:rowOff>
    </xdr:to>
    <xdr:pic>
      <xdr:nvPicPr>
        <xdr:cNvPr id="15366" name="Picture 15365">
          <a:extLst>
            <a:ext uri="{FF2B5EF4-FFF2-40B4-BE49-F238E27FC236}">
              <a16:creationId xmlns:a16="http://schemas.microsoft.com/office/drawing/2014/main" id="{0B2FB499-B9FD-A5D4-F43B-3B228CF900DC}"/>
            </a:ext>
          </a:extLst>
        </xdr:cNvPr>
        <xdr:cNvPicPr>
          <a:picLocks noChangeAspect="1"/>
        </xdr:cNvPicPr>
      </xdr:nvPicPr>
      <xdr:blipFill>
        <a:blip xmlns:r="http://schemas.openxmlformats.org/officeDocument/2006/relationships" r:embed="rId2"/>
        <a:stretch>
          <a:fillRect/>
        </a:stretch>
      </xdr:blipFill>
      <xdr:spPr>
        <a:xfrm>
          <a:off x="5400676" y="482345"/>
          <a:ext cx="361949" cy="361949"/>
        </a:xfrm>
        <a:prstGeom prst="rect">
          <a:avLst/>
        </a:prstGeom>
      </xdr:spPr>
    </xdr:pic>
    <xdr:clientData/>
  </xdr:twoCellAnchor>
  <xdr:twoCellAnchor editAs="oneCell">
    <xdr:from>
      <xdr:col>10</xdr:col>
      <xdr:colOff>238127</xdr:colOff>
      <xdr:row>3</xdr:row>
      <xdr:rowOff>15621</xdr:rowOff>
    </xdr:from>
    <xdr:to>
      <xdr:col>11</xdr:col>
      <xdr:colOff>28575</xdr:colOff>
      <xdr:row>5</xdr:row>
      <xdr:rowOff>34669</xdr:rowOff>
    </xdr:to>
    <xdr:pic>
      <xdr:nvPicPr>
        <xdr:cNvPr id="15367" name="Picture 15366">
          <a:extLst>
            <a:ext uri="{FF2B5EF4-FFF2-40B4-BE49-F238E27FC236}">
              <a16:creationId xmlns:a16="http://schemas.microsoft.com/office/drawing/2014/main" id="{8A085B3D-475C-56C2-445C-3B00EB24F32E}"/>
            </a:ext>
          </a:extLst>
        </xdr:cNvPr>
        <xdr:cNvPicPr>
          <a:picLocks noChangeAspect="1"/>
        </xdr:cNvPicPr>
      </xdr:nvPicPr>
      <xdr:blipFill>
        <a:blip xmlns:r="http://schemas.openxmlformats.org/officeDocument/2006/relationships" r:embed="rId3"/>
        <a:stretch>
          <a:fillRect/>
        </a:stretch>
      </xdr:blipFill>
      <xdr:spPr>
        <a:xfrm>
          <a:off x="6334127" y="587121"/>
          <a:ext cx="400048" cy="400048"/>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11</xdr:col>
      <xdr:colOff>47625</xdr:colOff>
      <xdr:row>3</xdr:row>
      <xdr:rowOff>133350</xdr:rowOff>
    </xdr:from>
    <xdr:to>
      <xdr:col>12</xdr:col>
      <xdr:colOff>514350</xdr:colOff>
      <xdr:row>7</xdr:row>
      <xdr:rowOff>76200</xdr:rowOff>
    </xdr:to>
    <xdr:sp macro="" textlink="">
      <xdr:nvSpPr>
        <xdr:cNvPr id="15368" name="Rectangle 15367">
          <a:extLst>
            <a:ext uri="{FF2B5EF4-FFF2-40B4-BE49-F238E27FC236}">
              <a16:creationId xmlns:a16="http://schemas.microsoft.com/office/drawing/2014/main" id="{52D20953-191F-55BE-F35C-E3CF7549DF03}"/>
            </a:ext>
          </a:extLst>
        </xdr:cNvPr>
        <xdr:cNvSpPr/>
      </xdr:nvSpPr>
      <xdr:spPr>
        <a:xfrm>
          <a:off x="6753225" y="704850"/>
          <a:ext cx="1076325" cy="704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AVG ASSESSED</a:t>
          </a:r>
          <a:r>
            <a:rPr lang="en-US" sz="1200" b="1" baseline="0"/>
            <a:t> VALUE</a:t>
          </a:r>
          <a:endParaRPr lang="en-US" sz="1200" b="1"/>
        </a:p>
      </xdr:txBody>
    </xdr:sp>
    <xdr:clientData/>
  </xdr:twoCellAnchor>
  <xdr:twoCellAnchor>
    <xdr:from>
      <xdr:col>11</xdr:col>
      <xdr:colOff>57150</xdr:colOff>
      <xdr:row>7</xdr:row>
      <xdr:rowOff>104775</xdr:rowOff>
    </xdr:from>
    <xdr:to>
      <xdr:col>12</xdr:col>
      <xdr:colOff>581025</xdr:colOff>
      <xdr:row>9</xdr:row>
      <xdr:rowOff>161925</xdr:rowOff>
    </xdr:to>
    <xdr:sp macro="" textlink="">
      <xdr:nvSpPr>
        <xdr:cNvPr id="15369" name="Rectangle 15368">
          <a:extLst>
            <a:ext uri="{FF2B5EF4-FFF2-40B4-BE49-F238E27FC236}">
              <a16:creationId xmlns:a16="http://schemas.microsoft.com/office/drawing/2014/main" id="{F0EC0734-8752-98A8-44CF-446D99C93873}"/>
            </a:ext>
          </a:extLst>
        </xdr:cNvPr>
        <xdr:cNvSpPr/>
      </xdr:nvSpPr>
      <xdr:spPr>
        <a:xfrm>
          <a:off x="6762750" y="1438275"/>
          <a:ext cx="1133475" cy="4381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rgbClr val="1D4328"/>
              </a:solidFill>
              <a:latin typeface="+mn-lt"/>
              <a:ea typeface="+mn-ea"/>
              <a:cs typeface="+mn-cs"/>
            </a:rPr>
            <a:t>238484</a:t>
          </a:r>
        </a:p>
      </xdr:txBody>
    </xdr:sp>
    <xdr:clientData/>
  </xdr:twoCellAnchor>
  <xdr:twoCellAnchor editAs="oneCell">
    <xdr:from>
      <xdr:col>12</xdr:col>
      <xdr:colOff>123828</xdr:colOff>
      <xdr:row>2</xdr:row>
      <xdr:rowOff>187074</xdr:rowOff>
    </xdr:from>
    <xdr:to>
      <xdr:col>12</xdr:col>
      <xdr:colOff>533400</xdr:colOff>
      <xdr:row>5</xdr:row>
      <xdr:rowOff>25146</xdr:rowOff>
    </xdr:to>
    <xdr:pic>
      <xdr:nvPicPr>
        <xdr:cNvPr id="15372" name="Picture 15371">
          <a:extLst>
            <a:ext uri="{FF2B5EF4-FFF2-40B4-BE49-F238E27FC236}">
              <a16:creationId xmlns:a16="http://schemas.microsoft.com/office/drawing/2014/main" id="{99C35E49-1604-8FA1-CEFF-176DAC946983}"/>
            </a:ext>
          </a:extLst>
        </xdr:cNvPr>
        <xdr:cNvPicPr>
          <a:picLocks noChangeAspect="1"/>
        </xdr:cNvPicPr>
      </xdr:nvPicPr>
      <xdr:blipFill>
        <a:blip xmlns:r="http://schemas.openxmlformats.org/officeDocument/2006/relationships" r:embed="rId4"/>
        <a:stretch>
          <a:fillRect/>
        </a:stretch>
      </xdr:blipFill>
      <xdr:spPr>
        <a:xfrm>
          <a:off x="7439028" y="568074"/>
          <a:ext cx="409572" cy="409572"/>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2</xdr:col>
      <xdr:colOff>553065</xdr:colOff>
      <xdr:row>11</xdr:row>
      <xdr:rowOff>76917</xdr:rowOff>
    </xdr:from>
    <xdr:to>
      <xdr:col>9</xdr:col>
      <xdr:colOff>286775</xdr:colOff>
      <xdr:row>22</xdr:row>
      <xdr:rowOff>57867</xdr:rowOff>
    </xdr:to>
    <xdr:graphicFrame macro="">
      <xdr:nvGraphicFramePr>
        <xdr:cNvPr id="15374" name="Chart 15373">
          <a:extLst>
            <a:ext uri="{FF2B5EF4-FFF2-40B4-BE49-F238E27FC236}">
              <a16:creationId xmlns:a16="http://schemas.microsoft.com/office/drawing/2014/main" id="{F2A292AF-D446-4D48-AA22-CB56607D89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409679</xdr:colOff>
      <xdr:row>11</xdr:row>
      <xdr:rowOff>126693</xdr:rowOff>
    </xdr:from>
    <xdr:to>
      <xdr:col>15</xdr:col>
      <xdr:colOff>501855</xdr:colOff>
      <xdr:row>21</xdr:row>
      <xdr:rowOff>183842</xdr:rowOff>
    </xdr:to>
    <xdr:graphicFrame macro="">
      <xdr:nvGraphicFramePr>
        <xdr:cNvPr id="44" name="Chart 43">
          <a:extLst>
            <a:ext uri="{FF2B5EF4-FFF2-40B4-BE49-F238E27FC236}">
              <a16:creationId xmlns:a16="http://schemas.microsoft.com/office/drawing/2014/main" id="{A828F87A-0CCA-4E54-A3EA-903A26043C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xdr:row>
      <xdr:rowOff>161924</xdr:rowOff>
    </xdr:from>
    <xdr:to>
      <xdr:col>2</xdr:col>
      <xdr:colOff>495300</xdr:colOff>
      <xdr:row>32</xdr:row>
      <xdr:rowOff>133349</xdr:rowOff>
    </xdr:to>
    <xdr:sp macro="" textlink="">
      <xdr:nvSpPr>
        <xdr:cNvPr id="48" name="Rectangle: Rounded Corners 47">
          <a:extLst>
            <a:ext uri="{FF2B5EF4-FFF2-40B4-BE49-F238E27FC236}">
              <a16:creationId xmlns:a16="http://schemas.microsoft.com/office/drawing/2014/main" id="{463C1CE4-DFCE-6ED3-2070-B8929240AB5E}"/>
            </a:ext>
          </a:extLst>
        </xdr:cNvPr>
        <xdr:cNvSpPr/>
      </xdr:nvSpPr>
      <xdr:spPr>
        <a:xfrm>
          <a:off x="0" y="352424"/>
          <a:ext cx="1714500" cy="5876925"/>
        </a:xfrm>
        <a:prstGeom prst="roundRect">
          <a:avLst>
            <a:gd name="adj" fmla="val 2351"/>
          </a:avLst>
        </a:prstGeom>
        <a:solidFill>
          <a:srgbClr val="2E2F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5</xdr:col>
      <xdr:colOff>171452</xdr:colOff>
      <xdr:row>2</xdr:row>
      <xdr:rowOff>153670</xdr:rowOff>
    </xdr:from>
    <xdr:to>
      <xdr:col>5</xdr:col>
      <xdr:colOff>504825</xdr:colOff>
      <xdr:row>4</xdr:row>
      <xdr:rowOff>129045</xdr:rowOff>
    </xdr:to>
    <xdr:pic>
      <xdr:nvPicPr>
        <xdr:cNvPr id="15365" name="Picture 15364">
          <a:extLst>
            <a:ext uri="{FF2B5EF4-FFF2-40B4-BE49-F238E27FC236}">
              <a16:creationId xmlns:a16="http://schemas.microsoft.com/office/drawing/2014/main" id="{C7021B9D-9F4F-9D7E-C3B6-C3D159D5EE34}"/>
            </a:ext>
          </a:extLst>
        </xdr:cNvPr>
        <xdr:cNvPicPr>
          <a:picLocks noChangeAspect="1"/>
        </xdr:cNvPicPr>
      </xdr:nvPicPr>
      <xdr:blipFill>
        <a:blip xmlns:r="http://schemas.openxmlformats.org/officeDocument/2006/relationships" r:embed="rId7"/>
        <a:stretch>
          <a:fillRect/>
        </a:stretch>
      </xdr:blipFill>
      <xdr:spPr>
        <a:xfrm>
          <a:off x="3219452" y="534670"/>
          <a:ext cx="333373" cy="356375"/>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2</xdr:col>
      <xdr:colOff>561974</xdr:colOff>
      <xdr:row>22</xdr:row>
      <xdr:rowOff>180976</xdr:rowOff>
    </xdr:from>
    <xdr:to>
      <xdr:col>9</xdr:col>
      <xdr:colOff>276532</xdr:colOff>
      <xdr:row>33</xdr:row>
      <xdr:rowOff>37534</xdr:rowOff>
    </xdr:to>
    <xdr:graphicFrame macro="">
      <xdr:nvGraphicFramePr>
        <xdr:cNvPr id="16" name="Chart 15">
          <a:extLst>
            <a:ext uri="{FF2B5EF4-FFF2-40B4-BE49-F238E27FC236}">
              <a16:creationId xmlns:a16="http://schemas.microsoft.com/office/drawing/2014/main" id="{DF468AE9-2F1D-440E-A46E-B4E7DA7F60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430163</xdr:colOff>
      <xdr:row>22</xdr:row>
      <xdr:rowOff>149327</xdr:rowOff>
    </xdr:from>
    <xdr:to>
      <xdr:col>15</xdr:col>
      <xdr:colOff>573549</xdr:colOff>
      <xdr:row>32</xdr:row>
      <xdr:rowOff>168377</xdr:rowOff>
    </xdr:to>
    <xdr:graphicFrame macro="">
      <xdr:nvGraphicFramePr>
        <xdr:cNvPr id="25" name="Chart 24">
          <a:extLst>
            <a:ext uri="{FF2B5EF4-FFF2-40B4-BE49-F238E27FC236}">
              <a16:creationId xmlns:a16="http://schemas.microsoft.com/office/drawing/2014/main" id="{E90C59D8-BCBB-4905-A5BB-9C3E1CE480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561975</xdr:colOff>
      <xdr:row>3</xdr:row>
      <xdr:rowOff>104774</xdr:rowOff>
    </xdr:from>
    <xdr:to>
      <xdr:col>4</xdr:col>
      <xdr:colOff>180975</xdr:colOff>
      <xdr:row>10</xdr:row>
      <xdr:rowOff>94867</xdr:rowOff>
    </xdr:to>
    <xdr:sp macro="" textlink="">
      <xdr:nvSpPr>
        <xdr:cNvPr id="6" name="Rectangle: Rounded Corners 5">
          <a:extLst>
            <a:ext uri="{FF2B5EF4-FFF2-40B4-BE49-F238E27FC236}">
              <a16:creationId xmlns:a16="http://schemas.microsoft.com/office/drawing/2014/main" id="{CAA8BA49-4619-6250-678D-2B1194827894}"/>
            </a:ext>
          </a:extLst>
        </xdr:cNvPr>
        <xdr:cNvSpPr/>
      </xdr:nvSpPr>
      <xdr:spPr>
        <a:xfrm>
          <a:off x="1781175" y="676274"/>
          <a:ext cx="838200" cy="1323593"/>
        </a:xfrm>
        <a:prstGeom prst="roundRect">
          <a:avLst>
            <a:gd name="adj" fmla="val 18047"/>
          </a:avLst>
        </a:prstGeom>
        <a:solidFill>
          <a:schemeClr val="bg1">
            <a:lumMod val="50000"/>
          </a:schemeClr>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533399</xdr:colOff>
      <xdr:row>4</xdr:row>
      <xdr:rowOff>19051</xdr:rowOff>
    </xdr:from>
    <xdr:to>
      <xdr:col>4</xdr:col>
      <xdr:colOff>171450</xdr:colOff>
      <xdr:row>7</xdr:row>
      <xdr:rowOff>142875</xdr:rowOff>
    </xdr:to>
    <xdr:sp macro="" textlink="">
      <xdr:nvSpPr>
        <xdr:cNvPr id="24" name="Rectangle 23">
          <a:extLst>
            <a:ext uri="{FF2B5EF4-FFF2-40B4-BE49-F238E27FC236}">
              <a16:creationId xmlns:a16="http://schemas.microsoft.com/office/drawing/2014/main" id="{8BEF9115-7D88-1B0F-95A5-1CCFFFEBB9BE}"/>
            </a:ext>
          </a:extLst>
        </xdr:cNvPr>
        <xdr:cNvSpPr/>
      </xdr:nvSpPr>
      <xdr:spPr>
        <a:xfrm>
          <a:off x="1752599" y="781051"/>
          <a:ext cx="857251" cy="69532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bg1">
                  <a:lumMod val="85000"/>
                </a:schemeClr>
              </a:solidFill>
            </a:rPr>
            <a:t>TOTAL SALES</a:t>
          </a:r>
        </a:p>
      </xdr:txBody>
    </xdr:sp>
    <xdr:clientData/>
  </xdr:twoCellAnchor>
  <xdr:twoCellAnchor>
    <xdr:from>
      <xdr:col>2</xdr:col>
      <xdr:colOff>533400</xdr:colOff>
      <xdr:row>6</xdr:row>
      <xdr:rowOff>142875</xdr:rowOff>
    </xdr:from>
    <xdr:to>
      <xdr:col>4</xdr:col>
      <xdr:colOff>180975</xdr:colOff>
      <xdr:row>10</xdr:row>
      <xdr:rowOff>66674</xdr:rowOff>
    </xdr:to>
    <xdr:sp macro="" textlink="">
      <xdr:nvSpPr>
        <xdr:cNvPr id="27" name="Rectangle 26">
          <a:extLst>
            <a:ext uri="{FF2B5EF4-FFF2-40B4-BE49-F238E27FC236}">
              <a16:creationId xmlns:a16="http://schemas.microsoft.com/office/drawing/2014/main" id="{21C7D9E7-02E3-EF52-03E8-962316BCA6EE}"/>
            </a:ext>
          </a:extLst>
        </xdr:cNvPr>
        <xdr:cNvSpPr/>
      </xdr:nvSpPr>
      <xdr:spPr>
        <a:xfrm>
          <a:off x="1752600" y="1285875"/>
          <a:ext cx="866775" cy="68579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0" i="0" u="none" strike="noStrike">
              <a:solidFill>
                <a:schemeClr val="lt1"/>
              </a:solidFill>
              <a:effectLst/>
              <a:latin typeface="+mn-lt"/>
              <a:ea typeface="+mn-ea"/>
              <a:cs typeface="+mn-cs"/>
            </a:rPr>
            <a:t> </a:t>
          </a:r>
          <a:r>
            <a:rPr lang="en-US" sz="1600"/>
            <a:t> </a:t>
          </a:r>
          <a:r>
            <a:rPr lang="en-US" sz="2000" b="1" i="0" u="none" strike="noStrike">
              <a:solidFill>
                <a:srgbClr val="1D4328"/>
              </a:solidFill>
              <a:effectLst/>
              <a:latin typeface="+mn-lt"/>
              <a:ea typeface="+mn-ea"/>
              <a:cs typeface="+mn-cs"/>
            </a:rPr>
            <a:t>$140M</a:t>
          </a:r>
          <a:r>
            <a:rPr lang="en-US" sz="2000" b="1">
              <a:solidFill>
                <a:srgbClr val="92D050"/>
              </a:solidFill>
            </a:rPr>
            <a:t> </a:t>
          </a:r>
        </a:p>
      </xdr:txBody>
    </xdr:sp>
    <xdr:clientData/>
  </xdr:twoCellAnchor>
  <xdr:twoCellAnchor editAs="oneCell">
    <xdr:from>
      <xdr:col>3</xdr:col>
      <xdr:colOff>419101</xdr:colOff>
      <xdr:row>2</xdr:row>
      <xdr:rowOff>170840</xdr:rowOff>
    </xdr:from>
    <xdr:to>
      <xdr:col>4</xdr:col>
      <xdr:colOff>200025</xdr:colOff>
      <xdr:row>4</xdr:row>
      <xdr:rowOff>180364</xdr:rowOff>
    </xdr:to>
    <xdr:pic>
      <xdr:nvPicPr>
        <xdr:cNvPr id="49" name="Picture 48">
          <a:extLst>
            <a:ext uri="{FF2B5EF4-FFF2-40B4-BE49-F238E27FC236}">
              <a16:creationId xmlns:a16="http://schemas.microsoft.com/office/drawing/2014/main" id="{C32170C1-AEB3-4101-39D7-6C99B396675C}"/>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2247901" y="551840"/>
          <a:ext cx="390524" cy="390524"/>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16</xdr:col>
      <xdr:colOff>133146</xdr:colOff>
      <xdr:row>0</xdr:row>
      <xdr:rowOff>122903</xdr:rowOff>
    </xdr:from>
    <xdr:to>
      <xdr:col>21</xdr:col>
      <xdr:colOff>440404</xdr:colOff>
      <xdr:row>10</xdr:row>
      <xdr:rowOff>117680</xdr:rowOff>
    </xdr:to>
    <xdr:graphicFrame macro="">
      <xdr:nvGraphicFramePr>
        <xdr:cNvPr id="29" name="Chart 28">
          <a:extLst>
            <a:ext uri="{FF2B5EF4-FFF2-40B4-BE49-F238E27FC236}">
              <a16:creationId xmlns:a16="http://schemas.microsoft.com/office/drawing/2014/main" id="{09E1996B-E5CE-4E3B-B1DD-2C188146F3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95250</xdr:colOff>
      <xdr:row>2</xdr:row>
      <xdr:rowOff>114300</xdr:rowOff>
    </xdr:from>
    <xdr:to>
      <xdr:col>17</xdr:col>
      <xdr:colOff>419100</xdr:colOff>
      <xdr:row>3</xdr:row>
      <xdr:rowOff>171450</xdr:rowOff>
    </xdr:to>
    <xdr:sp macro="" textlink="">
      <xdr:nvSpPr>
        <xdr:cNvPr id="36" name="Rectangle 35">
          <a:extLst>
            <a:ext uri="{FF2B5EF4-FFF2-40B4-BE49-F238E27FC236}">
              <a16:creationId xmlns:a16="http://schemas.microsoft.com/office/drawing/2014/main" id="{9E500712-4FB5-0832-9612-25B985304ADE}"/>
            </a:ext>
          </a:extLst>
        </xdr:cNvPr>
        <xdr:cNvSpPr/>
      </xdr:nvSpPr>
      <xdr:spPr>
        <a:xfrm>
          <a:off x="8020050" y="495300"/>
          <a:ext cx="2762250" cy="2476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xdr:colOff>
      <xdr:row>6</xdr:row>
      <xdr:rowOff>38101</xdr:rowOff>
    </xdr:from>
    <xdr:to>
      <xdr:col>2</xdr:col>
      <xdr:colOff>504825</xdr:colOff>
      <xdr:row>13</xdr:row>
      <xdr:rowOff>152400</xdr:rowOff>
    </xdr:to>
    <mc:AlternateContent xmlns:mc="http://schemas.openxmlformats.org/markup-compatibility/2006" xmlns:a14="http://schemas.microsoft.com/office/drawing/2010/main">
      <mc:Choice Requires="a14">
        <xdr:graphicFrame macro="">
          <xdr:nvGraphicFramePr>
            <xdr:cNvPr id="51" name="Year">
              <a:extLst>
                <a:ext uri="{FF2B5EF4-FFF2-40B4-BE49-F238E27FC236}">
                  <a16:creationId xmlns:a16="http://schemas.microsoft.com/office/drawing/2014/main" id="{2595FF91-6A45-ECEB-C149-51D57D65816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 y="1205682"/>
              <a:ext cx="1733856" cy="14764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57150</xdr:rowOff>
    </xdr:from>
    <xdr:to>
      <xdr:col>2</xdr:col>
      <xdr:colOff>361950</xdr:colOff>
      <xdr:row>32</xdr:row>
      <xdr:rowOff>66675</xdr:rowOff>
    </xdr:to>
    <mc:AlternateContent xmlns:mc="http://schemas.openxmlformats.org/markup-compatibility/2006" xmlns:a14="http://schemas.microsoft.com/office/drawing/2010/main">
      <mc:Choice Requires="a14">
        <xdr:graphicFrame macro="">
          <xdr:nvGraphicFramePr>
            <xdr:cNvPr id="54" name="Town">
              <a:extLst>
                <a:ext uri="{FF2B5EF4-FFF2-40B4-BE49-F238E27FC236}">
                  <a16:creationId xmlns:a16="http://schemas.microsoft.com/office/drawing/2014/main" id="{45530D81-2F57-277F-679C-71420FF8FFB2}"/>
                </a:ext>
              </a:extLst>
            </xdr:cNvPr>
            <xdr:cNvGraphicFramePr/>
          </xdr:nvGraphicFramePr>
          <xdr:xfrm>
            <a:off x="0" y="0"/>
            <a:ext cx="0" cy="0"/>
          </xdr:xfrm>
          <a:graphic>
            <a:graphicData uri="http://schemas.microsoft.com/office/drawing/2010/slicer">
              <sle:slicer xmlns:sle="http://schemas.microsoft.com/office/drawing/2010/slicer" name="Town"/>
            </a:graphicData>
          </a:graphic>
        </xdr:graphicFrame>
      </mc:Choice>
      <mc:Fallback xmlns="">
        <xdr:sp macro="" textlink="">
          <xdr:nvSpPr>
            <xdr:cNvPr id="0" name=""/>
            <xdr:cNvSpPr>
              <a:spLocks noTextEdit="1"/>
            </xdr:cNvSpPr>
          </xdr:nvSpPr>
          <xdr:spPr>
            <a:xfrm>
              <a:off x="0" y="4338279"/>
              <a:ext cx="1590982" cy="19554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9525</xdr:rowOff>
    </xdr:from>
    <xdr:to>
      <xdr:col>2</xdr:col>
      <xdr:colOff>438150</xdr:colOff>
      <xdr:row>22</xdr:row>
      <xdr:rowOff>9524</xdr:rowOff>
    </xdr:to>
    <mc:AlternateContent xmlns:mc="http://schemas.openxmlformats.org/markup-compatibility/2006" xmlns:a14="http://schemas.microsoft.com/office/drawing/2010/main">
      <mc:Choice Requires="a14">
        <xdr:graphicFrame macro="">
          <xdr:nvGraphicFramePr>
            <xdr:cNvPr id="55" name="Month Name 1">
              <a:extLst>
                <a:ext uri="{FF2B5EF4-FFF2-40B4-BE49-F238E27FC236}">
                  <a16:creationId xmlns:a16="http://schemas.microsoft.com/office/drawing/2014/main" id="{6317438E-7D80-0DD6-C0BF-153B0DC6967A}"/>
                </a:ext>
              </a:extLst>
            </xdr:cNvPr>
            <xdr:cNvGraphicFramePr/>
          </xdr:nvGraphicFramePr>
          <xdr:xfrm>
            <a:off x="0" y="0"/>
            <a:ext cx="0" cy="0"/>
          </xdr:xfrm>
          <a:graphic>
            <a:graphicData uri="http://schemas.microsoft.com/office/drawing/2010/slicer">
              <sle:slicer xmlns:sle="http://schemas.microsoft.com/office/drawing/2010/slicer" name="Month Name 1"/>
            </a:graphicData>
          </a:graphic>
        </xdr:graphicFrame>
      </mc:Choice>
      <mc:Fallback xmlns="">
        <xdr:sp macro="" textlink="">
          <xdr:nvSpPr>
            <xdr:cNvPr id="0" name=""/>
            <xdr:cNvSpPr>
              <a:spLocks noTextEdit="1"/>
            </xdr:cNvSpPr>
          </xdr:nvSpPr>
          <xdr:spPr>
            <a:xfrm>
              <a:off x="0" y="2733880"/>
              <a:ext cx="1667182" cy="15567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38101</xdr:colOff>
      <xdr:row>0</xdr:row>
      <xdr:rowOff>161924</xdr:rowOff>
    </xdr:from>
    <xdr:to>
      <xdr:col>2</xdr:col>
      <xdr:colOff>495301</xdr:colOff>
      <xdr:row>5</xdr:row>
      <xdr:rowOff>180975</xdr:rowOff>
    </xdr:to>
    <mc:AlternateContent xmlns:mc="http://schemas.openxmlformats.org/markup-compatibility/2006" xmlns:a14="http://schemas.microsoft.com/office/drawing/2010/main">
      <mc:Choice Requires="a14">
        <xdr:graphicFrame macro="">
          <xdr:nvGraphicFramePr>
            <xdr:cNvPr id="56" name="Property Type">
              <a:extLst>
                <a:ext uri="{FF2B5EF4-FFF2-40B4-BE49-F238E27FC236}">
                  <a16:creationId xmlns:a16="http://schemas.microsoft.com/office/drawing/2014/main" id="{BD2AA98F-0CB5-1C2B-D3F9-FAEA3BB63B74}"/>
                </a:ext>
              </a:extLst>
            </xdr:cNvPr>
            <xdr:cNvGraphicFramePr/>
          </xdr:nvGraphicFramePr>
          <xdr:xfrm>
            <a:off x="0" y="0"/>
            <a:ext cx="0" cy="0"/>
          </xdr:xfrm>
          <a:graphic>
            <a:graphicData uri="http://schemas.microsoft.com/office/drawing/2010/slicer">
              <sle:slicer xmlns:sle="http://schemas.microsoft.com/office/drawing/2010/slicer" name="Property Type"/>
            </a:graphicData>
          </a:graphic>
        </xdr:graphicFrame>
      </mc:Choice>
      <mc:Fallback xmlns="">
        <xdr:sp macro="" textlink="">
          <xdr:nvSpPr>
            <xdr:cNvPr id="0" name=""/>
            <xdr:cNvSpPr>
              <a:spLocks noTextEdit="1"/>
            </xdr:cNvSpPr>
          </xdr:nvSpPr>
          <xdr:spPr>
            <a:xfrm>
              <a:off x="38101" y="161924"/>
              <a:ext cx="1686232" cy="9920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304800</xdr:colOff>
      <xdr:row>0</xdr:row>
      <xdr:rowOff>76200</xdr:rowOff>
    </xdr:from>
    <xdr:to>
      <xdr:col>14</xdr:col>
      <xdr:colOff>0</xdr:colOff>
      <xdr:row>3</xdr:row>
      <xdr:rowOff>143387</xdr:rowOff>
    </xdr:to>
    <xdr:sp macro="" textlink="">
      <xdr:nvSpPr>
        <xdr:cNvPr id="57" name="Rectangle 56">
          <a:extLst>
            <a:ext uri="{FF2B5EF4-FFF2-40B4-BE49-F238E27FC236}">
              <a16:creationId xmlns:a16="http://schemas.microsoft.com/office/drawing/2014/main" id="{473821CD-B234-86F0-20F9-651464DB4529}"/>
            </a:ext>
          </a:extLst>
        </xdr:cNvPr>
        <xdr:cNvSpPr/>
      </xdr:nvSpPr>
      <xdr:spPr>
        <a:xfrm>
          <a:off x="2240526" y="76200"/>
          <a:ext cx="6792861" cy="62025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rgbClr val="1D4328"/>
              </a:solidFill>
            </a:rPr>
            <a:t>REAL ESTATE MARKET</a:t>
          </a:r>
          <a:r>
            <a:rPr lang="en-US" sz="1800" b="1" baseline="0">
              <a:solidFill>
                <a:srgbClr val="1D4328"/>
              </a:solidFill>
            </a:rPr>
            <a:t> PERFORMANCE &amp; INVESTMENT ANALYSIS</a:t>
          </a:r>
          <a:endParaRPr lang="en-US" sz="1800" b="1">
            <a:solidFill>
              <a:srgbClr val="1D4328"/>
            </a:solidFill>
          </a:endParaRPr>
        </a:p>
      </xdr:txBody>
    </xdr:sp>
    <xdr:clientData/>
  </xdr:twoCellAnchor>
  <xdr:twoCellAnchor>
    <xdr:from>
      <xdr:col>12</xdr:col>
      <xdr:colOff>481371</xdr:colOff>
      <xdr:row>0</xdr:row>
      <xdr:rowOff>122903</xdr:rowOff>
    </xdr:from>
    <xdr:to>
      <xdr:col>16</xdr:col>
      <xdr:colOff>337984</xdr:colOff>
      <xdr:row>11</xdr:row>
      <xdr:rowOff>30726</xdr:rowOff>
    </xdr:to>
    <xdr:graphicFrame macro="">
      <xdr:nvGraphicFramePr>
        <xdr:cNvPr id="5" name="Chart 4">
          <a:extLst>
            <a:ext uri="{FF2B5EF4-FFF2-40B4-BE49-F238E27FC236}">
              <a16:creationId xmlns:a16="http://schemas.microsoft.com/office/drawing/2014/main" id="{D3FC4A4D-D96F-41E0-8F3D-0AAD3965FC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22</xdr:col>
      <xdr:colOff>389194</xdr:colOff>
      <xdr:row>0</xdr:row>
      <xdr:rowOff>30726</xdr:rowOff>
    </xdr:from>
    <xdr:to>
      <xdr:col>29</xdr:col>
      <xdr:colOff>399437</xdr:colOff>
      <xdr:row>33</xdr:row>
      <xdr:rowOff>153630</xdr:rowOff>
    </xdr:to>
    <xdr:sp macro="" textlink="">
      <xdr:nvSpPr>
        <xdr:cNvPr id="23" name="TextBox 22">
          <a:extLst>
            <a:ext uri="{FF2B5EF4-FFF2-40B4-BE49-F238E27FC236}">
              <a16:creationId xmlns:a16="http://schemas.microsoft.com/office/drawing/2014/main" id="{3EB63BA3-DADD-123F-4C0D-83CDECF601B4}"/>
            </a:ext>
          </a:extLst>
        </xdr:cNvPr>
        <xdr:cNvSpPr txBox="1"/>
      </xdr:nvSpPr>
      <xdr:spPr>
        <a:xfrm>
          <a:off x="14584517" y="30726"/>
          <a:ext cx="4526936" cy="6206614"/>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b="1">
              <a:solidFill>
                <a:schemeClr val="dk1"/>
              </a:solidFill>
              <a:effectLst/>
              <a:latin typeface="+mn-lt"/>
              <a:ea typeface="+mn-ea"/>
              <a:cs typeface="+mn-cs"/>
            </a:rPr>
            <a:t>Finding and Recommendations</a:t>
          </a:r>
          <a:endParaRPr lang="en-US" sz="1400"/>
        </a:p>
        <a:p>
          <a:r>
            <a:rPr lang="en-US"/>
            <a:t>Total portfolio sales are about $140M across 302 properties, reflecting strong market activity and consistent demand across the portfolio.</a:t>
          </a:r>
          <a:br>
            <a:rPr lang="en-US"/>
          </a:br>
          <a:r>
            <a:rPr lang="en-US" sz="1200" b="1"/>
            <a:t>Recommendation:</a:t>
          </a:r>
          <a:r>
            <a:rPr lang="en-US"/>
            <a:t> Focus resources on the most profitable locations and property types rather than spreading investment evenly.</a:t>
          </a:r>
        </a:p>
        <a:p>
          <a:endParaRPr lang="en-US"/>
        </a:p>
        <a:p>
          <a:r>
            <a:rPr lang="en-US"/>
            <a:t>Sales are significantly above assessed values, indicating strong pricing power and sustained buyer demand.</a:t>
          </a:r>
          <a:br>
            <a:rPr lang="en-US"/>
          </a:br>
          <a:r>
            <a:rPr lang="en-US" sz="1200" b="1"/>
            <a:t>Recommendation:</a:t>
          </a:r>
          <a:r>
            <a:rPr lang="en-US"/>
            <a:t> Regularly review and adjust pricing to better reflect market conditions and maximize revenue.</a:t>
          </a:r>
        </a:p>
        <a:p>
          <a:endParaRPr lang="en-US"/>
        </a:p>
        <a:p>
          <a:r>
            <a:rPr lang="en-US"/>
            <a:t>Rocky Hill emerges as the top-performing location, leading in both transaction volume and high-value sales.</a:t>
          </a:r>
          <a:br>
            <a:rPr lang="en-US"/>
          </a:br>
          <a:r>
            <a:rPr lang="en-US" sz="1200" b="1"/>
            <a:t>Recommendatio</a:t>
          </a:r>
          <a:r>
            <a:rPr lang="en-US" b="1"/>
            <a:t>n:</a:t>
          </a:r>
          <a:r>
            <a:rPr lang="en-US"/>
            <a:t> Prioritize Rocky Hill for future investment, marketing focus, and premium property development.</a:t>
          </a:r>
        </a:p>
        <a:p>
          <a:endParaRPr lang="en-US"/>
        </a:p>
        <a:p>
          <a:r>
            <a:rPr lang="en-US"/>
            <a:t>Condos achieve higher selling prices, while commercial properties generate the strongest average transaction values.</a:t>
          </a:r>
          <a:br>
            <a:rPr lang="en-US"/>
          </a:br>
          <a:r>
            <a:rPr lang="en-US" sz="1200" b="1"/>
            <a:t>Recommendation</a:t>
          </a:r>
          <a:r>
            <a:rPr lang="en-US" b="1"/>
            <a:t>:</a:t>
          </a:r>
          <a:r>
            <a:rPr lang="en-US"/>
            <a:t> Increase portfolio focus on condos and commercial assets to improve overall returns.</a:t>
          </a:r>
        </a:p>
        <a:p>
          <a:endParaRPr lang="en-US"/>
        </a:p>
        <a:p>
          <a:r>
            <a:rPr lang="en-US"/>
            <a:t>Apartment sales consistently peak between April and June, with May recording the strongest performance.</a:t>
          </a:r>
          <a:br>
            <a:rPr lang="en-US"/>
          </a:br>
          <a:r>
            <a:rPr lang="en-US" b="1"/>
            <a:t>Recommendation:</a:t>
          </a:r>
          <a:r>
            <a:rPr lang="en-US"/>
            <a:t> Concentrate marketing and sales efforts in Q2 to fully capture seasonal demand.</a:t>
          </a:r>
          <a:endParaRPr lang="en-US" sz="1100">
            <a:solidFill>
              <a:schemeClr val="dk1"/>
            </a:solidFill>
            <a:effectLst/>
            <a:latin typeface="+mn-lt"/>
            <a:ea typeface="+mn-ea"/>
            <a:cs typeface="+mn-cs"/>
          </a:endParaRPr>
        </a:p>
        <a:p>
          <a:endParaRPr lang="en-US" sz="1100">
            <a:solidFill>
              <a:schemeClr val="dk1"/>
            </a:solidFill>
            <a:effectLst/>
            <a:latin typeface="+mn-lt"/>
            <a:ea typeface="+mn-ea"/>
            <a:cs typeface="+mn-cs"/>
          </a:endParaRPr>
        </a:p>
        <a:p>
          <a:r>
            <a:rPr lang="en-US" sz="1400" b="1">
              <a:solidFill>
                <a:schemeClr val="dk1"/>
              </a:solidFill>
              <a:effectLst/>
              <a:latin typeface="+mn-lt"/>
              <a:ea typeface="+mn-ea"/>
              <a:cs typeface="+mn-cs"/>
            </a:rPr>
            <a:t>Executive Summary of Recommendations</a:t>
          </a:r>
          <a:endParaRPr lang="en-US" sz="1400">
            <a:effectLst/>
          </a:endParaRPr>
        </a:p>
        <a:p>
          <a:r>
            <a:rPr lang="en-US" sz="1100">
              <a:solidFill>
                <a:schemeClr val="dk1"/>
              </a:solidFill>
              <a:effectLst/>
              <a:latin typeface="+mn-lt"/>
              <a:ea typeface="+mn-ea"/>
              <a:cs typeface="+mn-cs"/>
            </a:rPr>
            <a:t>Focus capital allocation on Rocky Hill and other proven high-value micro-markets to maximize return on investment. Shift portfolio emphasis toward condos and commercial assets for stronger margins while maintaining apartments for stable cash flow. Concentrate marketing and sales activity in the consistent Q2 demand window to capture seasonal upside. Continuously refine pricing to reflect market conditions and replicate successful peak performance strategies to sustain long-term portfolio growth and competitive advantage.</a:t>
          </a:r>
        </a:p>
        <a:p>
          <a:endParaRPr lang="en-US" sz="1100">
            <a:latin typeface="Segoe UI" panose="020B0502040204020203" pitchFamily="34" charset="0"/>
            <a:cs typeface="Segoe UI" panose="020B0502040204020203" pitchFamily="34" charset="0"/>
          </a:endParaRPr>
        </a:p>
      </xdr:txBody>
    </xdr:sp>
    <xdr:clientData/>
  </xdr:twoCellAnchor>
  <xdr:twoCellAnchor>
    <xdr:from>
      <xdr:col>16</xdr:col>
      <xdr:colOff>20484</xdr:colOff>
      <xdr:row>11</xdr:row>
      <xdr:rowOff>112661</xdr:rowOff>
    </xdr:from>
    <xdr:to>
      <xdr:col>22</xdr:col>
      <xdr:colOff>276531</xdr:colOff>
      <xdr:row>32</xdr:row>
      <xdr:rowOff>143387</xdr:rowOff>
    </xdr:to>
    <xdr:sp macro="" textlink="">
      <xdr:nvSpPr>
        <xdr:cNvPr id="18" name="TextBox 17">
          <a:extLst>
            <a:ext uri="{FF2B5EF4-FFF2-40B4-BE49-F238E27FC236}">
              <a16:creationId xmlns:a16="http://schemas.microsoft.com/office/drawing/2014/main" id="{BB629ECB-361E-6523-836B-1B5A4E049227}"/>
            </a:ext>
          </a:extLst>
        </xdr:cNvPr>
        <xdr:cNvSpPr txBox="1"/>
      </xdr:nvSpPr>
      <xdr:spPr>
        <a:xfrm>
          <a:off x="10344355" y="2140564"/>
          <a:ext cx="4127499" cy="3902178"/>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Business Problem Statement</a:t>
          </a:r>
        </a:p>
        <a:p>
          <a:r>
            <a:rPr lang="en-US" sz="1600"/>
            <a:t>Zillow Group, a U.S.-based real estate company, is seeking to evaluate the property sales landscape in Connecticut between 2018 and 2021, with particular attention to performance in 2021. The objective is to understand how property values, transaction volumes, and demand patterns have evolved over time across different locations and property types. This analysis will help identify high-performing markets, assess pricing strength, and uncover seasonal and long-term trends to support more informed investment decisions and strengthen market strategy in the region.</a:t>
          </a:r>
        </a:p>
        <a:p>
          <a:endParaRPr lang="en-US" sz="1400" b="1">
            <a:solidFill>
              <a:schemeClr val="dk1"/>
            </a:solidFill>
            <a:effectLst/>
            <a:latin typeface="+mn-lt"/>
            <a:ea typeface="+mn-ea"/>
            <a:cs typeface="+mn-cs"/>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764.591549305558" createdVersion="8" refreshedVersion="8" minRefreshableVersion="3" recordCount="314" xr:uid="{BCC32685-1149-4E40-BE34-96694D33634C}">
  <cacheSource type="worksheet">
    <worksheetSource name="Table1_3"/>
  </cacheSource>
  <cacheFields count="9">
    <cacheField name="Serial Number" numFmtId="0">
      <sharedItems containsSemiMixedTypes="0" containsString="0" containsNumber="1" containsInteger="1" minValue="1384" maxValue="202000106"/>
    </cacheField>
    <cacheField name="Date Recorded" numFmtId="22">
      <sharedItems containsSemiMixedTypes="0" containsNonDate="0" containsDate="1" containsString="0" minDate="2006-12-11T00:00:00" maxDate="2021-10-01T00:00:00"/>
    </cacheField>
    <cacheField name="Town" numFmtId="0">
      <sharedItems count="106">
        <s v="Rocky Hill"/>
        <s v="Cromwell"/>
        <s v="Greenwich"/>
        <s v="New London"/>
        <s v="Danbury"/>
        <s v="New Canaan"/>
        <s v="Washington"/>
        <s v="Redding"/>
        <s v="East Lyme"/>
        <s v="Avon"/>
        <s v="Stamford"/>
        <s v="Farmington"/>
        <s v="Groton"/>
        <s v="Norwich"/>
        <s v="Newtown"/>
        <s v="Trumbull"/>
        <s v="Derby"/>
        <s v="New Haven"/>
        <s v="Plymouth"/>
        <s v="Manchester"/>
        <s v="Bethany"/>
        <s v="New Britain"/>
        <s v="Westbrook"/>
        <s v="Waterford"/>
        <s v="Branford"/>
        <s v="Berlin"/>
        <s v="Stratford"/>
        <s v="Killingworth"/>
        <s v="Canaan"/>
        <s v="Roxbury"/>
        <s v="Monroe"/>
        <s v="Old Saybrook"/>
        <s v="Orange"/>
        <s v="Shelton"/>
        <s v="Hartford"/>
        <s v="Essex"/>
        <s v="Glastonbury"/>
        <s v="Fairfield"/>
        <s v="Southbury"/>
        <s v="Sharon"/>
        <s v="West Hartford"/>
        <s v="Coventry"/>
        <s v="Guilford"/>
        <s v="New Hartford"/>
        <s v="Norwalk"/>
        <s v="North Haven"/>
        <s v="Stonington"/>
        <s v="Ashford"/>
        <s v="Chester"/>
        <s v="Enfield"/>
        <s v="Colchester"/>
        <s v="Cornwall"/>
        <s v="Simsbury"/>
        <s v="Cheshire"/>
        <s v="Harwinton"/>
        <s v="Plainfield"/>
        <s v="Bethlehem"/>
        <s v="Mansfield"/>
        <s v="Thomaston"/>
        <s v="Bethel"/>
        <s v="Ansonia"/>
        <s v="Milford"/>
        <s v="Wallingford"/>
        <s v="Wethersfield"/>
        <s v="Meriden"/>
        <s v="Griswold"/>
        <s v="Vernon"/>
        <s v="Bristol"/>
        <s v="East Hampton"/>
        <s v="Canton"/>
        <s v="Naugatuck"/>
        <s v="Hamden"/>
        <s v="Suffield"/>
        <s v="Madison"/>
        <s v="Sterling"/>
        <s v="Bloomfield"/>
        <s v="Newington"/>
        <s v="W Hartford"/>
        <s v="Darien"/>
        <s v="New Fairfield"/>
        <s v="Windsor"/>
        <s v="Lebanon"/>
        <s v="Torrington"/>
        <s v="Watertown"/>
        <s v="Portland"/>
        <s v="Franklin"/>
        <s v="Litchfield"/>
        <s v="Waterbury"/>
        <s v="South Windsor"/>
        <s v="East Haven"/>
        <s v="West Haven"/>
        <s v="Brookfield"/>
        <s v="Putnam"/>
        <s v="Bridgeport"/>
        <s v="Middletown"/>
        <s v="Woodstock"/>
        <s v="Killingly"/>
        <s v="East Granby"/>
        <s v="North Branford"/>
        <s v="Ridgefield"/>
        <s v="Ledyard"/>
        <s v="Winchester"/>
        <s v="Southington"/>
        <s v="Tolland"/>
        <s v="Plainville"/>
        <s v="East Hartford"/>
      </sharedItems>
    </cacheField>
    <cacheField name="Address" numFmtId="0">
      <sharedItems/>
    </cacheField>
    <cacheField name="Assessed Value" numFmtId="0">
      <sharedItems containsSemiMixedTypes="0" containsString="0" containsNumber="1" containsInteger="1" minValue="0" maxValue="4259500"/>
    </cacheField>
    <cacheField name="Sale Amount" numFmtId="0">
      <sharedItems containsSemiMixedTypes="0" containsString="0" containsNumber="1" containsInteger="1" minValue="27500" maxValue="13650000" count="237">
        <n v="13650000"/>
        <n v="5214750"/>
        <n v="4300000"/>
        <n v="3266250"/>
        <n v="3200000"/>
        <n v="3000000"/>
        <n v="2400000"/>
        <n v="2300000"/>
        <n v="2285000"/>
        <n v="1800000"/>
        <n v="1525000"/>
        <n v="1447500"/>
        <n v="1323338"/>
        <n v="1250000"/>
        <n v="1125000"/>
        <n v="990000"/>
        <n v="950000"/>
        <n v="939000"/>
        <n v="930000"/>
        <n v="910000"/>
        <n v="905000"/>
        <n v="890000"/>
        <n v="873000"/>
        <n v="850000"/>
        <n v="833111"/>
        <n v="810000"/>
        <n v="800000"/>
        <n v="795000"/>
        <n v="785000"/>
        <n v="779000"/>
        <n v="755000"/>
        <n v="754000"/>
        <n v="742500"/>
        <n v="740000"/>
        <n v="725000"/>
        <n v="710000"/>
        <n v="705000"/>
        <n v="700000"/>
        <n v="677500"/>
        <n v="652000"/>
        <n v="650000"/>
        <n v="645000"/>
        <n v="599000"/>
        <n v="575000"/>
        <n v="572500"/>
        <n v="562000"/>
        <n v="550000"/>
        <n v="542500"/>
        <n v="533350"/>
        <n v="526000"/>
        <n v="525000"/>
        <n v="520000"/>
        <n v="517000"/>
        <n v="515000"/>
        <n v="510000"/>
        <n v="508000"/>
        <n v="505000"/>
        <n v="487710"/>
        <n v="480000"/>
        <n v="476549"/>
        <n v="460000"/>
        <n v="451000"/>
        <n v="450000"/>
        <n v="443165"/>
        <n v="439900"/>
        <n v="435000"/>
        <n v="430000"/>
        <n v="429000"/>
        <n v="427500"/>
        <n v="425000"/>
        <n v="421000"/>
        <n v="420000"/>
        <n v="418800"/>
        <n v="410000"/>
        <n v="400000"/>
        <n v="395000"/>
        <n v="392000"/>
        <n v="390500"/>
        <n v="385000"/>
        <n v="382000"/>
        <n v="375000"/>
        <n v="373000"/>
        <n v="372000"/>
        <n v="370000"/>
        <n v="369900"/>
        <n v="365000"/>
        <n v="360000"/>
        <n v="355000"/>
        <n v="352000"/>
        <n v="345000"/>
        <n v="342500"/>
        <n v="337500"/>
        <n v="335000"/>
        <n v="330000"/>
        <n v="327900"/>
        <n v="325000"/>
        <n v="320000"/>
        <n v="315000"/>
        <n v="313000"/>
        <n v="312500"/>
        <n v="310000"/>
        <n v="307000"/>
        <n v="305000"/>
        <n v="302000"/>
        <n v="300000"/>
        <n v="299000"/>
        <n v="292500"/>
        <n v="289900"/>
        <n v="287000"/>
        <n v="283491"/>
        <n v="282500"/>
        <n v="280000"/>
        <n v="278500"/>
        <n v="278000"/>
        <n v="276500"/>
        <n v="276000"/>
        <n v="275000"/>
        <n v="270000"/>
        <n v="261000"/>
        <n v="260000"/>
        <n v="257500"/>
        <n v="255000"/>
        <n v="252500"/>
        <n v="252000"/>
        <n v="250000"/>
        <n v="249900"/>
        <n v="249000"/>
        <n v="248000"/>
        <n v="245000"/>
        <n v="244000"/>
        <n v="241368"/>
        <n v="240000"/>
        <n v="239900"/>
        <n v="238521"/>
        <n v="235000"/>
        <n v="234900"/>
        <n v="230000"/>
        <n v="229900"/>
        <n v="227000"/>
        <n v="226800"/>
        <n v="225005"/>
        <n v="225000"/>
        <n v="223000"/>
        <n v="220000"/>
        <n v="217500"/>
        <n v="215000"/>
        <n v="214000"/>
        <n v="210000"/>
        <n v="209000"/>
        <n v="204900"/>
        <n v="204000"/>
        <n v="200000"/>
        <n v="197000"/>
        <n v="196000"/>
        <n v="195000"/>
        <n v="193500"/>
        <n v="193000"/>
        <n v="191000"/>
        <n v="190000"/>
        <n v="185000"/>
        <n v="184500"/>
        <n v="183000"/>
        <n v="180450"/>
        <n v="180000"/>
        <n v="179900"/>
        <n v="176500"/>
        <n v="175000"/>
        <n v="173700"/>
        <n v="173000"/>
        <n v="170000"/>
        <n v="169900"/>
        <n v="169000"/>
        <n v="167450"/>
        <n v="165000"/>
        <n v="163300"/>
        <n v="162800"/>
        <n v="161000"/>
        <n v="160000"/>
        <n v="157000"/>
        <n v="156000"/>
        <n v="155000"/>
        <n v="154500"/>
        <n v="153500"/>
        <n v="153000"/>
        <n v="151000"/>
        <n v="150000"/>
        <n v="149850"/>
        <n v="146000"/>
        <n v="144900"/>
        <n v="143800"/>
        <n v="143000"/>
        <n v="142650"/>
        <n v="140000"/>
        <n v="139900"/>
        <n v="135000"/>
        <n v="133000"/>
        <n v="130000"/>
        <n v="128866"/>
        <n v="128300"/>
        <n v="127000"/>
        <n v="125500"/>
        <n v="125000"/>
        <n v="124500"/>
        <n v="124000"/>
        <n v="122500"/>
        <n v="122000"/>
        <n v="120000"/>
        <n v="115000"/>
        <n v="112500"/>
        <n v="110000"/>
        <n v="108000"/>
        <n v="107500"/>
        <n v="107000"/>
        <n v="105000"/>
        <n v="100000"/>
        <n v="95000"/>
        <n v="91000"/>
        <n v="90000"/>
        <n v="89900"/>
        <n v="86000"/>
        <n v="85000"/>
        <n v="82000"/>
        <n v="80000"/>
        <n v="74000"/>
        <n v="73000"/>
        <n v="65000"/>
        <n v="61000"/>
        <n v="59000"/>
        <n v="55000"/>
        <n v="52000"/>
        <n v="50000"/>
        <n v="42000"/>
        <n v="41000"/>
        <n v="38500"/>
        <n v="33000"/>
        <n v="30000"/>
        <n v="27500"/>
      </sharedItems>
    </cacheField>
    <cacheField name="Sales Ratio" numFmtId="0">
      <sharedItems containsSemiMixedTypes="0" containsString="0" containsNumber="1" minValue="0" maxValue="1587804878"/>
    </cacheField>
    <cacheField name="Sales Ratio 2" numFmtId="0">
      <sharedItems containsMixedTypes="1" containsNumber="1" minValue="0.5550811272416738" maxValue="302.32558139534882"/>
    </cacheField>
    <cacheField name="Property Type" numFmtId="0">
      <sharedItems count="4">
        <s v="Condo"/>
        <s v="Commercial"/>
        <s v="Residential"/>
        <s v="Apartments"/>
      </sharedItems>
    </cacheField>
  </cacheFields>
  <extLst>
    <ext xmlns:x14="http://schemas.microsoft.com/office/spreadsheetml/2009/9/main" uri="{725AE2AE-9491-48be-B2B4-4EB974FC3084}">
      <x14:pivotCacheDefinition pivotCacheId="185675209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779.214043749998" createdVersion="8" refreshedVersion="8" minRefreshableVersion="3" recordCount="206" xr:uid="{7C8BDB71-EFA8-419E-91AB-DD79EF878C66}">
  <cacheSource type="worksheet">
    <worksheetSource name="Table1_3__3__7"/>
  </cacheSource>
  <cacheFields count="16">
    <cacheField name="Serial Number" numFmtId="0">
      <sharedItems containsString="0" containsBlank="1" containsNumber="1" containsInteger="1" minValue="17128" maxValue="202000106"/>
    </cacheField>
    <cacheField name="Date Recorded" numFmtId="0">
      <sharedItems containsBlank="1"/>
    </cacheField>
    <cacheField name="Month Name" numFmtId="0">
      <sharedItems containsBlank="1" count="13">
        <s v="April"/>
        <s v="June"/>
        <s v="May"/>
        <s v="July"/>
        <s v="February"/>
        <s v="August"/>
        <s v="January"/>
        <s v="December"/>
        <s v="October"/>
        <s v="March"/>
        <s v="September"/>
        <s v="November"/>
        <m/>
      </sharedItems>
    </cacheField>
    <cacheField name="Year" numFmtId="0">
      <sharedItems containsString="0" containsBlank="1" containsNumber="1" containsInteger="1" minValue="2018" maxValue="2021" count="5">
        <n v="2021"/>
        <n v="2018"/>
        <n v="2020"/>
        <n v="2019"/>
        <m/>
      </sharedItems>
    </cacheField>
    <cacheField name="Month/Year" numFmtId="14">
      <sharedItems containsNonDate="0" containsDate="1" containsString="0" containsBlank="1" minDate="2018-01-01T00:00:00" maxDate="2021-09-02T00:00:00"/>
    </cacheField>
    <cacheField name="Town" numFmtId="0">
      <sharedItems containsBlank="1"/>
    </cacheField>
    <cacheField name="Address" numFmtId="0">
      <sharedItems containsBlank="1"/>
    </cacheField>
    <cacheField name="Assessed Value" numFmtId="0">
      <sharedItems containsString="0" containsBlank="1" containsNumber="1" containsInteger="1" minValue="11620" maxValue="4259500"/>
    </cacheField>
    <cacheField name="Sale Amount" numFmtId="0">
      <sharedItems containsString="0" containsBlank="1" containsNumber="1" containsInteger="1" minValue="27500" maxValue="5214750"/>
    </cacheField>
    <cacheField name="Sales Ratio" numFmtId="0">
      <sharedItems containsString="0" containsBlank="1" containsNumber="1" minValue="9.3869120000000007E-3" maxValue="0.99050000000000005"/>
    </cacheField>
    <cacheField name="Sales Ratio 2" numFmtId="0">
      <sharedItems containsString="0" containsBlank="1" containsNumber="1" minValue="1.0095081582345347" maxValue="106.53131115459882"/>
    </cacheField>
    <cacheField name="Property Type" numFmtId="0">
      <sharedItems containsBlank="1"/>
    </cacheField>
    <cacheField name="Value Status" numFmtId="0">
      <sharedItems containsBlank="1"/>
    </cacheField>
    <cacheField name="Column1" numFmtId="0">
      <sharedItems containsBlank="1"/>
    </cacheField>
    <cacheField name="Column2" numFmtId="0">
      <sharedItems containsString="0" containsBlank="1" containsNumber="1" containsInteger="1" minValue="2018" maxValue="2021"/>
    </cacheField>
    <cacheField name="Column3" numFmtId="0">
      <sharedItems containsNonDate="0" containsString="0" containsBlank="1"/>
    </cacheField>
  </cacheFields>
  <extLst>
    <ext xmlns:x14="http://schemas.microsoft.com/office/spreadsheetml/2009/9/main" uri="{725AE2AE-9491-48be-B2B4-4EB974FC3084}">
      <x14:pivotCacheDefinition pivotCacheId="14525649"/>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779.214044444445" createdVersion="8" refreshedVersion="8" minRefreshableVersion="3" recordCount="189" xr:uid="{AF73DA5E-3226-4E3A-B2CB-437E6C844211}">
  <cacheSource type="worksheet">
    <worksheetSource name="Table1_3__3__3"/>
  </cacheSource>
  <cacheFields count="13">
    <cacheField name="Serial Number" numFmtId="0">
      <sharedItems containsSemiMixedTypes="0" containsString="0" containsNumber="1" containsInteger="1" minValue="20002" maxValue="202000106"/>
    </cacheField>
    <cacheField name="Date Recorded" numFmtId="22">
      <sharedItems containsSemiMixedTypes="0" containsNonDate="0" containsDate="1" containsString="0" minDate="2020-10-01T00:00:00" maxDate="2021-10-01T00:00:00"/>
    </cacheField>
    <cacheField name="Month Name" numFmtId="0">
      <sharedItems/>
    </cacheField>
    <cacheField name="Year" numFmtId="0">
      <sharedItems containsSemiMixedTypes="0" containsString="0" containsNumber="1" containsInteger="1" minValue="2020" maxValue="2021"/>
    </cacheField>
    <cacheField name="Month/Year" numFmtId="14">
      <sharedItems containsSemiMixedTypes="0" containsNonDate="0" containsDate="1" containsString="0" minDate="2020-10-01T00:00:00" maxDate="2021-09-02T00:00:00"/>
    </cacheField>
    <cacheField name="Town" numFmtId="0">
      <sharedItems/>
    </cacheField>
    <cacheField name="Address" numFmtId="0">
      <sharedItems/>
    </cacheField>
    <cacheField name="Assessed Value" numFmtId="0">
      <sharedItems containsSemiMixedTypes="0" containsString="0" containsNumber="1" containsInteger="1" minValue="19110" maxValue="4259500"/>
    </cacheField>
    <cacheField name="Sale Amount" numFmtId="0">
      <sharedItems containsSemiMixedTypes="0" containsString="0" containsNumber="1" containsInteger="1" minValue="27500" maxValue="5214750"/>
    </cacheField>
    <cacheField name="Sales Ratio" numFmtId="0">
      <sharedItems containsSemiMixedTypes="0" containsString="0" containsNumber="1" minValue="0.21734375" maxValue="0.99050000000000005"/>
    </cacheField>
    <cacheField name="Sales Ratio 2" numFmtId="0">
      <sharedItems containsSemiMixedTypes="0" containsString="0" containsNumber="1" minValue="1.0095081582345347" maxValue="4.6010064701653484"/>
    </cacheField>
    <cacheField name="Property Type" numFmtId="0">
      <sharedItems count="2">
        <s v="Commercial"/>
        <s v="Residential"/>
      </sharedItems>
    </cacheField>
    <cacheField name="Value Status"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779.21404525463" createdVersion="8" refreshedVersion="8" minRefreshableVersion="3" recordCount="302" xr:uid="{14318D9A-86BB-4EA0-B0DD-3A7010753A70}">
  <cacheSource type="worksheet">
    <worksheetSource name="Table1_3__34"/>
  </cacheSource>
  <cacheFields count="13">
    <cacheField name="Serial Number" numFmtId="0">
      <sharedItems containsSemiMixedTypes="0" containsString="0" containsNumber="1" containsInteger="1" minValue="9347" maxValue="202000106"/>
    </cacheField>
    <cacheField name="Date Recorded" numFmtId="22">
      <sharedItems containsSemiMixedTypes="0" containsNonDate="0" containsDate="1" containsString="0" minDate="2006-12-11T00:00:00" maxDate="2021-10-01T00:00:00" count="245">
        <d v="2016-12-20T00:00:00"/>
        <d v="2018-05-01T00:00:00"/>
        <d v="2017-09-27T00:00:00"/>
        <d v="2017-06-15T00:00:00"/>
        <d v="2007-04-18T00:00:00"/>
        <d v="2010-06-30T00:00:00"/>
        <d v="2021-04-26T00:00:00"/>
        <d v="2021-06-22T00:00:00"/>
        <d v="2021-07-12T00:00:00"/>
        <d v="2021-02-17T00:00:00"/>
        <d v="2021-08-30T00:00:00"/>
        <d v="2018-05-24T00:00:00"/>
        <d v="2021-07-20T00:00:00"/>
        <d v="2021-01-25T00:00:00"/>
        <d v="2021-07-19T00:00:00"/>
        <d v="2021-05-10T00:00:00"/>
        <d v="2021-07-02T00:00:00"/>
        <d v="2021-07-28T00:00:00"/>
        <d v="2021-03-04T00:00:00"/>
        <d v="2021-02-05T00:00:00"/>
        <d v="2021-05-14T00:00:00"/>
        <d v="2021-09-16T00:00:00"/>
        <d v="2020-12-24T00:00:00"/>
        <d v="2020-11-20T00:00:00"/>
        <d v="2021-04-13T00:00:00"/>
        <d v="2017-01-06T00:00:00"/>
        <d v="2021-03-30T00:00:00"/>
        <d v="2021-04-23T00:00:00"/>
        <d v="2021-07-21T00:00:00"/>
        <d v="2007-05-25T00:00:00"/>
        <d v="2021-01-28T00:00:00"/>
        <d v="2021-03-25T00:00:00"/>
        <d v="2021-08-27T00:00:00"/>
        <d v="2021-06-04T00:00:00"/>
        <d v="2020-12-14T00:00:00"/>
        <d v="2021-09-07T00:00:00"/>
        <d v="2021-01-08T00:00:00"/>
        <d v="2021-08-06T00:00:00"/>
        <d v="2009-11-25T00:00:00"/>
        <d v="2020-03-02T00:00:00"/>
        <d v="2018-01-31T00:00:00"/>
        <d v="2021-06-14T00:00:00"/>
        <d v="2021-06-18T00:00:00"/>
        <d v="2021-01-22T00:00:00"/>
        <d v="2020-11-06T00:00:00"/>
        <d v="2021-07-01T00:00:00"/>
        <d v="2008-07-21T00:00:00"/>
        <d v="2008-05-02T00:00:00"/>
        <d v="2021-09-28T00:00:00"/>
        <d v="2021-05-19T00:00:00"/>
        <d v="2021-03-29T00:00:00"/>
        <d v="2021-09-30T00:00:00"/>
        <d v="2021-05-17T00:00:00"/>
        <d v="2021-07-26T00:00:00"/>
        <d v="2020-10-13T00:00:00"/>
        <d v="2021-03-01T00:00:00"/>
        <d v="2021-09-27T00:00:00"/>
        <d v="2021-04-28T00:00:00"/>
        <d v="2020-11-05T00:00:00"/>
        <d v="2008-01-25T00:00:00"/>
        <d v="2021-09-10T00:00:00"/>
        <d v="2021-07-29T00:00:00"/>
        <d v="2020-12-16T00:00:00"/>
        <d v="2016-11-01T00:00:00"/>
        <d v="2021-07-15T00:00:00"/>
        <d v="2021-08-09T00:00:00"/>
        <d v="2021-03-08T00:00:00"/>
        <d v="2021-03-22T00:00:00"/>
        <d v="2021-05-28T00:00:00"/>
        <d v="2007-08-24T00:00:00"/>
        <d v="2020-11-23T00:00:00"/>
        <d v="2021-09-23T00:00:00"/>
        <d v="2021-03-31T00:00:00"/>
        <d v="2021-03-18T00:00:00"/>
        <d v="2017-07-10T00:00:00"/>
        <d v="2021-09-20T00:00:00"/>
        <d v="2021-01-26T00:00:00"/>
        <d v="2021-08-12T00:00:00"/>
        <d v="2021-05-03T00:00:00"/>
        <d v="2021-09-15T00:00:00"/>
        <d v="2021-09-01T00:00:00"/>
        <d v="2006-12-11T00:00:00"/>
        <d v="2020-10-22T00:00:00"/>
        <d v="2020-12-09T00:00:00"/>
        <d v="2018-04-13T00:00:00"/>
        <d v="2021-01-06T00:00:00"/>
        <d v="2021-03-16T00:00:00"/>
        <d v="2021-08-19T00:00:00"/>
        <d v="2020-12-31T00:00:00"/>
        <d v="2021-06-07T00:00:00"/>
        <d v="2021-06-29T00:00:00"/>
        <d v="2020-10-29T00:00:00"/>
        <d v="2018-05-14T00:00:00"/>
        <d v="2021-08-04T00:00:00"/>
        <d v="2021-08-18T00:00:00"/>
        <d v="2021-04-30T00:00:00"/>
        <d v="2020-11-02T00:00:00"/>
        <d v="2017-02-16T00:00:00"/>
        <d v="2021-08-10T00:00:00"/>
        <d v="2017-08-04T00:00:00"/>
        <d v="2021-02-19T00:00:00"/>
        <d v="2021-09-13T00:00:00"/>
        <d v="2020-12-21T00:00:00"/>
        <d v="2021-06-17T00:00:00"/>
        <d v="2021-07-13T00:00:00"/>
        <d v="2021-01-04T00:00:00"/>
        <d v="2008-03-14T00:00:00"/>
        <d v="2020-12-29T00:00:00"/>
        <d v="2021-03-12T00:00:00"/>
        <d v="2020-10-28T00:00:00"/>
        <d v="2008-08-29T00:00:00"/>
        <d v="2014-09-08T00:00:00"/>
        <d v="2009-12-30T00:00:00"/>
        <d v="2021-04-08T00:00:00"/>
        <d v="2020-10-02T00:00:00"/>
        <d v="2021-04-16T00:00:00"/>
        <d v="2021-04-12T00:00:00"/>
        <d v="2021-06-21T00:00:00"/>
        <d v="2008-03-03T00:00:00"/>
        <d v="2021-03-03T00:00:00"/>
        <d v="2021-09-14T00:00:00"/>
        <d v="2015-06-02T00:00:00"/>
        <d v="2019-01-24T00:00:00"/>
        <d v="2020-04-29T00:00:00"/>
        <d v="2017-05-09T00:00:00"/>
        <d v="2008-05-28T00:00:00"/>
        <d v="2017-04-20T00:00:00"/>
        <d v="2021-09-09T00:00:00"/>
        <d v="2017-05-19T00:00:00"/>
        <d v="2020-12-18T00:00:00"/>
        <d v="2020-10-20T00:00:00"/>
        <d v="2020-10-08T00:00:00"/>
        <d v="2021-01-07T00:00:00"/>
        <d v="2017-07-26T00:00:00"/>
        <d v="2020-12-20T00:00:00"/>
        <d v="2016-05-04T00:00:00"/>
        <d v="2021-05-21T00:00:00"/>
        <d v="2021-06-10T00:00:00"/>
        <d v="2008-05-19T00:00:00"/>
        <d v="2021-09-02T00:00:00"/>
        <d v="2016-10-13T00:00:00"/>
        <d v="2020-10-06T00:00:00"/>
        <d v="2017-09-01T00:00:00"/>
        <d v="2021-05-13T00:00:00"/>
        <d v="2021-02-18T00:00:00"/>
        <d v="2008-09-11T00:00:00"/>
        <d v="2020-11-10T00:00:00"/>
        <d v="2017-06-14T00:00:00"/>
        <d v="2018-04-18T00:00:00"/>
        <d v="2021-05-18T00:00:00"/>
        <d v="2010-09-10T00:00:00"/>
        <d v="2021-07-06T00:00:00"/>
        <d v="2017-09-07T00:00:00"/>
        <d v="2021-08-31T00:00:00"/>
        <d v="2019-02-27T00:00:00"/>
        <d v="2021-05-20T00:00:00"/>
        <d v="2017-09-11T00:00:00"/>
        <d v="2010-02-23T00:00:00"/>
        <d v="2021-01-21T00:00:00"/>
        <d v="2009-11-24T00:00:00"/>
        <d v="2009-12-03T00:00:00"/>
        <d v="2021-02-12T00:00:00"/>
        <d v="2020-10-16T00:00:00"/>
        <d v="2008-02-26T00:00:00"/>
        <d v="2021-03-09T00:00:00"/>
        <d v="2011-06-06T00:00:00"/>
        <d v="2021-02-04T00:00:00"/>
        <d v="2017-12-20T00:00:00"/>
        <d v="2017-08-29T00:00:00"/>
        <d v="2017-11-27T00:00:00"/>
        <d v="2017-06-21T00:00:00"/>
        <d v="2010-05-03T00:00:00"/>
        <d v="2020-10-09T00:00:00"/>
        <d v="2015-07-13T00:00:00"/>
        <d v="2021-06-15T00:00:00"/>
        <d v="2015-10-28T00:00:00"/>
        <d v="2021-05-24T00:00:00"/>
        <d v="2016-05-02T00:00:00"/>
        <d v="2021-05-06T00:00:00"/>
        <d v="2007-12-31T00:00:00"/>
        <d v="2017-06-30T00:00:00"/>
        <d v="2009-03-25T00:00:00"/>
        <d v="2007-12-10T00:00:00"/>
        <d v="2017-09-14T00:00:00"/>
        <d v="2007-06-19T00:00:00"/>
        <d v="2021-02-22T00:00:00"/>
        <d v="2019-06-07T00:00:00"/>
        <d v="2007-10-12T00:00:00"/>
        <d v="2009-11-19T00:00:00"/>
        <d v="2017-06-19T00:00:00"/>
        <d v="2017-07-14T00:00:00"/>
        <d v="2009-10-01T00:00:00"/>
        <d v="2010-09-07T00:00:00"/>
        <d v="2021-01-14T00:00:00"/>
        <d v="2017-07-18T00:00:00"/>
        <d v="2021-03-11T00:00:00"/>
        <d v="2013-09-13T00:00:00"/>
        <d v="2020-11-09T00:00:00"/>
        <d v="2014-06-05T00:00:00"/>
        <d v="2009-06-03T00:00:00"/>
        <d v="2009-12-01T00:00:00"/>
        <d v="2016-12-05T00:00:00"/>
        <d v="2020-10-01T00:00:00"/>
        <d v="2010-12-22T00:00:00"/>
        <d v="2021-07-08T00:00:00"/>
        <d v="2017-08-10T00:00:00"/>
        <d v="2020-11-16T00:00:00"/>
        <d v="2008-03-20T00:00:00"/>
        <d v="2021-06-08T00:00:00"/>
        <d v="2017-08-17T00:00:00"/>
        <d v="2015-06-24T00:00:00"/>
        <d v="2011-08-10T00:00:00"/>
        <d v="2011-02-25T00:00:00"/>
        <d v="2010-11-30T00:00:00"/>
        <d v="2021-06-03T00:00:00"/>
        <d v="2010-11-18T00:00:00"/>
        <d v="2014-09-26T00:00:00"/>
        <d v="2011-02-22T00:00:00"/>
        <d v="2009-07-21T00:00:00"/>
        <d v="2010-06-02T00:00:00"/>
        <d v="2021-04-06T00:00:00"/>
        <d v="2011-07-07T00:00:00"/>
        <d v="2017-02-01T00:00:00"/>
        <d v="2009-10-20T00:00:00"/>
        <d v="2010-10-04T00:00:00"/>
        <d v="2010-07-12T00:00:00"/>
        <d v="2009-10-19T00:00:00"/>
        <d v="2021-05-04T00:00:00"/>
        <d v="2013-07-08T00:00:00"/>
        <d v="2021-01-11T00:00:00"/>
        <d v="2017-11-30T00:00:00"/>
        <d v="2009-12-02T00:00:00"/>
        <d v="2010-10-22T00:00:00"/>
        <d v="2021-05-12T00:00:00"/>
        <d v="2010-07-01T00:00:00"/>
        <d v="2021-08-23T00:00:00"/>
        <d v="2011-06-29T00:00:00"/>
        <d v="2021-08-16T00:00:00"/>
        <d v="2014-03-11T00:00:00"/>
        <d v="2021-06-23T00:00:00"/>
        <d v="2019-05-21T00:00:00"/>
        <d v="2021-05-27T00:00:00"/>
        <d v="2010-06-03T00:00:00"/>
        <d v="2021-01-27T00:00:00"/>
        <d v="2021-01-05T00:00:00"/>
      </sharedItems>
    </cacheField>
    <cacheField name="Month Name" numFmtId="0">
      <sharedItems/>
    </cacheField>
    <cacheField name="Year" numFmtId="0">
      <sharedItems containsSemiMixedTypes="0" containsString="0" containsNumber="1" containsInteger="1" minValue="2006" maxValue="2021" count="15">
        <n v="2016"/>
        <n v="2018"/>
        <n v="2017"/>
        <n v="2007"/>
        <n v="2010"/>
        <n v="2021"/>
        <n v="2020"/>
        <n v="2009"/>
        <n v="2008"/>
        <n v="2006"/>
        <n v="2014"/>
        <n v="2015"/>
        <n v="2019"/>
        <n v="2011"/>
        <n v="2013"/>
      </sharedItems>
    </cacheField>
    <cacheField name="Month/Year" numFmtId="0">
      <sharedItems count="75">
        <s v="December,2016"/>
        <s v="May,2018"/>
        <s v="September,2017"/>
        <s v="June,2017"/>
        <s v="April,2007"/>
        <s v="June,2010"/>
        <s v="April,2021"/>
        <s v="June,2021"/>
        <s v="July,2021"/>
        <s v="February,2021"/>
        <s v="August,2021"/>
        <s v="January,2021"/>
        <s v="May,2021"/>
        <s v="March,2021"/>
        <s v="September,2021"/>
        <s v="December,2020"/>
        <s v="November,2020"/>
        <s v="January,2017"/>
        <s v="May,2007"/>
        <s v="November,2009"/>
        <s v="March,2020"/>
        <s v="January,2018"/>
        <s v="July,2008"/>
        <s v="May,2008"/>
        <s v="October,2020"/>
        <s v="January,2008"/>
        <s v="November,2016"/>
        <s v="August,2007"/>
        <s v="July,2017"/>
        <s v="December,2006"/>
        <s v="April,2018"/>
        <s v="February,2017"/>
        <s v="August,2017"/>
        <s v="March,2008"/>
        <s v="August,2008"/>
        <s v="September,2014"/>
        <s v="December,2009"/>
        <s v="June,2015"/>
        <s v="January,2019"/>
        <s v="April,2020"/>
        <s v="May,2017"/>
        <s v="April,2017"/>
        <s v="May,2016"/>
        <s v="October,2016"/>
        <s v="September,2008"/>
        <s v="September,2010"/>
        <s v="February,2019"/>
        <s v="February,2010"/>
        <s v="February,2008"/>
        <s v="June,2011"/>
        <s v="December,2017"/>
        <s v="November,2017"/>
        <s v="May,2010"/>
        <s v="July,2015"/>
        <s v="October,2015"/>
        <s v="December,2007"/>
        <s v="March,2009"/>
        <s v="June,2007"/>
        <s v="June,2019"/>
        <s v="October,2007"/>
        <s v="October,2009"/>
        <s v="September,2013"/>
        <s v="June,2014"/>
        <s v="June,2009"/>
        <s v="December,2010"/>
        <s v="August,2011"/>
        <s v="February,2011"/>
        <s v="November,2010"/>
        <s v="July,2009"/>
        <s v="July,2011"/>
        <s v="October,2010"/>
        <s v="July,2010"/>
        <s v="July,2013"/>
        <s v="March,2014"/>
        <s v="May,2019"/>
      </sharedItems>
    </cacheField>
    <cacheField name="Town" numFmtId="0">
      <sharedItems/>
    </cacheField>
    <cacheField name="Address" numFmtId="0">
      <sharedItems/>
    </cacheField>
    <cacheField name="Assessed Value" numFmtId="0">
      <sharedItems containsSemiMixedTypes="0" containsString="0" containsNumber="1" containsInteger="1" minValue="8190" maxValue="4259500"/>
    </cacheField>
    <cacheField name="Sale Amount" numFmtId="0">
      <sharedItems containsSemiMixedTypes="0" containsString="0" containsNumber="1" containsInteger="1" minValue="27500" maxValue="13650000"/>
    </cacheField>
    <cacheField name="Sales Ratio" numFmtId="0">
      <sharedItems containsSemiMixedTypes="0" containsString="0" containsNumber="1" minValue="3.3076920000000001E-3" maxValue="0.99050000000000005"/>
    </cacheField>
    <cacheField name="Sales Ratio 2" numFmtId="0">
      <sharedItems containsSemiMixedTypes="0" containsString="0" containsNumber="1" minValue="1.0095081582345347" maxValue="302.32558139534882"/>
    </cacheField>
    <cacheField name="Property Type" numFmtId="0">
      <sharedItems/>
    </cacheField>
    <cacheField name="Value Status" numFmtId="0">
      <sharedItems/>
    </cacheField>
  </cacheFields>
  <extLst>
    <ext xmlns:x14="http://schemas.microsoft.com/office/spreadsheetml/2009/9/main" uri="{725AE2AE-9491-48be-B2B4-4EB974FC3084}">
      <x14:pivotCacheDefinition pivotCacheId="981404048"/>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779.214045949077" createdVersion="8" refreshedVersion="8" minRefreshableVersion="3" recordCount="5" xr:uid="{6AB332A6-124C-47A2-BBE7-8E5990EA3C7A}">
  <cacheSource type="worksheet">
    <worksheetSource ref="AI5:AM10" sheet="Analysis"/>
  </cacheSource>
  <cacheFields count="5">
    <cacheField name="Serial Number" numFmtId="0">
      <sharedItems containsSemiMixedTypes="0" containsString="0" containsNumber="1" containsInteger="1" minValue="160092" maxValue="201233"/>
    </cacheField>
    <cacheField name="Town" numFmtId="0">
      <sharedItems count="4">
        <s v="Rocky Hill"/>
        <s v="Cromwell"/>
        <s v="Greenwich"/>
        <s v="New London"/>
      </sharedItems>
    </cacheField>
    <cacheField name="Address" numFmtId="0">
      <sharedItems count="9">
        <s v="R"/>
        <s v="C"/>
        <s v="G"/>
        <s v="N"/>
        <s v="13D ROBBINS LANE" u="1"/>
        <s v="34      SHUNPIKE      ROAD" u="1"/>
        <s v="11 BAYBERRY LANE" u="1"/>
        <s v="83 MANSFIELD RD 228" u="1"/>
        <s v="83 MANSFIELD RD 220" u="1"/>
      </sharedItems>
    </cacheField>
    <cacheField name="Amount" numFmtId="0">
      <sharedItems containsSemiMixedTypes="0" containsString="0" containsNumber="1" containsInteger="1" minValue="30660" maxValue="4259500"/>
    </cacheField>
    <cacheField name="Property Type" numFmtId="0">
      <sharedItems containsSemiMixedTypes="0" containsString="0" containsNumber="1" minValue="1.0095081582345347" maxValue="302.32558139534882"/>
    </cacheField>
  </cacheFields>
  <extLst>
    <ext xmlns:x14="http://schemas.microsoft.com/office/spreadsheetml/2009/9/main" uri="{725AE2AE-9491-48be-B2B4-4EB974FC3084}">
      <x14:pivotCacheDefinition pivotCacheId="1172630245"/>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779.214047569447" createdVersion="8" refreshedVersion="8" minRefreshableVersion="3" recordCount="302" xr:uid="{4F20DF66-F068-4F42-8EF1-12671268DB46}">
  <cacheSource type="worksheet">
    <worksheetSource name="Table1_3__3"/>
  </cacheSource>
  <cacheFields count="17">
    <cacheField name="Serial Number" numFmtId="0">
      <sharedItems containsSemiMixedTypes="0" containsString="0" containsNumber="1" containsInteger="1" minValue="9347" maxValue="202000106"/>
    </cacheField>
    <cacheField name="Date Recorded" numFmtId="22">
      <sharedItems containsSemiMixedTypes="0" containsNonDate="0" containsDate="1" containsString="0" minDate="2006-12-11T00:00:00" maxDate="2021-10-01T00:00:00" count="255">
        <d v="2016-12-20T00:00:00"/>
        <d v="2021-04-26T00:00:00"/>
        <d v="2021-06-22T00:00:00"/>
        <d v="2018-05-01T00:00:00"/>
        <d v="2021-07-12T00:00:00"/>
        <d v="2021-02-17T00:00:00"/>
        <d v="2021-08-30T00:00:00"/>
        <d v="2021-07-20T00:00:00"/>
        <d v="2021-01-25T00:00:00"/>
        <d v="2021-07-19T00:00:00"/>
        <d v="2021-05-10T00:00:00"/>
        <d v="2021-07-02T00:00:00"/>
        <d v="2017-06-15T00:00:00"/>
        <d v="2021-07-28T00:00:00"/>
        <d v="2020-12-09T00:00:00"/>
        <d v="2020-10-06T00:00:00"/>
        <d v="2021-03-04T00:00:00"/>
        <d v="2021-02-05T00:00:00"/>
        <d v="2021-05-14T00:00:00"/>
        <d v="2021-09-16T00:00:00"/>
        <d v="2021-04-13T00:00:00"/>
        <d v="2021-03-30T00:00:00"/>
        <d v="2021-07-21T00:00:00"/>
        <d v="2020-11-10T00:00:00"/>
        <d v="2021-04-23T00:00:00"/>
        <d v="2021-01-28T00:00:00"/>
        <d v="2021-03-25T00:00:00"/>
        <d v="2021-08-27T00:00:00"/>
        <d v="2021-06-04T00:00:00"/>
        <d v="2021-09-07T00:00:00"/>
        <d v="2021-01-08T00:00:00"/>
        <d v="2020-10-16T00:00:00"/>
        <d v="2020-11-06T00:00:00"/>
        <d v="2021-08-06T00:00:00"/>
        <d v="2021-06-14T00:00:00"/>
        <d v="2021-06-18T00:00:00"/>
        <d v="2020-12-24T00:00:00"/>
        <d v="2021-01-22T00:00:00"/>
        <d v="2021-07-01T00:00:00"/>
        <d v="2021-09-28T00:00:00"/>
        <d v="2021-05-19T00:00:00"/>
        <d v="2008-03-03T00:00:00"/>
        <d v="2020-10-01T00:00:00"/>
        <d v="2017-06-14T00:00:00"/>
        <d v="2021-09-30T00:00:00"/>
        <d v="2021-03-29T00:00:00"/>
        <d v="2020-12-14T00:00:00"/>
        <d v="2008-09-11T00:00:00"/>
        <d v="2021-05-17T00:00:00"/>
        <d v="2015-06-02T00:00:00"/>
        <d v="2021-09-27T00:00:00"/>
        <d v="2021-03-01T00:00:00"/>
        <d v="2021-07-26T00:00:00"/>
        <d v="2021-04-28T00:00:00"/>
        <d v="2021-09-10T00:00:00"/>
        <d v="2014-09-08T00:00:00"/>
        <d v="2021-07-29T00:00:00"/>
        <d v="2016-05-04T00:00:00"/>
        <d v="2008-05-02T00:00:00"/>
        <d v="2020-11-05T00:00:00"/>
        <d v="2021-07-15T00:00:00"/>
        <d v="2017-09-07T00:00:00"/>
        <d v="2021-08-09T00:00:00"/>
        <d v="2021-03-08T00:00:00"/>
        <d v="2021-05-28T00:00:00"/>
        <d v="2021-03-22T00:00:00"/>
        <d v="2021-09-23T00:00:00"/>
        <d v="2020-10-02T00:00:00"/>
        <d v="2007-04-18T00:00:00"/>
        <d v="2017-09-27T00:00:00"/>
        <d v="2021-03-31T00:00:00"/>
        <d v="2021-03-18T00:00:00"/>
        <d v="2021-09-20T00:00:00"/>
        <d v="2021-01-26T00:00:00"/>
        <d v="2021-05-03T00:00:00"/>
        <d v="2021-08-12T00:00:00"/>
        <d v="2020-10-29T00:00:00"/>
        <d v="2021-09-15T00:00:00"/>
        <d v="2021-09-01T00:00:00"/>
        <d v="2020-10-13T00:00:00"/>
        <d v="2021-01-06T00:00:00"/>
        <d v="2017-09-14T00:00:00"/>
        <d v="2020-11-09T00:00:00"/>
        <d v="2010-09-07T00:00:00"/>
        <d v="2020-12-31T00:00:00"/>
        <d v="2021-03-16T00:00:00"/>
        <d v="2021-08-19T00:00:00"/>
        <d v="2021-06-07T00:00:00"/>
        <d v="2021-06-29T00:00:00"/>
        <d v="2021-08-04T00:00:00"/>
        <d v="2021-08-18T00:00:00"/>
        <d v="2021-08-10T00:00:00"/>
        <d v="2021-04-30T00:00:00"/>
        <d v="2020-10-28T00:00:00"/>
        <d v="2020-12-16T00:00:00"/>
        <d v="2020-11-23T00:00:00"/>
        <d v="2010-11-30T00:00:00"/>
        <d v="2021-02-19T00:00:00"/>
        <d v="2021-09-13T00:00:00"/>
        <d v="2017-09-01T00:00:00"/>
        <d v="2021-06-17T00:00:00"/>
        <d v="2017-05-19T00:00:00"/>
        <d v="2021-07-13T00:00:00"/>
        <d v="2020-10-09T00:00:00"/>
        <d v="2021-03-12T00:00:00"/>
        <d v="2021-01-04T00:00:00"/>
        <d v="2020-12-21T00:00:00"/>
        <d v="2020-12-29T00:00:00"/>
        <d v="2017-05-09T00:00:00"/>
        <d v="2009-03-25T00:00:00"/>
        <d v="2008-05-19T00:00:00"/>
        <d v="2021-04-08T00:00:00"/>
        <d v="2021-04-16T00:00:00"/>
        <d v="2021-04-12T00:00:00"/>
        <d v="2010-06-02T00:00:00"/>
        <d v="2021-06-21T00:00:00"/>
        <d v="2016-11-01T00:00:00"/>
        <d v="2021-03-03T00:00:00"/>
        <d v="2009-10-20T00:00:00"/>
        <d v="2009-12-03T00:00:00"/>
        <d v="2020-10-20T00:00:00"/>
        <d v="2021-09-14T00:00:00"/>
        <d v="2010-11-18T00:00:00"/>
        <d v="2017-12-20T00:00:00"/>
        <d v="2021-09-09T00:00:00"/>
        <d v="2007-12-10T00:00:00"/>
        <d v="2021-05-21T00:00:00"/>
        <d v="2021-01-07T00:00:00"/>
        <d v="2007-12-31T00:00:00"/>
        <d v="2018-04-13T00:00:00"/>
        <d v="2021-06-10T00:00:00"/>
        <d v="2020-12-18T00:00:00"/>
        <d v="2010-06-30T00:00:00"/>
        <d v="2009-11-25T00:00:00"/>
        <d v="2021-09-02T00:00:00"/>
        <d v="2021-05-13T00:00:00"/>
        <d v="2010-10-04T00:00:00"/>
        <d v="2021-02-18T00:00:00"/>
        <d v="2007-10-12T00:00:00"/>
        <d v="2021-05-18T00:00:00"/>
        <d v="2020-11-02T00:00:00"/>
        <d v="2017-09-11T00:00:00"/>
        <d v="2020-10-22T00:00:00"/>
        <d v="2008-03-14T00:00:00"/>
        <d v="2021-07-06T00:00:00"/>
        <d v="2017-06-19T00:00:00"/>
        <d v="2009-10-01T00:00:00"/>
        <d v="2021-08-31T00:00:00"/>
        <d v="2008-07-21T00:00:00"/>
        <d v="2021-05-20T00:00:00"/>
        <d v="2021-01-21T00:00:00"/>
        <d v="2017-07-14T00:00:00"/>
        <d v="2020-11-16T00:00:00"/>
        <d v="2018-04-18T00:00:00"/>
        <d v="2021-02-12T00:00:00"/>
        <d v="2009-11-19T00:00:00"/>
        <d v="2021-03-09T00:00:00"/>
        <d v="2021-02-04T00:00:00"/>
        <d v="2008-02-26T00:00:00"/>
        <d v="2021-06-15T00:00:00"/>
        <d v="2017-08-04T00:00:00"/>
        <d v="2021-05-24T00:00:00"/>
        <d v="2021-05-06T00:00:00"/>
        <d v="2017-01-06T00:00:00"/>
        <d v="2010-05-03T00:00:00"/>
        <d v="2007-06-19T00:00:00"/>
        <d v="2011-02-22T00:00:00"/>
        <d v="2008-01-25T00:00:00"/>
        <d v="2014-06-05T00:00:00"/>
        <d v="2020-11-20T00:00:00"/>
        <d v="2021-02-22T00:00:00"/>
        <d v="2017-04-20T00:00:00"/>
        <d v="2021-01-14T00:00:00"/>
        <d v="2008-05-28T00:00:00"/>
        <d v="2017-08-29T00:00:00"/>
        <d v="2017-11-27T00:00:00"/>
        <d v="2021-03-11T00:00:00"/>
        <d v="2011-06-29T00:00:00"/>
        <d v="2009-11-24T00:00:00"/>
        <d v="2010-12-22T00:00:00"/>
        <d v="2021-07-08T00:00:00"/>
        <d v="2009-07-21T00:00:00"/>
        <d v="2008-08-29T00:00:00"/>
        <d v="2019-02-27T00:00:00"/>
        <d v="2020-10-08T00:00:00"/>
        <d v="2017-07-26T00:00:00"/>
        <d v="2007-08-24T00:00:00"/>
        <d v="2013-07-08T00:00:00"/>
        <d v="2020-04-29T00:00:00"/>
        <d v="2009-12-01T00:00:00"/>
        <d v="2021-06-08T00:00:00"/>
        <d v="2021-06-03T00:00:00"/>
        <d v="2009-12-30T00:00:00"/>
        <d v="2015-10-28T00:00:00"/>
        <d v="2010-10-22T00:00:00"/>
        <d v="2006-12-11T00:00:00"/>
        <d v="2010-02-23T00:00:00"/>
        <d v="2017-11-30T00:00:00"/>
        <d v="2021-04-06T00:00:00"/>
        <d v="2015-06-24T00:00:00"/>
        <d v="2016-05-02T00:00:00"/>
        <d v="2014-03-11T00:00:00"/>
        <d v="2021-05-04T00:00:00"/>
        <d v="2010-06-03T00:00:00"/>
        <d v="2015-07-13T00:00:00"/>
        <d v="2021-01-11T00:00:00"/>
        <d v="2017-08-17T00:00:00"/>
        <d v="2017-06-30T00:00:00"/>
        <d v="2014-09-26T00:00:00"/>
        <d v="2016-10-13T00:00:00"/>
        <d v="2008-03-20T00:00:00"/>
        <d v="2016-12-05T00:00:00"/>
        <d v="2021-05-12T00:00:00"/>
        <d v="2011-02-25T00:00:00"/>
        <d v="2011-07-07T00:00:00"/>
        <d v="2009-10-19T00:00:00"/>
        <d v="2009-06-03T00:00:00"/>
        <d v="2017-07-10T00:00:00"/>
        <d v="2019-01-24T00:00:00"/>
        <d v="2010-09-10T00:00:00"/>
        <d v="2018-05-14T00:00:00"/>
        <d v="2013-09-13T00:00:00"/>
        <d v="2017-02-01T00:00:00"/>
        <d v="2017-07-18T00:00:00"/>
        <d v="2021-08-23T00:00:00"/>
        <d v="2020-12-20T00:00:00"/>
        <d v="2021-08-16T00:00:00"/>
        <d v="2021-06-23T00:00:00"/>
        <d v="2010-07-01T00:00:00"/>
        <d v="2017-02-16T00:00:00"/>
        <d v="2017-06-21T00:00:00"/>
        <d v="2021-05-27T00:00:00"/>
        <d v="2009-12-02T00:00:00"/>
        <d v="2021-01-27T00:00:00"/>
        <d v="2010-07-12T00:00:00"/>
        <d v="2020-03-02T00:00:00"/>
        <d v="2018-01-31T00:00:00"/>
        <d v="2017-08-10T00:00:00"/>
        <d v="2019-06-07T00:00:00"/>
        <d v="2011-08-10T00:00:00"/>
        <d v="2011-06-06T00:00:00"/>
        <d v="2018-05-24T00:00:00"/>
        <d v="2007-05-25T00:00:00"/>
        <d v="2019-05-21T00:00:00"/>
        <d v="2021-01-05T00:00:00"/>
        <d v="2021-07-16T00:00:00" u="1"/>
        <d v="2011-05-24T00:00:00" u="1"/>
        <d v="2010-05-10T00:00:00" u="1"/>
        <d v="2010-10-29T00:00:00" u="1"/>
        <d v="2011-01-26T00:00:00" u="1"/>
        <d v="2010-08-18T00:00:00" u="1"/>
        <d v="2010-11-17T00:00:00" u="1"/>
        <d v="2013-02-14T00:00:00" u="1"/>
        <d v="2014-02-28T00:00:00" u="1"/>
        <d v="2020-04-06T00:00:00" u="1"/>
      </sharedItems>
      <fieldGroup par="16"/>
    </cacheField>
    <cacheField name="Month Name" numFmtId="0">
      <sharedItems count="12">
        <s v="December"/>
        <s v="April"/>
        <s v="June"/>
        <s v="May"/>
        <s v="July"/>
        <s v="February"/>
        <s v="August"/>
        <s v="January"/>
        <s v="October"/>
        <s v="March"/>
        <s v="September"/>
        <s v="November"/>
      </sharedItems>
    </cacheField>
    <cacheField name="Year" numFmtId="0">
      <sharedItems containsSemiMixedTypes="0" containsString="0" containsNumber="1" containsInteger="1" minValue="2006" maxValue="2021" count="15">
        <n v="2016"/>
        <n v="2021"/>
        <n v="2018"/>
        <n v="2017"/>
        <n v="2020"/>
        <n v="2008"/>
        <n v="2015"/>
        <n v="2014"/>
        <n v="2007"/>
        <n v="2010"/>
        <n v="2009"/>
        <n v="2011"/>
        <n v="2019"/>
        <n v="2013"/>
        <n v="2006"/>
      </sharedItems>
    </cacheField>
    <cacheField name="Month/Year" numFmtId="0">
      <sharedItems/>
    </cacheField>
    <cacheField name="Town" numFmtId="0">
      <sharedItems count="106">
        <s v="Rocky Hill"/>
        <s v="Cromwell"/>
        <s v="Greenwich"/>
        <s v="New London"/>
        <s v="Danbury"/>
        <s v="New Canaan"/>
        <s v="Washington"/>
        <s v="Redding"/>
        <s v="East Lyme"/>
        <s v="Avon"/>
        <s v="Stamford"/>
        <s v="Groton"/>
        <s v="Norwich"/>
        <s v="Newtown"/>
        <s v="Trumbull"/>
        <s v="Derby"/>
        <s v="New Haven"/>
        <s v="Plymouth"/>
        <s v="Manchester"/>
        <s v="Bethany"/>
        <s v="Westbrook"/>
        <s v="Waterford"/>
        <s v="Branford"/>
        <s v="Berlin"/>
        <s v="Stratford"/>
        <s v="Killingworth"/>
        <s v="Canaan"/>
        <s v="Monroe"/>
        <s v="Roxbury"/>
        <s v="Old Saybrook"/>
        <s v="Orange"/>
        <s v="Farmington"/>
        <s v="Shelton"/>
        <s v="Hartford"/>
        <s v="Glastonbury"/>
        <s v="Essex"/>
        <s v="Fairfield"/>
        <s v="Southbury"/>
        <s v="Sharon"/>
        <s v="West Hartford"/>
        <s v="Guilford"/>
        <s v="Coventry"/>
        <s v="New Hartford"/>
        <s v="New Britain"/>
        <s v="Norwalk"/>
        <s v="North Haven"/>
        <s v="Stonington"/>
        <s v="Ashford"/>
        <s v="Chester"/>
        <s v="Enfield"/>
        <s v="Colchester"/>
        <s v="Cornwall"/>
        <s v="Simsbury"/>
        <s v="Cheshire"/>
        <s v="Plainfield"/>
        <s v="Harwinton"/>
        <s v="Bethlehem"/>
        <s v="Mansfield"/>
        <s v="Thomaston"/>
        <s v="Bethel"/>
        <s v="Ansonia"/>
        <s v="Milford"/>
        <s v="Wallingford"/>
        <s v="Wethersfield"/>
        <s v="Meriden"/>
        <s v="Griswold"/>
        <s v="Vernon"/>
        <s v="Bristol"/>
        <s v="East Hampton"/>
        <s v="Canton"/>
        <s v="Naugatuck"/>
        <s v="Hamden"/>
        <s v="Suffield"/>
        <s v="Madison"/>
        <s v="Sterling"/>
        <s v="Bloomfield"/>
        <s v="Newington"/>
        <s v="W Hartford"/>
        <s v="Darien"/>
        <s v="New Fairfield"/>
        <s v="Windsor"/>
        <s v="Lebanon"/>
        <s v="Torrington"/>
        <s v="Watertown"/>
        <s v="Portland"/>
        <s v="Franklin"/>
        <s v="Litchfield"/>
        <s v="East Haven"/>
        <s v="West Haven"/>
        <s v="Brookfield"/>
        <s v="Putnam"/>
        <s v="Bridgeport"/>
        <s v="Middletown"/>
        <s v="Woodstock"/>
        <s v="Waterbury"/>
        <s v="Killingly"/>
        <s v="East Granby"/>
        <s v="North Branford"/>
        <s v="Ridgefield"/>
        <s v="Ledyard"/>
        <s v="South Windsor"/>
        <s v="Winchester"/>
        <s v="Southington"/>
        <s v="Tolland"/>
        <s v="Plainville"/>
        <s v="East Hartford"/>
      </sharedItems>
    </cacheField>
    <cacheField name="Town Initials" numFmtId="0">
      <sharedItems count="19">
        <s v="R"/>
        <s v="C"/>
        <s v="G"/>
        <s v="N"/>
        <s v="D"/>
        <s v="W"/>
        <s v="E"/>
        <s v="A"/>
        <s v="S"/>
        <s v="T"/>
        <s v="P"/>
        <s v="M"/>
        <s v="B"/>
        <s v="K"/>
        <s v="O"/>
        <s v="F"/>
        <s v="H"/>
        <s v="V"/>
        <s v="L"/>
      </sharedItems>
    </cacheField>
    <cacheField name="Address" numFmtId="0">
      <sharedItems count="302">
        <s v="13D ROBBINS LANE"/>
        <s v="34      SHUNPIKE      ROAD"/>
        <s v="11 BAYBERRY LANE"/>
        <s v="83 MANSFIELD RD 228"/>
        <s v="83 MANSFIELD RD 220"/>
        <s v="28 MAIN ST"/>
        <s v="123 VALLEY DRIVE"/>
        <s v="322 MAIN ST"/>
        <s v="552 RIVER ROAD"/>
        <s v="136 OLD LITCHFIELD RD"/>
        <s v="241 ETHAN ALLEN HIGHWAY"/>
        <s v="9 FREEDOM WAY"/>
        <s v="70 FAR HILLS DRIVE"/>
        <s v="12 DRYDEN STREET 1B"/>
        <s v="20 EAST LYON FARM DRIVE"/>
        <s v="57 FAR HILLS DRIVE"/>
        <s v="98 EAST SHORE AVE"/>
        <s v="385 ERSKINE ROAD"/>
        <s v="287-291 MAIN ST"/>
        <s v="52 ORCHARD STREET"/>
        <s v="3 SHORT HILL ROAD"/>
        <s v="12 ROSEVIEW COURT"/>
        <s v="111 NORTHINGTON DRIVE"/>
        <s v="196 ELIZABETH ST"/>
        <s v="40 TEMPLE CT # 40"/>
        <s v="11 LYNAM ROAD"/>
        <s v="116 ROCKY BROOK RD"/>
        <s v="325 MAIN ST"/>
        <s v="28 VERNON PLACE"/>
        <s v="200 SHELDON ROAD"/>
        <s v="34 FIFTH STREET"/>
        <s v="23 AMITY RD"/>
        <s v="56 ETHAN ALLEN LANE"/>
        <s v="16 SILVER BROOK LANE"/>
        <s v="61 SEAVIEW AVENUE # 1"/>
        <s v="70 ATLANTIC AVE"/>
        <s v="6 BELHAVEN"/>
        <s v="104 CHAPMAN BEACH RD"/>
        <s v="4 DONNA ST"/>
        <s v="130 NORTH WATER STREET"/>
        <s v="34 SUNRISE COVE CAMP"/>
        <s v="216 WATCH HILL RD"/>
        <s v="1156 STILLWATER ROAD"/>
        <s v="4 TYLER AVE"/>
        <s v="2318 MAIN STREET"/>
        <s v="119 MONTOWESE ST"/>
        <s v="46 TITUS COAN ROAD"/>
        <s v="93 MAIN ST"/>
        <s v="17 PEQUOT CT"/>
        <s v="20 CHURCH ST"/>
        <s v="81 COULTER ST #14"/>
        <s v="387 TIMBERLANE DR"/>
        <s v="17 OHEHYAHTAH PL"/>
        <s v="15 MALS WAY"/>
        <s v="11 RUSHBROOKE LN"/>
        <s v="37 CROSS ROAD"/>
        <s v="1707 SUMMER STREET UT 3"/>
        <s v="25 CROWN ST"/>
        <s v="1103 RENAISSANCE"/>
        <s v="410 MARKET ST"/>
        <s v="38 MONTAUK WAY"/>
        <s v="14 ESSEX GLEN DR #12"/>
        <s v="27 SEA CREST AVE"/>
        <s v="48 GATE RIDGE ROAD"/>
        <s v="2005 PURCHASE BROOK RD"/>
        <s v="157 HANOVER ROAD"/>
        <s v="9 GREAT ELM DR #1"/>
        <s v="25 CASSANDRA BLVD #304"/>
        <s v="2 WINTERBERRY RD"/>
        <s v="1467 SOUTH       ST"/>
        <s v="9 SYLVESTERS WAY"/>
        <s v="82 NILES ROAD"/>
        <s v="94 NORTH STOWE PLACE"/>
        <s v="150 GOLD ST"/>
        <s v="29 GREGORY BLVD"/>
        <s v="108 MULHOLLAND WAY"/>
        <s v="1301 MAIN ST"/>
        <s v="12 CUTTER DR"/>
        <s v="390 TURNPIKE RD"/>
        <s v="33 NORTH WATER ST"/>
        <s v="101 GROVE STREET G-17"/>
        <s v="35 DEER LA"/>
        <s v="8 N EDGEWOOD RD"/>
        <s v="29 WALNUT AVE"/>
        <s v="6 SUNSET AVE"/>
        <s v="15 SALERNO DR"/>
        <s v="18 BUNGALOW PARK"/>
        <s v="5 ARCH ST"/>
        <s v="758A QUINNIPIAC LANE"/>
        <s v="160 SHADBUSH DR"/>
        <s v="3 CARLISE LN"/>
        <s v="131 KENT RD"/>
        <s v="233 KENROSE TER"/>
        <s v="172-176 CORAM AVE"/>
        <s v="61 SEAVIEW AVENUE D-39"/>
        <s v="2C MILL PONDO LANE"/>
        <s v="14 WOODLAWN DR"/>
        <s v="98 BRADFORD WALK"/>
        <s v="8 TURNER AVE"/>
        <s v="50 ABBEY CT"/>
        <s v="20 GIDDINGS ST"/>
        <s v="404 PLAINFIELD PIKE RD"/>
        <s v="167 BIRGE PARK RD"/>
        <s v="12 KELLY DR"/>
        <s v="1400 BEDFORD STREET #4"/>
        <s v="17 HADIK PKWY"/>
        <s v="39 WOODLAND RD"/>
        <s v="112-116 MAIN ST"/>
        <s v="156 HILLYNDALE RD"/>
        <s v="197 BRIDGE STREET # 3"/>
        <s v="97 TWIN POND RD"/>
        <s v="16 DEEPWOOD DRIVE"/>
        <s v="49 WHITE PLAINS RD"/>
        <s v="188 FLAX HILL RD UNIT B/6"/>
        <s v="8 PADDOCK LN"/>
        <s v="82 WHITE AVENUE"/>
        <s v="230 WAKELEE AVE"/>
        <s v="4 COOPER RD"/>
        <s v="16 SEABREEZE AVE"/>
        <s v="47 OLDE VILLAGE CIR"/>
        <s v="938 RIDGE RD"/>
        <s v="71 AIKEN ST"/>
        <s v="22 FERNWOOD ST"/>
        <s v="8 SHANNON DR"/>
        <s v="41 SUNNY LANE"/>
        <s v="5                    2 ROYAL OAK CIR"/>
        <s v="23 TIMBERWOOD ROAD"/>
        <s v="22 MEADOWVIEW TER"/>
        <s v="1838 ASYLUM AVENUE"/>
        <s v="22 CROSS RD"/>
        <s v="90 MONTAUK DR"/>
        <s v="391 TIFFANY LA"/>
        <s v="511 WEST MAIN STREET # 11"/>
        <s v="37 FOREST GLEN DR"/>
        <s v="25 ANGELA DR"/>
        <s v="3 BRADLEY WAY"/>
        <s v="101 MILLERTON RD"/>
        <s v="152 GREEN ROAD"/>
        <s v="52 COUNTRY LANE"/>
        <s v="245 SUNNYRIDGE AVENUE UNIT#16"/>
        <s v="159 RUSS ST"/>
        <s v="300 BROAD STREET # 502"/>
        <s v="31 PILGRIM LN"/>
        <s v="653B OSAGE LANE"/>
        <s v="1151 WHITNEY AVE UB4"/>
        <s v="13 LANTERN LN"/>
        <s v="930 BRANCH RD"/>
        <s v="223 REYNOLDS DR"/>
        <s v="15 SCUPPO RD 1503"/>
        <s v="5B YANKEE GLEN DRIVE"/>
        <s v="215 NOTT ST"/>
        <s v="174 CHURCH ST"/>
        <s v="95 AUDUBON ST UNIT 38"/>
        <s v="24 BRETTONWOOD DRIVE"/>
        <s v="9 SADDLE RIDGE"/>
        <s v="609 CAMP ST"/>
        <s v="31 EATON ST"/>
        <s v="6 MALLARD LN"/>
        <s v="104 BREWSTER RD"/>
        <s v="74 LAKEVIEW DR"/>
        <s v="24 WOODBURY LN"/>
        <s v="54 GIDEON LANE"/>
        <s v="10 BROOK DR"/>
        <s v="106 RAFFIA RD"/>
        <s v="86 MERRIMAC ST B"/>
        <s v="310 ELY AVE H"/>
        <s v="13 LAST LEAF CIR"/>
        <s v="103 LEWIS RD"/>
        <s v="402 THE MEWS"/>
        <s v="15-17 BOUGHTON ST #1-5"/>
        <s v="4C EDGEWATER"/>
        <s v="54 FIRST ST"/>
        <s v="916 QUINNIPIAC AVE #31"/>
        <s v="27 TRACY DRIVE"/>
        <s v="2651 TORRINGFORD W ST"/>
        <s v="37 ROSE COURT"/>
        <s v="23 PARKMORE ST"/>
        <s v="12 CHARLES ST"/>
        <s v="55 STERLING ST"/>
        <s v="724 GLASTONBURY TPKE"/>
        <s v="8 BROOKVIEW CIRCLE"/>
        <s v="126 WASHINGTON ST UNIT R203"/>
        <s v="30A HAPPY HOLLOW CIR"/>
        <s v="889 CONGRESS AV"/>
        <s v="144 MILL LN #144"/>
        <s v="888 ROUTE 32"/>
        <s v="12 FAIRWAY DR"/>
        <s v="844 HIGHLAND AVE"/>
        <s v="30-32 GREENE AVE"/>
        <s v="25 GRAND ST"/>
        <s v="68 BEACH ST"/>
        <s v="95 LAURELS B20UD"/>
        <s v="0 SUMMER STREET #116-2A"/>
        <s v="464 MULBERRY ST"/>
        <s v="8 BUTTERNIUT LANE"/>
        <s v="41 ANDERSON ST"/>
        <s v="59 HIGHCREST DRIVE"/>
        <s v="400 BANK ST UNIT 201"/>
        <s v="769 DIXWELL AV"/>
        <s v="140 THOMPSON ST #9C"/>
        <s v="808 A HERITAGE VILLAGE"/>
        <s v="104 MAPLE AVE"/>
        <s v="33 FAIRCHILD ST"/>
        <s v="25 WARD ST"/>
        <s v="44 STRAWBERRY HILL AVE #3P"/>
        <s v="75 HILLTOP DRIVE"/>
        <s v="3371 MAIN ST"/>
        <s v="5 CHESTNUT DRIVE"/>
        <s v="186 SEATON ROAD # 22-C3"/>
        <s v="251 NEW BRITAIN AVE"/>
        <s v="225 BEACH ST UT 1G"/>
        <s v="15 APPLEWOOD CONDO"/>
        <s v="191 SPRING ST"/>
        <s v="71 CANDLEWOOD DR"/>
        <s v="459 BLATCHLEY AV"/>
        <s v="72 HOMESTEAD LN"/>
        <s v="28 STANLEY ST"/>
        <s v="329 A HERITAGE VILLAGE"/>
        <s v="4 CHELTENHAM CT"/>
        <s v="74 SHEPARD AVE."/>
        <s v="9B BARRINGTON DR"/>
        <s v="103 CEDAR KNOLLS"/>
        <s v="26 BRANFORD ST"/>
        <s v="32 HIGHLAND TERR"/>
        <s v="166 OLD BROOKFIELD RD #27B1"/>
        <s v="893 FARMINGTON AVE 2-2E"/>
        <s v="70 SPRINGBROOK RD"/>
        <s v="64 MILFORD ROAD"/>
        <s v="4 CHELSEA CT"/>
        <s v="55 MILL PLAIN RD #33-3"/>
        <s v="257 SABIN ST #18"/>
        <s v="406 THOREAU ST"/>
        <s v="9 LESLIE COURT"/>
        <s v="18 PROSPECT ST"/>
        <s v="166 KENNEDY DR"/>
        <s v="45 SAVIN PARK"/>
        <s v="94 CYNTHIA LA #B-6"/>
        <s v="2 WOODSTOCK HILLS"/>
        <s v="18 CAMP ST"/>
        <s v="30 GRANITE RD"/>
        <s v="55 FOREST AV"/>
        <s v="152 NORTH ST"/>
        <s v="210 STONEFIELD DR #48"/>
        <s v="418 WOODWARD AVE UNIT 16"/>
        <s v="32 CHELSEA LANE"/>
        <s v="6B ROCKLEDGE"/>
        <s v="19 TERRACE GDNS"/>
        <s v="28 STERLING VLG"/>
        <s v="375 CAPT THOMAS BLVD #14"/>
        <s v="55      THOMPSON ST #5A"/>
        <s v="154 COTTONWOOD ROAD"/>
        <s v="94 SOUTHMAYD RD #3"/>
        <s v="160 SUFFOLK CT"/>
        <s v="42 SILO WAY"/>
        <s v="67 LEAFWOOD LN S250"/>
        <s v="108 LIBRARY LANE"/>
        <s v="5 WOODSTOCK MEADOWS"/>
        <s v="229 BRANFORD RD #222"/>
        <s v="12 CARPENTER CLOSE"/>
        <s v="5D CARILLON DRIVE"/>
        <s v="306 SALEM TPKE UNIT#4"/>
        <s v="442 EVERGREEN RD"/>
        <s v="156 WYNWOOD DR"/>
        <s v="29A CARILLON DRIVE"/>
        <s v="3N LAKESIDE DR"/>
        <s v="194 LEDGE DR"/>
        <s v="4 COPPER BEECH DRIVE"/>
        <s v="26 COOPER ST"/>
        <s v="35 RUTH ST #60"/>
        <s v="11-A4 BYRNE COURT"/>
        <s v="13 HOLT ST #4"/>
        <s v="1622 FARMINGTON AV UNIT 11"/>
        <s v="73 B HERITAGE VILLAGE"/>
        <s v="333 VINCELLETTE ST UNIT 82"/>
        <s v="155 BULL HILL LA #S2"/>
        <s v="50 GREENHOUSE RD UNIT 57C"/>
        <s v="44 FRONT ST"/>
        <s v="23-D AMATO DR"/>
        <s v="30 SEYMOUR RD UNIT C-2"/>
        <s v="230 E WAKEFIELD BLVD"/>
        <s v="22 VILLAGE RD"/>
        <s v="8 JENNINGS TERR"/>
        <s v="H2 TOLLAND MEADOWS"/>
        <s v="492 EAST ST B-36"/>
        <s v="D3 TOLLAND MEADOWS"/>
        <s v="140 KANE ST B1"/>
        <s v="22 GLENBROOK ROAD # 103"/>
        <s v="270 D HERITAGE VILLAGE"/>
        <s v="7 CARRIAGE CRSNG"/>
        <s v="165-53 SOUTH ST"/>
        <s v="130 COE AVE #51"/>
        <s v="192 MAYBURY CIRCLE #5"/>
        <s v="1424 THOMASTON AVE #2"/>
        <s v="120 HUNTINGTON TPKE UNIT 708"/>
        <s v="1913 OLD POND LN"/>
        <s v="265-A TEXAS AVE"/>
        <s v="233 ELLINGTON RD #312"/>
        <s v="29 MORRIS ST. UNIT M29C"/>
        <s v="755 WETHERSFIELD AV UNIT B2"/>
        <s v="21 THIRD ST UT 6B"/>
        <s v="1203 ELLA T GRASSO BLVD # B"/>
        <s v="57 HARBOR DRIVE GARAGE G-105B"/>
      </sharedItems>
    </cacheField>
    <cacheField name="Assessed Value" numFmtId="0">
      <sharedItems containsSemiMixedTypes="0" containsString="0" containsNumber="1" containsInteger="1" minValue="8190" maxValue="4259500"/>
    </cacheField>
    <cacheField name="Sale Amount" numFmtId="44">
      <sharedItems containsSemiMixedTypes="0" containsString="0" containsNumber="1" containsInteger="1" minValue="27500" maxValue="13650000" count="229">
        <n v="13650000"/>
        <n v="5214750"/>
        <n v="4300000"/>
        <n v="3266250"/>
        <n v="3200000"/>
        <n v="3000000"/>
        <n v="2400000"/>
        <n v="2300000"/>
        <n v="2285000"/>
        <n v="1800000"/>
        <n v="1525000"/>
        <n v="1447500"/>
        <n v="1323338"/>
        <n v="1250000"/>
        <n v="990000"/>
        <n v="950000"/>
        <n v="939000"/>
        <n v="930000"/>
        <n v="910000"/>
        <n v="905000"/>
        <n v="890000"/>
        <n v="873000"/>
        <n v="850000"/>
        <n v="833111"/>
        <n v="810000"/>
        <n v="800000"/>
        <n v="795000"/>
        <n v="785000"/>
        <n v="779000"/>
        <n v="755000"/>
        <n v="742500"/>
        <n v="740000"/>
        <n v="725000"/>
        <n v="710000"/>
        <n v="705000"/>
        <n v="700000"/>
        <n v="677500"/>
        <n v="652000"/>
        <n v="650000"/>
        <n v="645000"/>
        <n v="599000"/>
        <n v="575000"/>
        <n v="572500"/>
        <n v="550000"/>
        <n v="542500"/>
        <n v="533350"/>
        <n v="526000"/>
        <n v="525000"/>
        <n v="520000"/>
        <n v="517000"/>
        <n v="515000"/>
        <n v="510000"/>
        <n v="508000"/>
        <n v="505000"/>
        <n v="487710"/>
        <n v="480000"/>
        <n v="476549"/>
        <n v="460000"/>
        <n v="451000"/>
        <n v="450000"/>
        <n v="443165"/>
        <n v="439900"/>
        <n v="435000"/>
        <n v="430000"/>
        <n v="429000"/>
        <n v="427500"/>
        <n v="425000"/>
        <n v="421000"/>
        <n v="420000"/>
        <n v="418800"/>
        <n v="410000"/>
        <n v="400000"/>
        <n v="395000"/>
        <n v="392000"/>
        <n v="390500"/>
        <n v="385000"/>
        <n v="382000"/>
        <n v="375000"/>
        <n v="373000"/>
        <n v="372000"/>
        <n v="370000"/>
        <n v="369900"/>
        <n v="365000"/>
        <n v="360000"/>
        <n v="355000"/>
        <n v="352000"/>
        <n v="345000"/>
        <n v="342500"/>
        <n v="337500"/>
        <n v="335000"/>
        <n v="330000"/>
        <n v="327900"/>
        <n v="325000"/>
        <n v="320000"/>
        <n v="315000"/>
        <n v="313000"/>
        <n v="310000"/>
        <n v="307000"/>
        <n v="305000"/>
        <n v="302000"/>
        <n v="300000"/>
        <n v="299000"/>
        <n v="292500"/>
        <n v="289900"/>
        <n v="287000"/>
        <n v="282500"/>
        <n v="280000"/>
        <n v="278500"/>
        <n v="278000"/>
        <n v="276500"/>
        <n v="276000"/>
        <n v="275000"/>
        <n v="270000"/>
        <n v="261000"/>
        <n v="260000"/>
        <n v="257500"/>
        <n v="255000"/>
        <n v="252500"/>
        <n v="252000"/>
        <n v="250000"/>
        <n v="249900"/>
        <n v="249000"/>
        <n v="248000"/>
        <n v="245000"/>
        <n v="244000"/>
        <n v="241368"/>
        <n v="240000"/>
        <n v="239900"/>
        <n v="238521"/>
        <n v="235000"/>
        <n v="234900"/>
        <n v="230000"/>
        <n v="229900"/>
        <n v="227000"/>
        <n v="226800"/>
        <n v="225005"/>
        <n v="225000"/>
        <n v="223000"/>
        <n v="220000"/>
        <n v="217500"/>
        <n v="215000"/>
        <n v="214000"/>
        <n v="210000"/>
        <n v="209000"/>
        <n v="204900"/>
        <n v="204000"/>
        <n v="200000"/>
        <n v="196000"/>
        <n v="195000"/>
        <n v="193500"/>
        <n v="193000"/>
        <n v="191000"/>
        <n v="190000"/>
        <n v="185000"/>
        <n v="184500"/>
        <n v="183000"/>
        <n v="180450"/>
        <n v="180000"/>
        <n v="179900"/>
        <n v="176500"/>
        <n v="175000"/>
        <n v="173700"/>
        <n v="173000"/>
        <n v="170000"/>
        <n v="169900"/>
        <n v="169000"/>
        <n v="167450"/>
        <n v="165000"/>
        <n v="163300"/>
        <n v="162800"/>
        <n v="161000"/>
        <n v="160000"/>
        <n v="157000"/>
        <n v="156000"/>
        <n v="155000"/>
        <n v="154500"/>
        <n v="153500"/>
        <n v="153000"/>
        <n v="151000"/>
        <n v="150000"/>
        <n v="149850"/>
        <n v="146000"/>
        <n v="144900"/>
        <n v="143800"/>
        <n v="143000"/>
        <n v="142650"/>
        <n v="140000"/>
        <n v="139900"/>
        <n v="135000"/>
        <n v="133000"/>
        <n v="130000"/>
        <n v="128866"/>
        <n v="128300"/>
        <n v="127000"/>
        <n v="125500"/>
        <n v="125000"/>
        <n v="124500"/>
        <n v="124000"/>
        <n v="122500"/>
        <n v="122000"/>
        <n v="120000"/>
        <n v="115000"/>
        <n v="112500"/>
        <n v="110000"/>
        <n v="108000"/>
        <n v="107500"/>
        <n v="107000"/>
        <n v="105000"/>
        <n v="100000"/>
        <n v="95000"/>
        <n v="91000"/>
        <n v="90000"/>
        <n v="89900"/>
        <n v="86000"/>
        <n v="85000"/>
        <n v="82000"/>
        <n v="74000"/>
        <n v="73000"/>
        <n v="65000"/>
        <n v="61000"/>
        <n v="59000"/>
        <n v="55000"/>
        <n v="52000"/>
        <n v="50000"/>
        <n v="42000"/>
        <n v="38500"/>
        <n v="33000"/>
        <n v="30000"/>
        <n v="27500"/>
      </sharedItems>
    </cacheField>
    <cacheField name="Sales Ratio" numFmtId="0">
      <sharedItems containsSemiMixedTypes="0" containsString="0" containsNumber="1" minValue="3.3076920000000001E-3" maxValue="0.99050000000000005"/>
    </cacheField>
    <cacheField name="Sales Ratio 2" numFmtId="0">
      <sharedItems containsSemiMixedTypes="0" containsString="0" containsNumber="1" minValue="1.0095081582345347" maxValue="302.32558139534882"/>
    </cacheField>
    <cacheField name="Property Type" numFmtId="0">
      <sharedItems count="4">
        <s v="Condo"/>
        <s v="Commercial"/>
        <s v="Residential"/>
        <s v="Apartments"/>
      </sharedItems>
    </cacheField>
    <cacheField name="Value Status" numFmtId="0">
      <sharedItems count="2">
        <s v="Overvalued"/>
        <s v="Undervalued"/>
      </sharedItems>
    </cacheField>
    <cacheField name="Column1" numFmtId="0">
      <sharedItems containsNonDate="0" containsString="0" containsBlank="1"/>
    </cacheField>
    <cacheField name="Months (Date Recorded)" numFmtId="0" databaseField="0">
      <fieldGroup base="1">
        <rangePr groupBy="months" startDate="2006-12-11T00:00:00" endDate="2021-10-01T00:00:00"/>
        <groupItems count="14">
          <s v="&lt;12/11/2006"/>
          <s v="Jan"/>
          <s v="Feb"/>
          <s v="Mar"/>
          <s v="Apr"/>
          <s v="May"/>
          <s v="Jun"/>
          <s v="Jul"/>
          <s v="Aug"/>
          <s v="Sep"/>
          <s v="Oct"/>
          <s v="Nov"/>
          <s v="Dec"/>
          <s v="&gt;10/1/2021"/>
        </groupItems>
      </fieldGroup>
    </cacheField>
    <cacheField name="Years (Date Recorded)" numFmtId="0" databaseField="0">
      <fieldGroup base="1">
        <rangePr groupBy="years" startDate="2006-12-11T00:00:00" endDate="2021-10-01T00:00:00"/>
        <groupItems count="18">
          <s v="&lt;12/11/2006"/>
          <s v="2006"/>
          <s v="2007"/>
          <s v="2008"/>
          <s v="2009"/>
          <s v="2010"/>
          <s v="2011"/>
          <s v="2012"/>
          <s v="2013"/>
          <s v="2014"/>
          <s v="2015"/>
          <s v="2016"/>
          <s v="2017"/>
          <s v="2018"/>
          <s v="2019"/>
          <s v="2020"/>
          <s v="2021"/>
          <s v="&gt;10/1/2021"/>
        </groupItems>
      </fieldGroup>
    </cacheField>
  </cacheFields>
  <extLst>
    <ext xmlns:x14="http://schemas.microsoft.com/office/spreadsheetml/2009/9/main" uri="{725AE2AE-9491-48be-B2B4-4EB974FC3084}">
      <x14:pivotCacheDefinition pivotCacheId="2038787339"/>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783.094639467592" backgroundQuery="1" createdVersion="8" refreshedVersion="8" minRefreshableVersion="3" recordCount="302" xr:uid="{D330C6B2-15BC-44CA-BB43-6DA20A4862A8}">
  <cacheSource type="external" connectionId="9"/>
  <cacheFields count="16">
    <cacheField name="Serial Number" numFmtId="0">
      <sharedItems containsSemiMixedTypes="0" containsString="0" containsNumber="1" containsInteger="1" minValue="9347" maxValue="202000106"/>
    </cacheField>
    <cacheField name="Date Recorded" numFmtId="0">
      <sharedItems containsSemiMixedTypes="0" containsNonDate="0" containsDate="1" containsString="0" minDate="2006-12-11T00:00:00" maxDate="2021-10-01T00:00:00"/>
    </cacheField>
    <cacheField name="Month Name" numFmtId="0">
      <sharedItems count="12">
        <s v="December"/>
        <s v="April"/>
        <s v="June"/>
        <s v="May"/>
        <s v="July"/>
        <s v="February"/>
        <s v="August"/>
        <s v="January"/>
        <s v="October"/>
        <s v="March"/>
        <s v="September"/>
        <s v="November"/>
      </sharedItems>
    </cacheField>
    <cacheField name="Year" numFmtId="0">
      <sharedItems containsSemiMixedTypes="0" containsString="0" containsNumber="1" containsInteger="1" minValue="2006" maxValue="2021" count="15">
        <n v="2016"/>
        <n v="2021"/>
        <n v="2018"/>
        <n v="2017"/>
        <n v="2020"/>
        <n v="2008"/>
        <n v="2015"/>
        <n v="2014"/>
        <n v="2007"/>
        <n v="2010"/>
        <n v="2009"/>
        <n v="2011"/>
        <n v="2019"/>
        <n v="2013"/>
        <n v="2006"/>
      </sharedItems>
    </cacheField>
    <cacheField name="Month/Year" numFmtId="0">
      <sharedItems containsSemiMixedTypes="0" containsNonDate="0" containsDate="1" containsString="0" minDate="2006-12-01T00:00:00" maxDate="2021-09-02T00:00:00"/>
    </cacheField>
    <cacheField name="Town" numFmtId="0">
      <sharedItems/>
    </cacheField>
    <cacheField name="Column2" numFmtId="0">
      <sharedItems count="19">
        <s v="R"/>
        <s v="C"/>
        <s v="G"/>
        <s v="N"/>
        <s v="D"/>
        <s v="W"/>
        <s v="E"/>
        <s v="A"/>
        <s v="S"/>
        <s v="T"/>
        <s v="P"/>
        <s v="M"/>
        <s v="B"/>
        <s v="K"/>
        <s v="O"/>
        <s v="F"/>
        <s v="H"/>
        <s v="V"/>
        <s v="L"/>
      </sharedItems>
    </cacheField>
    <cacheField name="Address" numFmtId="0">
      <sharedItems/>
    </cacheField>
    <cacheField name="Assessed Value" numFmtId="0">
      <sharedItems containsSemiMixedTypes="0" containsString="0" containsNumber="1" containsInteger="1" minValue="8190" maxValue="4259500"/>
    </cacheField>
    <cacheField name="Sale Amount" numFmtId="0">
      <sharedItems containsSemiMixedTypes="0" containsString="0" containsNumber="1" containsInteger="1" minValue="27500" maxValue="13650000"/>
    </cacheField>
    <cacheField name="Sales Ratio" numFmtId="0">
      <sharedItems containsSemiMixedTypes="0" containsString="0" containsNumber="1" minValue="3.3076920000000001E-3" maxValue="0.99050000000000005"/>
    </cacheField>
    <cacheField name="Sales Ratio 2" numFmtId="0">
      <sharedItems containsSemiMixedTypes="0" containsString="0" containsNumber="1" minValue="1.0095081582345347" maxValue="302.32558139534882"/>
    </cacheField>
    <cacheField name="Property Type" numFmtId="0">
      <sharedItems count="4">
        <s v="Condo"/>
        <s v="Commercial"/>
        <s v="Residential"/>
        <s v="Apartments"/>
      </sharedItems>
    </cacheField>
    <cacheField name="Value Status" numFmtId="0">
      <sharedItems count="2">
        <s v="Overvalued"/>
        <s v="Undervalued"/>
      </sharedItems>
    </cacheField>
    <cacheField name="Column1" numFmtId="0">
      <sharedItems containsString="0" containsBlank="1" count="1">
        <m/>
      </sharedItems>
    </cacheField>
    <cacheField name="Initial PQ" numFmtId="0">
      <sharedItems count="19">
        <s v="R"/>
        <s v="C"/>
        <s v="G"/>
        <s v="N"/>
        <s v="D"/>
        <s v="W"/>
        <s v="E"/>
        <s v="A"/>
        <s v="S"/>
        <s v="T"/>
        <s v="P"/>
        <s v="M"/>
        <s v="B"/>
        <s v="K"/>
        <s v="O"/>
        <s v="F"/>
        <s v="H"/>
        <s v="V"/>
        <s v="L"/>
      </sharedItems>
    </cacheField>
  </cacheFields>
  <extLst>
    <ext xmlns:x14="http://schemas.microsoft.com/office/spreadsheetml/2009/9/main" uri="{725AE2AE-9491-48be-B2B4-4EB974FC3084}">
      <x14:pivotCacheDefinition pivotCacheId="989643674"/>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783.100339467594" backgroundQuery="1" createdVersion="8" refreshedVersion="8" minRefreshableVersion="3" recordCount="302" xr:uid="{552BD165-1E95-4F29-B7B7-8038436A0650}">
  <cacheSource type="external" connectionId="10"/>
  <cacheFields count="16">
    <cacheField name="Serial Number" numFmtId="0">
      <sharedItems containsSemiMixedTypes="0" containsString="0" containsNumber="1" containsInteger="1" minValue="9347" maxValue="202000106"/>
    </cacheField>
    <cacheField name="Date Recorded" numFmtId="0">
      <sharedItems containsSemiMixedTypes="0" containsNonDate="0" containsDate="1" containsString="0" minDate="2006-12-11T00:00:00" maxDate="2021-10-01T00:00:00"/>
    </cacheField>
    <cacheField name="Month Name" numFmtId="0">
      <sharedItems count="12">
        <s v="December"/>
        <s v="April"/>
        <s v="June"/>
        <s v="May"/>
        <s v="July"/>
        <s v="February"/>
        <s v="August"/>
        <s v="January"/>
        <s v="October"/>
        <s v="March"/>
        <s v="September"/>
        <s v="November"/>
      </sharedItems>
    </cacheField>
    <cacheField name="Year" numFmtId="0">
      <sharedItems containsSemiMixedTypes="0" containsString="0" containsNumber="1" containsInteger="1" minValue="2006" maxValue="2021" count="15">
        <n v="2016"/>
        <n v="2021"/>
        <n v="2018"/>
        <n v="2017"/>
        <n v="2020"/>
        <n v="2008"/>
        <n v="2015"/>
        <n v="2014"/>
        <n v="2007"/>
        <n v="2010"/>
        <n v="2009"/>
        <n v="2011"/>
        <n v="2019"/>
        <n v="2013"/>
        <n v="2006"/>
      </sharedItems>
    </cacheField>
    <cacheField name="Month/Year" numFmtId="0">
      <sharedItems containsSemiMixedTypes="0" containsNonDate="0" containsDate="1" containsString="0" minDate="2006-12-01T00:00:00" maxDate="2021-09-02T00:00:00"/>
    </cacheField>
    <cacheField name="Town" numFmtId="0">
      <sharedItems count="106">
        <s v="Rocky Hill"/>
        <s v="Cromwell"/>
        <s v="Greenwich"/>
        <s v="New London"/>
        <s v="Danbury"/>
        <s v="New Canaan"/>
        <s v="Washington"/>
        <s v="Redding"/>
        <s v="East Lyme"/>
        <s v="Avon"/>
        <s v="Stamford"/>
        <s v="Groton"/>
        <s v="Norwich"/>
        <s v="Newtown"/>
        <s v="Trumbull"/>
        <s v="Derby"/>
        <s v="New Haven"/>
        <s v="Plymouth"/>
        <s v="Manchester"/>
        <s v="Bethany"/>
        <s v="Westbrook"/>
        <s v="Waterford"/>
        <s v="Branford"/>
        <s v="Berlin"/>
        <s v="Stratford"/>
        <s v="Killingworth"/>
        <s v="Canaan"/>
        <s v="Monroe"/>
        <s v="Roxbury"/>
        <s v="Old Saybrook"/>
        <s v="Orange"/>
        <s v="Farmington"/>
        <s v="Shelton"/>
        <s v="Hartford"/>
        <s v="Glastonbury"/>
        <s v="Essex"/>
        <s v="Fairfield"/>
        <s v="Southbury"/>
        <s v="Sharon"/>
        <s v="West Hartford"/>
        <s v="Guilford"/>
        <s v="Coventry"/>
        <s v="New Hartford"/>
        <s v="New Britain"/>
        <s v="Norwalk"/>
        <s v="North Haven"/>
        <s v="Stonington"/>
        <s v="Ashford"/>
        <s v="Chester"/>
        <s v="Enfield"/>
        <s v="Colchester"/>
        <s v="Cornwall"/>
        <s v="Simsbury"/>
        <s v="Cheshire"/>
        <s v="Plainfield"/>
        <s v="Harwinton"/>
        <s v="Bethlehem"/>
        <s v="Mansfield"/>
        <s v="Thomaston"/>
        <s v="Bethel"/>
        <s v="Ansonia"/>
        <s v="Milford"/>
        <s v="Wallingford"/>
        <s v="Wethersfield"/>
        <s v="Meriden"/>
        <s v="Griswold"/>
        <s v="Vernon"/>
        <s v="Bristol"/>
        <s v="East Hampton"/>
        <s v="Canton"/>
        <s v="Naugatuck"/>
        <s v="Hamden"/>
        <s v="Suffield"/>
        <s v="Madison"/>
        <s v="Sterling"/>
        <s v="Bloomfield"/>
        <s v="Newington"/>
        <s v="W Hartford"/>
        <s v="Darien"/>
        <s v="New Fairfield"/>
        <s v="Windsor"/>
        <s v="Lebanon"/>
        <s v="Torrington"/>
        <s v="Watertown"/>
        <s v="Portland"/>
        <s v="Franklin"/>
        <s v="Litchfield"/>
        <s v="East Haven"/>
        <s v="West Haven"/>
        <s v="Brookfield"/>
        <s v="Putnam"/>
        <s v="Bridgeport"/>
        <s v="Middletown"/>
        <s v="Woodstock"/>
        <s v="Waterbury"/>
        <s v="Killingly"/>
        <s v="East Granby"/>
        <s v="North Branford"/>
        <s v="Ridgefield"/>
        <s v="Ledyard"/>
        <s v="South Windsor"/>
        <s v="Winchester"/>
        <s v="Southington"/>
        <s v="Tolland"/>
        <s v="Plainville"/>
        <s v="East Hartford"/>
      </sharedItems>
    </cacheField>
    <cacheField name="Column2" numFmtId="0">
      <sharedItems count="19">
        <s v="R"/>
        <s v="C"/>
        <s v="G"/>
        <s v="N"/>
        <s v="D"/>
        <s v="W"/>
        <s v="E"/>
        <s v="A"/>
        <s v="S"/>
        <s v="T"/>
        <s v="P"/>
        <s v="M"/>
        <s v="B"/>
        <s v="K"/>
        <s v="O"/>
        <s v="F"/>
        <s v="H"/>
        <s v="V"/>
        <s v="L"/>
      </sharedItems>
    </cacheField>
    <cacheField name="Address" numFmtId="0">
      <sharedItems/>
    </cacheField>
    <cacheField name="Assessed Value" numFmtId="0">
      <sharedItems containsSemiMixedTypes="0" containsString="0" containsNumber="1" containsInteger="1" minValue="8190" maxValue="4259500"/>
    </cacheField>
    <cacheField name="Sale Amount" numFmtId="0">
      <sharedItems containsSemiMixedTypes="0" containsString="0" containsNumber="1" containsInteger="1" minValue="27500" maxValue="13650000"/>
    </cacheField>
    <cacheField name="Sales Ratio" numFmtId="0">
      <sharedItems containsSemiMixedTypes="0" containsString="0" containsNumber="1" minValue="3.3076920000000001E-3" maxValue="0.99050000000000005"/>
    </cacheField>
    <cacheField name="Sales Ratio 2" numFmtId="0">
      <sharedItems containsSemiMixedTypes="0" containsString="0" containsNumber="1" minValue="1.0095081582345347" maxValue="302.32558139534882"/>
    </cacheField>
    <cacheField name="Property Type" numFmtId="0">
      <sharedItems count="4">
        <s v="Condo"/>
        <s v="Commercial"/>
        <s v="Residential"/>
        <s v="Apartments"/>
      </sharedItems>
    </cacheField>
    <cacheField name="Value Status" numFmtId="0">
      <sharedItems count="2">
        <s v="Overvalued"/>
        <s v="Undervalued"/>
      </sharedItems>
    </cacheField>
    <cacheField name="Column1" numFmtId="0">
      <sharedItems containsString="0" containsBlank="1" count="1">
        <m/>
      </sharedItems>
    </cacheField>
    <cacheField name="Town initials PQ" numFmtId="0">
      <sharedItems count="19">
        <s v="R"/>
        <s v="C"/>
        <s v="G"/>
        <s v="N"/>
        <s v="D"/>
        <s v="W"/>
        <s v="E"/>
        <s v="A"/>
        <s v="S"/>
        <s v="T"/>
        <s v="P"/>
        <s v="M"/>
        <s v="B"/>
        <s v="K"/>
        <s v="O"/>
        <s v="F"/>
        <s v="H"/>
        <s v="V"/>
        <s v="L"/>
      </sharedItems>
    </cacheField>
  </cacheFields>
  <extLst>
    <ext xmlns:x14="http://schemas.microsoft.com/office/spreadsheetml/2009/9/main" uri="{725AE2AE-9491-48be-B2B4-4EB974FC3084}">
      <x14:pivotCacheDefinition pivotCacheId="1090403897"/>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783.105453240743" createdVersion="8" refreshedVersion="8" minRefreshableVersion="3" recordCount="302" xr:uid="{890B7C10-7F38-45C7-B4CE-29178027571A}">
  <cacheSource type="worksheet">
    <worksheetSource name="Table1_3__3__9__2"/>
  </cacheSource>
  <cacheFields count="14">
    <cacheField name="Serial Number" numFmtId="0">
      <sharedItems containsSemiMixedTypes="0" containsString="0" containsNumber="1" containsInteger="1" minValue="9347" maxValue="202000106"/>
    </cacheField>
    <cacheField name="Date Recorded" numFmtId="22">
      <sharedItems containsSemiMixedTypes="0" containsNonDate="0" containsDate="1" containsString="0" minDate="2006-12-11T00:00:00" maxDate="2021-10-01T00:00:00"/>
    </cacheField>
    <cacheField name="Month Name" numFmtId="0">
      <sharedItems/>
    </cacheField>
    <cacheField name="Year" numFmtId="0">
      <sharedItems containsSemiMixedTypes="0" containsString="0" containsNumber="1" containsInteger="1" minValue="2006" maxValue="2021"/>
    </cacheField>
    <cacheField name="Month/Year" numFmtId="22">
      <sharedItems containsSemiMixedTypes="0" containsNonDate="0" containsDate="1" containsString="0" minDate="2006-12-01T00:00:00" maxDate="2021-09-02T00:00:00"/>
    </cacheField>
    <cacheField name="Town" numFmtId="0">
      <sharedItems count="106">
        <s v="Rocky Hill"/>
        <s v="Cromwell"/>
        <s v="Greenwich"/>
        <s v="New London"/>
        <s v="Danbury"/>
        <s v="New Canaan"/>
        <s v="Washington"/>
        <s v="Redding"/>
        <s v="East Lyme"/>
        <s v="Avon"/>
        <s v="Stamford"/>
        <s v="Groton"/>
        <s v="Norwich"/>
        <s v="Newtown"/>
        <s v="Trumbull"/>
        <s v="Derby"/>
        <s v="New Haven"/>
        <s v="Plymouth"/>
        <s v="Manchester"/>
        <s v="Bethany"/>
        <s v="Westbrook"/>
        <s v="Waterford"/>
        <s v="Branford"/>
        <s v="Berlin"/>
        <s v="Stratford"/>
        <s v="Killingworth"/>
        <s v="Canaan"/>
        <s v="Monroe"/>
        <s v="Roxbury"/>
        <s v="Old Saybrook"/>
        <s v="Orange"/>
        <s v="Farmington"/>
        <s v="Shelton"/>
        <s v="Hartford"/>
        <s v="Glastonbury"/>
        <s v="Essex"/>
        <s v="Fairfield"/>
        <s v="Southbury"/>
        <s v="Sharon"/>
        <s v="West Hartford"/>
        <s v="Guilford"/>
        <s v="Coventry"/>
        <s v="New Hartford"/>
        <s v="New Britain"/>
        <s v="Norwalk"/>
        <s v="North Haven"/>
        <s v="Stonington"/>
        <s v="Ashford"/>
        <s v="Chester"/>
        <s v="Enfield"/>
        <s v="Colchester"/>
        <s v="Cornwall"/>
        <s v="Simsbury"/>
        <s v="Cheshire"/>
        <s v="Plainfield"/>
        <s v="Harwinton"/>
        <s v="Bethlehem"/>
        <s v="Mansfield"/>
        <s v="Thomaston"/>
        <s v="Bethel"/>
        <s v="Ansonia"/>
        <s v="Milford"/>
        <s v="Wallingford"/>
        <s v="Wethersfield"/>
        <s v="Meriden"/>
        <s v="Griswold"/>
        <s v="Vernon"/>
        <s v="Bristol"/>
        <s v="East Hampton"/>
        <s v="Canton"/>
        <s v="Naugatuck"/>
        <s v="Hamden"/>
        <s v="Suffield"/>
        <s v="Madison"/>
        <s v="Sterling"/>
        <s v="Bloomfield"/>
        <s v="Newington"/>
        <s v="W Hartford"/>
        <s v="Darien"/>
        <s v="New Fairfield"/>
        <s v="Windsor"/>
        <s v="Lebanon"/>
        <s v="Torrington"/>
        <s v="Watertown"/>
        <s v="Portland"/>
        <s v="Franklin"/>
        <s v="Litchfield"/>
        <s v="East Haven"/>
        <s v="West Haven"/>
        <s v="Brookfield"/>
        <s v="Putnam"/>
        <s v="Bridgeport"/>
        <s v="Middletown"/>
        <s v="Woodstock"/>
        <s v="Waterbury"/>
        <s v="Killingly"/>
        <s v="East Granby"/>
        <s v="North Branford"/>
        <s v="Ridgefield"/>
        <s v="Ledyard"/>
        <s v="South Windsor"/>
        <s v="Winchester"/>
        <s v="Southington"/>
        <s v="Tolland"/>
        <s v="Plainville"/>
        <s v="East Hartford"/>
      </sharedItems>
    </cacheField>
    <cacheField name="Address" numFmtId="0">
      <sharedItems/>
    </cacheField>
    <cacheField name="Assessed Value" numFmtId="0">
      <sharedItems containsSemiMixedTypes="0" containsString="0" containsNumber="1" containsInteger="1" minValue="8190" maxValue="4259500"/>
    </cacheField>
    <cacheField name="Sale Amount" numFmtId="0">
      <sharedItems containsSemiMixedTypes="0" containsString="0" containsNumber="1" containsInteger="1" minValue="27500" maxValue="13650000"/>
    </cacheField>
    <cacheField name="Sales Ratio" numFmtId="0">
      <sharedItems containsSemiMixedTypes="0" containsString="0" containsNumber="1" minValue="3.3076920000000001E-3" maxValue="0.99050000000000005"/>
    </cacheField>
    <cacheField name="Sales Ratio 2" numFmtId="0">
      <sharedItems containsSemiMixedTypes="0" containsString="0" containsNumber="1" minValue="1.0095081582345347" maxValue="302.32558139534882"/>
    </cacheField>
    <cacheField name="Property Type" numFmtId="0">
      <sharedItems/>
    </cacheField>
    <cacheField name="Value Status" numFmtId="0">
      <sharedItems/>
    </cacheField>
    <cacheField name="Town Initial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4">
  <r>
    <n v="160092"/>
    <d v="2016-12-20T00:00:00"/>
    <x v="0"/>
    <s v="13D ROBBINS LANE"/>
    <n v="45150"/>
    <x v="0"/>
    <n v="3.3076920000000001E-3"/>
    <n v="302.32558139534882"/>
    <x v="0"/>
  </r>
  <r>
    <n v="200195"/>
    <d v="2021-04-26T00:00:00"/>
    <x v="1"/>
    <s v="34      SHUNPIKE      ROAD"/>
    <n v="3360000"/>
    <x v="1"/>
    <n v="0.64429999999999998"/>
    <n v="1.5520089285714285"/>
    <x v="1"/>
  </r>
  <r>
    <n v="201233"/>
    <d v="2021-06-22T00:00:00"/>
    <x v="2"/>
    <s v="11 BAYBERRY LANE"/>
    <n v="4259500"/>
    <x v="2"/>
    <n v="0.99050000000000005"/>
    <n v="1.0095081582345347"/>
    <x v="2"/>
  </r>
  <r>
    <n v="170261"/>
    <d v="2018-05-01T00:00:00"/>
    <x v="3"/>
    <s v="83 MANSFIELD RD 228"/>
    <n v="30660"/>
    <x v="3"/>
    <n v="9.3869120000000007E-3"/>
    <n v="106.53131115459882"/>
    <x v="0"/>
  </r>
  <r>
    <n v="170255"/>
    <d v="2018-05-01T00:00:00"/>
    <x v="3"/>
    <s v="83 MANSFIELD RD 220"/>
    <n v="30660"/>
    <x v="3"/>
    <n v="9.3869120000000007E-3"/>
    <n v="106.53131115459882"/>
    <x v="0"/>
  </r>
  <r>
    <n v="201186"/>
    <d v="2021-07-12T00:00:00"/>
    <x v="4"/>
    <s v="28 MAIN ST"/>
    <n v="695500"/>
    <x v="4"/>
    <n v="0.21734375"/>
    <n v="4.6010064701653484"/>
    <x v="1"/>
  </r>
  <r>
    <n v="200645"/>
    <d v="2021-02-17T00:00:00"/>
    <x v="2"/>
    <s v="123 VALLEY DRIVE"/>
    <n v="2661200"/>
    <x v="5"/>
    <n v="0.88700000000000001"/>
    <n v="1.1273109875244252"/>
    <x v="2"/>
  </r>
  <r>
    <n v="200661"/>
    <d v="2021-08-30T00:00:00"/>
    <x v="5"/>
    <s v="322 MAIN ST"/>
    <n v="1279460"/>
    <x v="6"/>
    <n v="0.53310000000000002"/>
    <n v="1.87579134947556"/>
    <x v="2"/>
  </r>
  <r>
    <n v="201437"/>
    <d v="2021-07-20T00:00:00"/>
    <x v="2"/>
    <s v="552 RIVER ROAD"/>
    <n v="1337630"/>
    <x v="7"/>
    <n v="0.58150000000000002"/>
    <n v="1.7194590432331811"/>
    <x v="2"/>
  </r>
  <r>
    <n v="200055"/>
    <d v="2021-01-25T00:00:00"/>
    <x v="6"/>
    <s v="136 OLD LITCHFIELD RD"/>
    <n v="1030330"/>
    <x v="8"/>
    <n v="0.45090000000000002"/>
    <n v="2.2177360651441771"/>
    <x v="2"/>
  </r>
  <r>
    <n v="2016743"/>
    <d v="2021-07-19T00:00:00"/>
    <x v="7"/>
    <s v="241 ETHAN ALLEN HIGHWAY"/>
    <n v="1769800"/>
    <x v="9"/>
    <n v="0.98319999999999996"/>
    <n v="1.0170640750367272"/>
    <x v="1"/>
  </r>
  <r>
    <n v="200320"/>
    <d v="2021-05-10T00:00:00"/>
    <x v="8"/>
    <s v="9 FREEDOM WAY"/>
    <n v="776230"/>
    <x v="10"/>
    <n v="0.50900000000000001"/>
    <n v="1.9646238872499131"/>
    <x v="1"/>
  </r>
  <r>
    <n v="200377"/>
    <d v="2021-07-02T00:00:00"/>
    <x v="9"/>
    <s v="70 FAR HILLS DRIVE"/>
    <n v="862330"/>
    <x v="11"/>
    <n v="0.59570000000000001"/>
    <n v="1.6785917224264493"/>
    <x v="2"/>
  </r>
  <r>
    <n v="161304"/>
    <d v="2017-06-15T00:00:00"/>
    <x v="10"/>
    <s v="12 DRYDEN STREET 1B"/>
    <n v="91980"/>
    <x v="12"/>
    <n v="6.9506051999999999E-2"/>
    <n v="14.387236355729506"/>
    <x v="0"/>
  </r>
  <r>
    <n v="200109"/>
    <d v="2020-12-09T00:00:00"/>
    <x v="9"/>
    <s v="57 FAR HILLS DRIVE"/>
    <n v="847520"/>
    <x v="13"/>
    <n v="0.67800000000000005"/>
    <n v="1.474891447989428"/>
    <x v="2"/>
  </r>
  <r>
    <n v="201494"/>
    <d v="2021-07-28T00:00:00"/>
    <x v="2"/>
    <s v="20 EAST LYON FARM DRIVE"/>
    <n v="632170"/>
    <x v="13"/>
    <n v="0.50570000000000004"/>
    <n v="1.9773162282297483"/>
    <x v="2"/>
  </r>
  <r>
    <n v="200539"/>
    <d v="2021-07-16T00:00:00"/>
    <x v="11"/>
    <s v="130 BIRDSEYE RD"/>
    <n v="1213620"/>
    <x v="14"/>
    <n v="10787"/>
    <n v="0.92697879072526823"/>
    <x v="1"/>
  </r>
  <r>
    <n v="200020"/>
    <d v="2020-10-06T00:00:00"/>
    <x v="12"/>
    <s v="98 EAST SHORE AVE"/>
    <n v="654570"/>
    <x v="15"/>
    <n v="0.66118181799999998"/>
    <n v="1.5124432833768733"/>
    <x v="2"/>
  </r>
  <r>
    <n v="2001101"/>
    <d v="2021-03-04T00:00:00"/>
    <x v="10"/>
    <s v="385 ERSKINE ROAD"/>
    <n v="599810"/>
    <x v="16"/>
    <n v="0.63129999999999997"/>
    <n v="1.5838348810456644"/>
    <x v="2"/>
  </r>
  <r>
    <n v="200427"/>
    <d v="2021-02-05T00:00:00"/>
    <x v="13"/>
    <s v="287-291 MAIN ST"/>
    <n v="587600"/>
    <x v="17"/>
    <n v="0.62570000000000003"/>
    <n v="1.5980258679373724"/>
    <x v="1"/>
  </r>
  <r>
    <n v="2001570"/>
    <d v="2021-05-14T00:00:00"/>
    <x v="10"/>
    <s v="52 ORCHARD STREET"/>
    <n v="486230"/>
    <x v="18"/>
    <n v="0.52280000000000004"/>
    <n v="1.9126750714682352"/>
    <x v="1"/>
  </r>
  <r>
    <n v="20771"/>
    <d v="2021-09-16T00:00:00"/>
    <x v="14"/>
    <s v="3 SHORT HILL ROAD"/>
    <n v="451770"/>
    <x v="19"/>
    <n v="0.49645054900000002"/>
    <n v="2.0142993115966088"/>
    <x v="2"/>
  </r>
  <r>
    <n v="200627"/>
    <d v="2021-07-20T00:00:00"/>
    <x v="15"/>
    <s v="12 ROSEVIEW COURT"/>
    <n v="475160"/>
    <x v="20"/>
    <n v="0.52500000000000002"/>
    <n v="1.9046216011448776"/>
    <x v="2"/>
  </r>
  <r>
    <n v="200243"/>
    <d v="2021-04-13T00:00:00"/>
    <x v="9"/>
    <s v="111 NORTHINGTON DRIVE"/>
    <n v="619290"/>
    <x v="21"/>
    <n v="0.69579999999999997"/>
    <n v="1.4371296161733598"/>
    <x v="2"/>
  </r>
  <r>
    <n v="20129"/>
    <d v="2021-03-30T00:00:00"/>
    <x v="16"/>
    <s v="196 ELIZABETH ST"/>
    <n v="351260"/>
    <x v="22"/>
    <n v="0.40229999999999999"/>
    <n v="2.4853384957011899"/>
    <x v="1"/>
  </r>
  <r>
    <n v="200338"/>
    <d v="2021-04-23T00:00:00"/>
    <x v="5"/>
    <s v="116 ROCKY BROOK RD"/>
    <n v="620760"/>
    <x v="23"/>
    <n v="0.73029999999999995"/>
    <n v="1.3692892583285006"/>
    <x v="2"/>
  </r>
  <r>
    <n v="201207"/>
    <d v="2021-07-21T00:00:00"/>
    <x v="17"/>
    <s v="40 TEMPLE CT # 40"/>
    <n v="368130"/>
    <x v="23"/>
    <n v="0.433"/>
    <n v="2.3089669410262679"/>
    <x v="2"/>
  </r>
  <r>
    <n v="2000344"/>
    <d v="2020-11-10T00:00:00"/>
    <x v="10"/>
    <s v="11 LYNAM ROAD"/>
    <n v="539700"/>
    <x v="23"/>
    <n v="0.63490000000000002"/>
    <n v="1.5749490457661663"/>
    <x v="2"/>
  </r>
  <r>
    <n v="202000106"/>
    <d v="2021-01-28T00:00:00"/>
    <x v="18"/>
    <s v="325 MAIN ST"/>
    <n v="596470"/>
    <x v="24"/>
    <n v="0.71589999999999998"/>
    <n v="1.3967357955974316"/>
    <x v="1"/>
  </r>
  <r>
    <n v="2001250"/>
    <d v="2021-03-25T00:00:00"/>
    <x v="10"/>
    <s v="28 VERNON PLACE"/>
    <n v="403190"/>
    <x v="25"/>
    <n v="0.49769999999999998"/>
    <n v="2.0089783972816786"/>
    <x v="2"/>
  </r>
  <r>
    <n v="201027"/>
    <d v="2021-07-19T00:00:00"/>
    <x v="19"/>
    <s v="200 SHELDON ROAD"/>
    <n v="517700"/>
    <x v="26"/>
    <n v="0.64710000000000001"/>
    <n v="1.5452965037666602"/>
    <x v="1"/>
  </r>
  <r>
    <n v="2002453"/>
    <d v="2021-08-27T00:00:00"/>
    <x v="10"/>
    <s v="34 FIFTH STREET"/>
    <n v="596290"/>
    <x v="26"/>
    <n v="0.74529999999999996"/>
    <n v="1.3416290731020142"/>
    <x v="1"/>
  </r>
  <r>
    <n v="200097"/>
    <d v="2021-06-04T00:00:00"/>
    <x v="20"/>
    <s v="23 AMITY RD"/>
    <n v="511000"/>
    <x v="27"/>
    <n v="0.64270000000000005"/>
    <n v="1.5557729941291585"/>
    <x v="1"/>
  </r>
  <r>
    <n v="2002537"/>
    <d v="2021-09-07T00:00:00"/>
    <x v="10"/>
    <s v="56 ETHAN ALLEN LANE"/>
    <n v="441560"/>
    <x v="28"/>
    <n v="0.56240000000000001"/>
    <n v="1.7777878431017302"/>
    <x v="2"/>
  </r>
  <r>
    <n v="20274"/>
    <d v="2021-01-08T00:00:00"/>
    <x v="14"/>
    <s v="16 SILVER BROOK LANE"/>
    <n v="419590"/>
    <x v="29"/>
    <n v="0.53859999999999997"/>
    <n v="1.8565742748873901"/>
    <x v="2"/>
  </r>
  <r>
    <n v="2000120"/>
    <d v="2020-10-16T00:00:00"/>
    <x v="10"/>
    <s v="61 SEAVIEW AVENUE # 1"/>
    <n v="497000"/>
    <x v="30"/>
    <n v="0.65820000000000001"/>
    <n v="1.5191146881287727"/>
    <x v="2"/>
  </r>
  <r>
    <n v="100384"/>
    <d v="2011-05-24T00:00:00"/>
    <x v="21"/>
    <s v="1380-S201B,S203C,S204B,S206C,S"/>
    <n v="852670"/>
    <x v="31"/>
    <n v="1130862069"/>
    <n v="0.88428114041774664"/>
    <x v="0"/>
  </r>
  <r>
    <n v="200098"/>
    <d v="2020-11-06T00:00:00"/>
    <x v="12"/>
    <s v="70 ATLANTIC AVE"/>
    <n v="354550"/>
    <x v="32"/>
    <n v="0.47749999999999998"/>
    <n v="2.094203920462558"/>
    <x v="2"/>
  </r>
  <r>
    <n v="201328"/>
    <d v="2021-08-06T00:00:00"/>
    <x v="1"/>
    <s v="6 BELHAVEN"/>
    <n v="410670"/>
    <x v="33"/>
    <n v="0.55489999999999995"/>
    <n v="1.8019334258650499"/>
    <x v="2"/>
  </r>
  <r>
    <n v="200170"/>
    <d v="2021-06-14T00:00:00"/>
    <x v="22"/>
    <s v="104 CHAPMAN BEACH RD"/>
    <n v="271120"/>
    <x v="34"/>
    <n v="0.37390000000000001"/>
    <n v="2.6740926526999114"/>
    <x v="2"/>
  </r>
  <r>
    <n v="20458"/>
    <d v="2021-06-18T00:00:00"/>
    <x v="23"/>
    <s v="4 DONNA ST"/>
    <n v="271240"/>
    <x v="35"/>
    <n v="0.38200000000000001"/>
    <n v="2.6176080224155731"/>
    <x v="2"/>
  </r>
  <r>
    <n v="200421"/>
    <d v="2020-12-24T00:00:00"/>
    <x v="2"/>
    <s v="130 NORTH WATER STREET"/>
    <n v="288190"/>
    <x v="36"/>
    <n v="0.40870000000000001"/>
    <n v="2.4463027863562234"/>
    <x v="2"/>
  </r>
  <r>
    <n v="200258"/>
    <d v="2021-01-22T00:00:00"/>
    <x v="24"/>
    <s v="34 SUNRISE COVE CAMP"/>
    <n v="530500"/>
    <x v="37"/>
    <n v="0.75780000000000003"/>
    <n v="1.3195098963242224"/>
    <x v="2"/>
  </r>
  <r>
    <n v="2020313"/>
    <d v="2021-07-01T00:00:00"/>
    <x v="25"/>
    <s v="216 WATCH HILL RD"/>
    <n v="412000"/>
    <x v="38"/>
    <n v="0.60809999999999997"/>
    <n v="1.6444174757281553"/>
    <x v="2"/>
  </r>
  <r>
    <n v="2001286"/>
    <d v="2021-03-30T00:00:00"/>
    <x v="10"/>
    <s v="1156 STILLWATER ROAD"/>
    <n v="438860"/>
    <x v="39"/>
    <n v="0.67300000000000004"/>
    <n v="1.4856674110194594"/>
    <x v="2"/>
  </r>
  <r>
    <n v="200804"/>
    <d v="2021-09-28T00:00:00"/>
    <x v="24"/>
    <s v="119 MONTOWESE ST"/>
    <n v="455100"/>
    <x v="40"/>
    <n v="0.70009999999999994"/>
    <n v="1.4282575258185015"/>
    <x v="1"/>
  </r>
  <r>
    <n v="200639"/>
    <d v="2021-07-28T00:00:00"/>
    <x v="12"/>
    <s v="4 TYLER AVE"/>
    <n v="259770"/>
    <x v="40"/>
    <n v="0.39964615399999998"/>
    <n v="2.5022134965546443"/>
    <x v="2"/>
  </r>
  <r>
    <n v="20200578"/>
    <d v="2021-02-17T00:00:00"/>
    <x v="26"/>
    <s v="2318 MAIN STREET"/>
    <n v="429800"/>
    <x v="40"/>
    <n v="0.66120000000000001"/>
    <n v="1.5123313168915775"/>
    <x v="1"/>
  </r>
  <r>
    <n v="200043"/>
    <d v="2020-12-09T00:00:00"/>
    <x v="27"/>
    <s v="46 TITUS COAN ROAD"/>
    <n v="354040"/>
    <x v="41"/>
    <n v="0.54879999999999995"/>
    <n v="1.8218280420291493"/>
    <x v="2"/>
  </r>
  <r>
    <n v="200042"/>
    <d v="2021-05-19T00:00:00"/>
    <x v="28"/>
    <s v="93 MAIN ST"/>
    <n v="355800"/>
    <x v="42"/>
    <n v="0.59389999999999998"/>
    <n v="1.6835300730747611"/>
    <x v="2"/>
  </r>
  <r>
    <n v="200002"/>
    <d v="2020-10-01T00:00:00"/>
    <x v="29"/>
    <s v="20 CHURCH ST"/>
    <n v="439290"/>
    <x v="43"/>
    <n v="0.76398260900000003"/>
    <n v="1.3089303193789978"/>
    <x v="2"/>
  </r>
  <r>
    <n v="70101"/>
    <d v="2008-03-03T00:00:00"/>
    <x v="30"/>
    <s v="17 PEQUOT CT"/>
    <n v="342230"/>
    <x v="43"/>
    <n v="0.59518260899999997"/>
    <n v="1.6801566198170821"/>
    <x v="0"/>
  </r>
  <r>
    <n v="160178"/>
    <d v="2017-06-14T00:00:00"/>
    <x v="31"/>
    <s v="81 COULTER ST #14"/>
    <n v="363600"/>
    <x v="44"/>
    <n v="0.63510917"/>
    <n v="1.5745324532453244"/>
    <x v="0"/>
  </r>
  <r>
    <n v="90146"/>
    <d v="2010-05-10T00:00:00"/>
    <x v="5"/>
    <s v="205 MAIN STREET #34"/>
    <n v="595000"/>
    <x v="45"/>
    <n v="1058718861"/>
    <n v="0.9445378151260504"/>
    <x v="0"/>
  </r>
  <r>
    <n v="200742"/>
    <d v="2021-03-29T00:00:00"/>
    <x v="4"/>
    <s v="17 OHEHYAHTAH PL"/>
    <n v="339100"/>
    <x v="46"/>
    <n v="0.61650000000000005"/>
    <n v="1.6219404305514598"/>
    <x v="2"/>
  </r>
  <r>
    <n v="200151"/>
    <d v="2020-12-14T00:00:00"/>
    <x v="11"/>
    <s v="15 MALS WAY"/>
    <n v="356410"/>
    <x v="46"/>
    <n v="0.64800000000000002"/>
    <n v="1.543166577817682"/>
    <x v="2"/>
  </r>
  <r>
    <n v="20249"/>
    <d v="2021-09-30T00:00:00"/>
    <x v="32"/>
    <s v="387 TIMBERLANE DR"/>
    <n v="297700"/>
    <x v="46"/>
    <n v="0.54120000000000001"/>
    <n v="1.8474974806852535"/>
    <x v="2"/>
  </r>
  <r>
    <n v="70561"/>
    <d v="2008-09-11T00:00:00"/>
    <x v="33"/>
    <s v="11 RUSHBROOKE LN"/>
    <n v="342650"/>
    <x v="47"/>
    <n v="0.63161290299999995"/>
    <n v="1.5832482124616956"/>
    <x v="0"/>
  </r>
  <r>
    <n v="2001590"/>
    <d v="2021-05-17T00:00:00"/>
    <x v="10"/>
    <s v="37 CROSS ROAD"/>
    <n v="423700"/>
    <x v="48"/>
    <n v="0.7944"/>
    <n v="1.2587915978286524"/>
    <x v="2"/>
  </r>
  <r>
    <n v="141056"/>
    <d v="2015-06-02T00:00:00"/>
    <x v="10"/>
    <s v="1707 SUMMER STREET UT 3"/>
    <n v="314280"/>
    <x v="49"/>
    <n v="0.59749049399999998"/>
    <n v="1.673666793941708"/>
    <x v="0"/>
  </r>
  <r>
    <n v="201580"/>
    <d v="2021-09-27T00:00:00"/>
    <x v="4"/>
    <s v="25 CROWN ST"/>
    <n v="192300"/>
    <x v="50"/>
    <n v="0.36628571399999998"/>
    <n v="2.7301092043681749"/>
    <x v="2"/>
  </r>
  <r>
    <n v="201023"/>
    <d v="2021-07-26T00:00:00"/>
    <x v="34"/>
    <s v="410 MARKET ST"/>
    <n v="435610"/>
    <x v="50"/>
    <n v="0.82969999999999999"/>
    <n v="1.2052064920456371"/>
    <x v="1"/>
  </r>
  <r>
    <n v="200374"/>
    <d v="2021-03-01T00:00:00"/>
    <x v="33"/>
    <s v="1103 RENAISSANCE"/>
    <n v="227500"/>
    <x v="50"/>
    <n v="0.43330000000000002"/>
    <n v="2.3076923076923075"/>
    <x v="2"/>
  </r>
  <r>
    <n v="200140"/>
    <d v="2021-04-28T00:00:00"/>
    <x v="35"/>
    <s v="14 ESSEX GLEN DR #12"/>
    <n v="335800"/>
    <x v="51"/>
    <n v="0.64570000000000005"/>
    <n v="1.5485407980941037"/>
    <x v="2"/>
  </r>
  <r>
    <n v="200827"/>
    <d v="2021-09-07T00:00:00"/>
    <x v="36"/>
    <s v="38 MONTAUK WAY"/>
    <n v="332000"/>
    <x v="51"/>
    <n v="0.63839999999999997"/>
    <n v="1.5662650602409638"/>
    <x v="2"/>
  </r>
  <r>
    <n v="200499"/>
    <d v="2021-09-10T00:00:00"/>
    <x v="8"/>
    <s v="27 SEA CREST AVE"/>
    <n v="233660"/>
    <x v="52"/>
    <n v="0.45190000000000002"/>
    <n v="2.2126166224428658"/>
    <x v="2"/>
  </r>
  <r>
    <n v="130962"/>
    <d v="2014-09-08T00:00:00"/>
    <x v="37"/>
    <s v="48 GATE RIDGE ROAD"/>
    <n v="301070"/>
    <x v="53"/>
    <n v="0.58460194200000004"/>
    <n v="1.7105656491845751"/>
    <x v="0"/>
  </r>
  <r>
    <n v="20588"/>
    <d v="2021-07-29T00:00:00"/>
    <x v="38"/>
    <s v="2005 PURCHASE BROOK RD"/>
    <n v="235950"/>
    <x v="54"/>
    <n v="0.46260000000000001"/>
    <n v="2.1614748887476161"/>
    <x v="2"/>
  </r>
  <r>
    <n v="20742"/>
    <d v="2021-08-30T00:00:00"/>
    <x v="14"/>
    <s v="157 HANOVER ROAD"/>
    <n v="325640"/>
    <x v="55"/>
    <n v="0.64100000000000001"/>
    <n v="1.5600049134013021"/>
    <x v="2"/>
  </r>
  <r>
    <n v="150034"/>
    <d v="2016-05-04T00:00:00"/>
    <x v="39"/>
    <s v="9 GREAT ELM DR #1"/>
    <n v="309800"/>
    <x v="56"/>
    <n v="0.61346534699999999"/>
    <n v="1.6300839251129762"/>
    <x v="0"/>
  </r>
  <r>
    <n v="70535"/>
    <d v="2008-05-02T00:00:00"/>
    <x v="40"/>
    <s v="25 CASSANDRA BLVD #304"/>
    <n v="235800"/>
    <x v="57"/>
    <n v="0.483484038"/>
    <n v="2.0683206106870231"/>
    <x v="0"/>
  </r>
  <r>
    <n v="200282"/>
    <d v="2021-07-15T00:00:00"/>
    <x v="41"/>
    <s v="1467 SOUTH       ST"/>
    <n v="359800"/>
    <x v="58"/>
    <n v="0.74950000000000006"/>
    <n v="1.3340744858254585"/>
    <x v="1"/>
  </r>
  <r>
    <n v="200080"/>
    <d v="2020-11-05T00:00:00"/>
    <x v="42"/>
    <s v="2 WINTERBERRY RD"/>
    <n v="239550"/>
    <x v="58"/>
    <n v="0.499"/>
    <n v="2.0037570444583594"/>
    <x v="2"/>
  </r>
  <r>
    <n v="162511"/>
    <d v="2017-09-07T00:00:00"/>
    <x v="33"/>
    <s v="9 SYLVESTERS WAY"/>
    <n v="306950"/>
    <x v="59"/>
    <n v="0.64411004999999999"/>
    <n v="1.5525297279687245"/>
    <x v="0"/>
  </r>
  <r>
    <n v="200145"/>
    <d v="2021-08-09T00:00:00"/>
    <x v="43"/>
    <s v="82 NILES ROAD"/>
    <n v="238980"/>
    <x v="60"/>
    <n v="0.51949999999999996"/>
    <n v="1.9248472675537702"/>
    <x v="2"/>
  </r>
  <r>
    <n v="200359"/>
    <d v="2021-03-08T00:00:00"/>
    <x v="15"/>
    <s v="94 NORTH STOWE PLACE"/>
    <n v="256550"/>
    <x v="61"/>
    <n v="0.56879999999999997"/>
    <n v="1.7579419216526992"/>
    <x v="2"/>
  </r>
  <r>
    <n v="20761"/>
    <d v="2021-05-28T00:00:00"/>
    <x v="21"/>
    <s v="150 GOLD ST"/>
    <n v="212310"/>
    <x v="62"/>
    <n v="0.4718"/>
    <n v="2.1195421788893598"/>
    <x v="3"/>
  </r>
  <r>
    <n v="201007"/>
    <d v="2021-03-22T00:00:00"/>
    <x v="44"/>
    <s v="29 GREGORY BLVD"/>
    <n v="261800"/>
    <x v="62"/>
    <n v="0.58169999999999999"/>
    <n v="1.7188693659281895"/>
    <x v="2"/>
  </r>
  <r>
    <n v="202281"/>
    <d v="2021-09-07T00:00:00"/>
    <x v="45"/>
    <s v="108 MULHOLLAND WAY"/>
    <n v="276010"/>
    <x v="63"/>
    <n v="0.62280000000000002"/>
    <n v="1.6056121155030614"/>
    <x v="2"/>
  </r>
  <r>
    <n v="20360"/>
    <d v="2021-01-22T00:00:00"/>
    <x v="34"/>
    <s v="1301 MAIN ST"/>
    <n v="173670"/>
    <x v="64"/>
    <n v="0.3947"/>
    <n v="2.5329648183336211"/>
    <x v="1"/>
  </r>
  <r>
    <n v="200552"/>
    <d v="2021-09-23T00:00:00"/>
    <x v="46"/>
    <s v="12 CUTTER DR"/>
    <n v="213100"/>
    <x v="65"/>
    <n v="0.48980000000000001"/>
    <n v="2.0412951665884562"/>
    <x v="2"/>
  </r>
  <r>
    <n v="20002"/>
    <d v="2020-10-02T00:00:00"/>
    <x v="47"/>
    <s v="390 TURNPIKE RD"/>
    <n v="253000"/>
    <x v="66"/>
    <n v="0.58830000000000005"/>
    <n v="1.6996047430830039"/>
    <x v="2"/>
  </r>
  <r>
    <n v="60890"/>
    <d v="2007-04-18T00:00:00"/>
    <x v="44"/>
    <s v="33 NORTH WATER ST"/>
    <n v="44653"/>
    <x v="67"/>
    <n v="0.10408624700000001"/>
    <n v="9.6074171948133387"/>
    <x v="0"/>
  </r>
  <r>
    <n v="162063"/>
    <d v="2017-09-27T00:00:00"/>
    <x v="10"/>
    <s v="101 GROVE STREET G-17"/>
    <n v="8190"/>
    <x v="68"/>
    <n v="1.9157895000000001E-2"/>
    <n v="52.197802197802197"/>
    <x v="0"/>
  </r>
  <r>
    <n v="200125"/>
    <d v="2021-03-31T00:00:00"/>
    <x v="35"/>
    <s v="35 DEER LA"/>
    <n v="220500"/>
    <x v="69"/>
    <n v="0.51880000000000004"/>
    <n v="1.9274376417233561"/>
    <x v="2"/>
  </r>
  <r>
    <n v="200236"/>
    <d v="2021-03-18T00:00:00"/>
    <x v="8"/>
    <s v="8 N EDGEWOOD RD"/>
    <n v="238140"/>
    <x v="70"/>
    <n v="0.56559999999999999"/>
    <n v="1.7678676408835139"/>
    <x v="2"/>
  </r>
  <r>
    <n v="200599"/>
    <d v="2021-07-02T00:00:00"/>
    <x v="15"/>
    <s v="29 WALNUT AVE"/>
    <n v="237440"/>
    <x v="71"/>
    <n v="0.56530000000000002"/>
    <n v="1.7688679245283019"/>
    <x v="2"/>
  </r>
  <r>
    <n v="200078"/>
    <d v="2021-09-20T00:00:00"/>
    <x v="48"/>
    <s v="6 SUNSET AVE"/>
    <n v="250100"/>
    <x v="72"/>
    <n v="0.59709999999999996"/>
    <n v="1.67453018792483"/>
    <x v="2"/>
  </r>
  <r>
    <n v="200305"/>
    <d v="2021-01-26T00:00:00"/>
    <x v="49"/>
    <s v="15 SALERNO DR"/>
    <n v="233660"/>
    <x v="73"/>
    <n v="0.56989999999999996"/>
    <n v="1.7546862963279979"/>
    <x v="2"/>
  </r>
  <r>
    <n v="201057"/>
    <d v="2021-08-12T00:00:00"/>
    <x v="21"/>
    <s v="5 ARCH ST"/>
    <n v="264390"/>
    <x v="74"/>
    <n v="0.66090000000000004"/>
    <n v="1.5129165248307426"/>
    <x v="1"/>
  </r>
  <r>
    <n v="2001493"/>
    <d v="2021-05-03T00:00:00"/>
    <x v="10"/>
    <s v="18 BUNGALOW PARK"/>
    <n v="238890"/>
    <x v="74"/>
    <n v="0.59719999999999995"/>
    <n v="1.6744108166938758"/>
    <x v="2"/>
  </r>
  <r>
    <n v="20200824"/>
    <d v="2021-05-03T00:00:00"/>
    <x v="26"/>
    <s v="758A QUINNIPIAC LANE"/>
    <n v="193340"/>
    <x v="75"/>
    <n v="0.4894"/>
    <n v="2.0430329988621083"/>
    <x v="2"/>
  </r>
  <r>
    <n v="200035"/>
    <d v="2020-10-29T00:00:00"/>
    <x v="50"/>
    <s v="160 SHADBUSH DR"/>
    <n v="223900"/>
    <x v="76"/>
    <n v="0.57110000000000005"/>
    <n v="1.7507815989280928"/>
    <x v="2"/>
  </r>
  <r>
    <n v="200510"/>
    <d v="2021-09-15T00:00:00"/>
    <x v="8"/>
    <s v="3 CARLISE LN"/>
    <n v="212100"/>
    <x v="77"/>
    <n v="0.54310000000000003"/>
    <n v="1.8411126826968411"/>
    <x v="2"/>
  </r>
  <r>
    <n v="200074"/>
    <d v="2021-09-01T00:00:00"/>
    <x v="51"/>
    <s v="131 KENT RD"/>
    <n v="246100"/>
    <x v="78"/>
    <n v="0.63919999999999999"/>
    <n v="1.564404713531085"/>
    <x v="1"/>
  </r>
  <r>
    <n v="200014"/>
    <d v="2020-10-13T00:00:00"/>
    <x v="22"/>
    <s v="233 KENROSE TER"/>
    <n v="245790"/>
    <x v="79"/>
    <n v="0.64339999999999997"/>
    <n v="1.554172260873103"/>
    <x v="2"/>
  </r>
  <r>
    <n v="200245"/>
    <d v="2021-01-06T00:00:00"/>
    <x v="33"/>
    <s v="172-176 CORAM AVE"/>
    <n v="310660"/>
    <x v="80"/>
    <n v="0.82840000000000003"/>
    <n v="1.2071074486576965"/>
    <x v="1"/>
  </r>
  <r>
    <n v="162000"/>
    <d v="2017-09-14T00:00:00"/>
    <x v="10"/>
    <s v="61 SEAVIEW AVENUE D-39"/>
    <n v="264700"/>
    <x v="81"/>
    <n v="0.70965147500000003"/>
    <n v="1.4091424253872309"/>
    <x v="0"/>
  </r>
  <r>
    <n v="200081"/>
    <d v="2020-11-09T00:00:00"/>
    <x v="52"/>
    <s v="2C MILL PONDO LANE"/>
    <n v="270440"/>
    <x v="82"/>
    <n v="0.72689999999999999"/>
    <n v="1.3755361632894543"/>
    <x v="2"/>
  </r>
  <r>
    <n v="200011"/>
    <d v="2020-10-13T00:00:00"/>
    <x v="15"/>
    <s v="14 WOODLAWN DR"/>
    <n v="183190"/>
    <x v="83"/>
    <n v="0.49509999999999998"/>
    <n v="2.0197609039794751"/>
    <x v="2"/>
  </r>
  <r>
    <n v="900420"/>
    <d v="2010-09-07T00:00:00"/>
    <x v="11"/>
    <s v="98 BRADFORD WALK"/>
    <n v="265580"/>
    <x v="84"/>
    <n v="0.71797783199999998"/>
    <n v="1.3928006627005045"/>
    <x v="0"/>
  </r>
  <r>
    <n v="2000230"/>
    <d v="2021-03-16T00:00:00"/>
    <x v="53"/>
    <s v="50 ABBEY CT"/>
    <n v="210940"/>
    <x v="85"/>
    <n v="0.57789999999999997"/>
    <n v="1.7303498625201479"/>
    <x v="2"/>
  </r>
  <r>
    <n v="200233"/>
    <d v="2020-12-31T00:00:00"/>
    <x v="15"/>
    <s v="8 TURNER AVE"/>
    <n v="202160"/>
    <x v="85"/>
    <n v="0.55379999999999996"/>
    <n v="1.8055005935892363"/>
    <x v="2"/>
  </r>
  <r>
    <n v="200652"/>
    <d v="2021-06-29T00:00:00"/>
    <x v="49"/>
    <s v="12 KELLY DR"/>
    <n v="203470"/>
    <x v="86"/>
    <n v="0.56510000000000005"/>
    <n v="1.7693025998918759"/>
    <x v="2"/>
  </r>
  <r>
    <n v="201129"/>
    <d v="2021-08-19T00:00:00"/>
    <x v="34"/>
    <s v="20 GIDDINGS ST"/>
    <n v="114954"/>
    <x v="86"/>
    <n v="0.31929999999999997"/>
    <n v="3.1316874575917324"/>
    <x v="2"/>
  </r>
  <r>
    <n v="200125"/>
    <d v="2021-09-07T00:00:00"/>
    <x v="54"/>
    <s v="167 BIRGE PARK RD"/>
    <n v="194790"/>
    <x v="86"/>
    <n v="0.54100000000000004"/>
    <n v="1.8481441552441091"/>
    <x v="2"/>
  </r>
  <r>
    <n v="20293"/>
    <d v="2021-06-07T00:00:00"/>
    <x v="55"/>
    <s v="404 PLAINFIELD PIKE RD"/>
    <n v="193560"/>
    <x v="86"/>
    <n v="0.53759999999999997"/>
    <n v="1.8598884066955983"/>
    <x v="2"/>
  </r>
  <r>
    <n v="202876"/>
    <d v="2021-08-18T00:00:00"/>
    <x v="44"/>
    <s v="17 HADIK PKWY"/>
    <n v="256270"/>
    <x v="87"/>
    <n v="0.7218"/>
    <n v="1.3852577359815819"/>
    <x v="2"/>
  </r>
  <r>
    <n v="2002299"/>
    <d v="2021-08-04T00:00:00"/>
    <x v="10"/>
    <s v="1400 BEDFORD STREET #4"/>
    <n v="169050"/>
    <x v="87"/>
    <n v="0.47610000000000002"/>
    <n v="2.0999704229517895"/>
    <x v="2"/>
  </r>
  <r>
    <n v="200086"/>
    <d v="2021-08-10T00:00:00"/>
    <x v="56"/>
    <s v="39 WOODLAND RD"/>
    <n v="168900"/>
    <x v="88"/>
    <n v="0.4798"/>
    <n v="2.0840734162226169"/>
    <x v="2"/>
  </r>
  <r>
    <n v="200656"/>
    <d v="2021-04-30T00:00:00"/>
    <x v="13"/>
    <s v="112-116 MAIN ST"/>
    <n v="262300"/>
    <x v="88"/>
    <n v="0.74509999999999998"/>
    <n v="1.341974837971788"/>
    <x v="1"/>
  </r>
  <r>
    <n v="200210"/>
    <d v="2021-07-12T00:00:00"/>
    <x v="57"/>
    <s v="156 HILLYNDALE RD"/>
    <n v="169400"/>
    <x v="89"/>
    <n v="0.49099999999999999"/>
    <n v="2.0365997638724913"/>
    <x v="2"/>
  </r>
  <r>
    <n v="2000212"/>
    <d v="2020-10-28T00:00:00"/>
    <x v="10"/>
    <s v="197 BRIDGE STREET # 3"/>
    <n v="199330"/>
    <x v="90"/>
    <n v="0.58189999999999997"/>
    <n v="1.7182561581297346"/>
    <x v="2"/>
  </r>
  <r>
    <n v="200149"/>
    <d v="2021-07-12T00:00:00"/>
    <x v="58"/>
    <s v="97 TWIN POND RD"/>
    <n v="204000"/>
    <x v="91"/>
    <n v="0.60440000000000005"/>
    <n v="1.6544117647058822"/>
    <x v="2"/>
  </r>
  <r>
    <n v="20139"/>
    <d v="2020-12-16T00:00:00"/>
    <x v="59"/>
    <s v="16 DEEPWOOD DRIVE"/>
    <n v="171360"/>
    <x v="92"/>
    <n v="0.51149999999999995"/>
    <n v="1.9549486461251167"/>
    <x v="2"/>
  </r>
  <r>
    <n v="200522"/>
    <d v="2021-03-04T00:00:00"/>
    <x v="13"/>
    <s v="49 WHITE PLAINS RD"/>
    <n v="174400"/>
    <x v="92"/>
    <n v="0.52049999999999996"/>
    <n v="1.9208715596330275"/>
    <x v="2"/>
  </r>
  <r>
    <n v="200289"/>
    <d v="2020-11-23T00:00:00"/>
    <x v="44"/>
    <s v="188 FLAX HILL RD UNIT B/6"/>
    <n v="173040"/>
    <x v="93"/>
    <n v="0.52429999999999999"/>
    <n v="1.9070735090152566"/>
    <x v="2"/>
  </r>
  <r>
    <n v="100035"/>
    <d v="2010-11-30T00:00:00"/>
    <x v="42"/>
    <s v="8 PADDOCK LN"/>
    <n v="257040"/>
    <x v="93"/>
    <n v="0.77890909100000005"/>
    <n v="1.2838468720821663"/>
    <x v="0"/>
  </r>
  <r>
    <n v="200494"/>
    <d v="2021-02-19T00:00:00"/>
    <x v="40"/>
    <s v="82 WHITE AVENUE"/>
    <n v="181720"/>
    <x v="94"/>
    <n v="0.55410000000000004"/>
    <n v="1.8044243891701519"/>
    <x v="2"/>
  </r>
  <r>
    <n v="2020348"/>
    <d v="2021-09-13T00:00:00"/>
    <x v="60"/>
    <s v="230 WAKELEE AVE"/>
    <n v="150500"/>
    <x v="95"/>
    <n v="0.46300000000000002"/>
    <n v="2.1594684385382061"/>
    <x v="1"/>
  </r>
  <r>
    <n v="201443"/>
    <d v="2021-09-01T00:00:00"/>
    <x v="4"/>
    <s v="4 COOPER RD"/>
    <n v="158700"/>
    <x v="95"/>
    <n v="0.48830000000000001"/>
    <n v="2.0478890989287963"/>
    <x v="2"/>
  </r>
  <r>
    <n v="200175"/>
    <d v="2020-10-29T00:00:00"/>
    <x v="61"/>
    <s v="16 SEABREEZE AVE"/>
    <n v="180950"/>
    <x v="95"/>
    <n v="0.55669999999999997"/>
    <n v="1.7960762641613706"/>
    <x v="2"/>
  </r>
  <r>
    <n v="160717"/>
    <d v="2017-09-01T00:00:00"/>
    <x v="62"/>
    <s v="47 OLDE VILLAGE CIR"/>
    <n v="199400"/>
    <x v="96"/>
    <n v="0.62312500000000004"/>
    <n v="1.60481444332999"/>
    <x v="0"/>
  </r>
  <r>
    <n v="2000448"/>
    <d v="2021-06-17T00:00:00"/>
    <x v="63"/>
    <s v="938 RIDGE RD"/>
    <n v="158870"/>
    <x v="97"/>
    <n v="0.50429999999999997"/>
    <n v="1.9827531944357022"/>
    <x v="2"/>
  </r>
  <r>
    <n v="160943"/>
    <d v="2017-05-19T00:00:00"/>
    <x v="44"/>
    <s v="71 AIKEN ST"/>
    <n v="189500"/>
    <x v="98"/>
    <n v="0.60543130999999994"/>
    <n v="1.6517150395778364"/>
    <x v="0"/>
  </r>
  <r>
    <n v="10051"/>
    <d v="2010-10-29T00:00:00"/>
    <x v="61"/>
    <s v="36 SHIPYARD LANE U C16"/>
    <n v="318100"/>
    <x v="99"/>
    <n v="101792"/>
    <n v="0.98239547312165987"/>
    <x v="0"/>
  </r>
  <r>
    <n v="200700"/>
    <d v="2021-07-13T00:00:00"/>
    <x v="49"/>
    <s v="8 SHANNON DR"/>
    <n v="161590"/>
    <x v="100"/>
    <n v="0.5212"/>
    <n v="1.9184355467541307"/>
    <x v="2"/>
  </r>
  <r>
    <n v="20492"/>
    <d v="2021-08-19T00:00:00"/>
    <x v="55"/>
    <s v="22 FERNWOOD ST"/>
    <n v="142910"/>
    <x v="100"/>
    <n v="0.46100000000000002"/>
    <n v="2.1691973969631237"/>
    <x v="2"/>
  </r>
  <r>
    <n v="200038"/>
    <d v="2020-10-09T00:00:00"/>
    <x v="64"/>
    <s v="41 SUNNY LANE"/>
    <n v="209440"/>
    <x v="101"/>
    <n v="0.68220000000000003"/>
    <n v="1.4658135981665394"/>
    <x v="2"/>
  </r>
  <r>
    <n v="200961"/>
    <d v="2021-07-01T00:00:00"/>
    <x v="64"/>
    <s v="5                    2 ROYAL OAK CIR"/>
    <n v="130340"/>
    <x v="102"/>
    <n v="0.42730000000000001"/>
    <n v="2.340033757864048"/>
    <x v="2"/>
  </r>
  <r>
    <n v="20014"/>
    <d v="2020-10-06T00:00:00"/>
    <x v="30"/>
    <s v="22 MEADOWVIEW TER"/>
    <n v="189100"/>
    <x v="102"/>
    <n v="0.62"/>
    <n v="1.6129032258064515"/>
    <x v="2"/>
  </r>
  <r>
    <n v="200376"/>
    <d v="2021-01-04T00:00:00"/>
    <x v="40"/>
    <s v="1838 ASYLUM AVENUE"/>
    <n v="216580"/>
    <x v="102"/>
    <n v="0.71"/>
    <n v="1.4082556099362822"/>
    <x v="2"/>
  </r>
  <r>
    <n v="200557"/>
    <d v="2021-03-12T00:00:00"/>
    <x v="40"/>
    <s v="23 TIMBERWOOD ROAD"/>
    <n v="166670"/>
    <x v="102"/>
    <n v="0.5464"/>
    <n v="1.8299634007319854"/>
    <x v="2"/>
  </r>
  <r>
    <n v="201078"/>
    <d v="2020-12-21T00:00:00"/>
    <x v="65"/>
    <s v="22 CROSS RD"/>
    <n v="173040"/>
    <x v="103"/>
    <n v="0.57289999999999996"/>
    <n v="1.7452612112806287"/>
    <x v="2"/>
  </r>
  <r>
    <n v="200484"/>
    <d v="2021-07-12T00:00:00"/>
    <x v="66"/>
    <s v="90 MONTAUK DR"/>
    <n v="126800"/>
    <x v="104"/>
    <n v="0.42259999999999998"/>
    <n v="2.3659305993690851"/>
    <x v="2"/>
  </r>
  <r>
    <n v="200354"/>
    <d v="2020-12-29T00:00:00"/>
    <x v="67"/>
    <s v="391 TIFFANY LA"/>
    <n v="173740"/>
    <x v="105"/>
    <n v="0.58099999999999996"/>
    <n v="1.720962357545758"/>
    <x v="2"/>
  </r>
  <r>
    <n v="80097"/>
    <d v="2009-03-25T00:00:00"/>
    <x v="68"/>
    <s v="37 FOREST GLEN DR"/>
    <n v="210600"/>
    <x v="105"/>
    <n v="0.70434782600000001"/>
    <n v="1.4197530864197532"/>
    <x v="0"/>
  </r>
  <r>
    <n v="161101"/>
    <d v="2017-05-09T00:00:00"/>
    <x v="10"/>
    <s v="511 WEST MAIN STREET # 11"/>
    <n v="180350"/>
    <x v="105"/>
    <n v="0.60317725799999999"/>
    <n v="1.6578874410867757"/>
    <x v="0"/>
  </r>
  <r>
    <n v="70355"/>
    <d v="2008-05-19T00:00:00"/>
    <x v="62"/>
    <s v="25 ANGELA DR"/>
    <n v="179830"/>
    <x v="106"/>
    <n v="0.61480341900000002"/>
    <n v="1.6265361730523271"/>
    <x v="0"/>
  </r>
  <r>
    <n v="200046"/>
    <d v="2020-12-14T00:00:00"/>
    <x v="58"/>
    <s v="3 BRADLEY WAY"/>
    <n v="133210"/>
    <x v="107"/>
    <n v="0.45950000000000002"/>
    <n v="2.1762630433150663"/>
    <x v="2"/>
  </r>
  <r>
    <n v="20200070"/>
    <d v="2021-04-08T00:00:00"/>
    <x v="39"/>
    <s v="101 MILLERTON RD"/>
    <n v="170200"/>
    <x v="108"/>
    <n v="0.59299999999999997"/>
    <n v="1.6862514688601644"/>
    <x v="2"/>
  </r>
  <r>
    <n v="100089"/>
    <d v="2011-01-26T00:00:00"/>
    <x v="25"/>
    <s v="63 BANNAN LN"/>
    <n v="0"/>
    <x v="109"/>
    <n v="0"/>
    <e v="#NUM!"/>
    <x v="0"/>
  </r>
  <r>
    <n v="200709"/>
    <d v="2021-04-16T00:00:00"/>
    <x v="19"/>
    <s v="152 GREEN ROAD"/>
    <n v="138100"/>
    <x v="110"/>
    <n v="0.48884955800000002"/>
    <n v="2.0456191165821869"/>
    <x v="2"/>
  </r>
  <r>
    <n v="200117"/>
    <d v="2021-04-12T00:00:00"/>
    <x v="69"/>
    <s v="52 COUNTRY LANE"/>
    <n v="160850"/>
    <x v="111"/>
    <n v="0.57440000000000002"/>
    <n v="1.7407522536524713"/>
    <x v="2"/>
  </r>
  <r>
    <n v="90472"/>
    <d v="2010-06-02T00:00:00"/>
    <x v="37"/>
    <s v="245 SUNNYRIDGE AVENUE UNIT#16"/>
    <n v="220920"/>
    <x v="111"/>
    <n v="0.78900000000000003"/>
    <n v="1.267427122940431"/>
    <x v="0"/>
  </r>
  <r>
    <n v="20899"/>
    <d v="2021-06-21T00:00:00"/>
    <x v="34"/>
    <s v="159 RUSS ST"/>
    <n v="137270"/>
    <x v="112"/>
    <n v="0.49280000000000002"/>
    <n v="2.0288482552633496"/>
    <x v="3"/>
  </r>
  <r>
    <n v="160197"/>
    <d v="2016-11-01T00:00:00"/>
    <x v="10"/>
    <s v="300 BROAD STREET # 502"/>
    <n v="143650"/>
    <x v="113"/>
    <n v="0.51672661900000005"/>
    <n v="1.9352593108249216"/>
    <x v="0"/>
  </r>
  <r>
    <n v="2000327"/>
    <d v="2021-03-03T00:00:00"/>
    <x v="70"/>
    <s v="31 PILGRIM LN"/>
    <n v="157810"/>
    <x v="114"/>
    <n v="0.57069999999999999"/>
    <n v="1.7521069640707179"/>
    <x v="2"/>
  </r>
  <r>
    <n v="20200059"/>
    <d v="2020-10-13T00:00:00"/>
    <x v="26"/>
    <s v="653B OSAGE LANE"/>
    <n v="156380"/>
    <x v="115"/>
    <n v="0.5665"/>
    <n v="1.7649315769279958"/>
    <x v="2"/>
  </r>
  <r>
    <n v="90042"/>
    <d v="2009-10-20T00:00:00"/>
    <x v="71"/>
    <s v="1151 WHITNEY AVE UB4"/>
    <n v="219870"/>
    <x v="116"/>
    <n v="0.79952727300000004"/>
    <n v="1.2507390730886432"/>
    <x v="0"/>
  </r>
  <r>
    <n v="90113"/>
    <d v="2009-12-03T00:00:00"/>
    <x v="66"/>
    <s v="13 LANTERN LN"/>
    <n v="176220"/>
    <x v="117"/>
    <n v="0.65266666699999998"/>
    <n v="1.5321756894790604"/>
    <x v="0"/>
  </r>
  <r>
    <n v="200025"/>
    <d v="2020-10-20T00:00:00"/>
    <x v="72"/>
    <s v="930 BRANCH RD"/>
    <n v="159180"/>
    <x v="118"/>
    <n v="0.60980000000000001"/>
    <n v="1.6396532227666791"/>
    <x v="2"/>
  </r>
  <r>
    <n v="200408"/>
    <d v="2020-12-24T00:00:00"/>
    <x v="4"/>
    <s v="15 SCUPPO RD 1503"/>
    <n v="130800"/>
    <x v="119"/>
    <n v="0.503"/>
    <n v="1.9877675840978593"/>
    <x v="2"/>
  </r>
  <r>
    <n v="201245"/>
    <d v="2021-09-14T00:00:00"/>
    <x v="64"/>
    <s v="223 REYNOLDS DR"/>
    <n v="128170"/>
    <x v="119"/>
    <n v="0.4929"/>
    <n v="2.0285558242958572"/>
    <x v="2"/>
  </r>
  <r>
    <n v="10037"/>
    <d v="2010-11-18T00:00:00"/>
    <x v="73"/>
    <s v="5B YANKEE GLEN DRIVE"/>
    <n v="203600"/>
    <x v="119"/>
    <n v="0.78307692299999998"/>
    <n v="1.2770137524557956"/>
    <x v="0"/>
  </r>
  <r>
    <n v="2000513"/>
    <d v="2021-07-20T00:00:00"/>
    <x v="63"/>
    <s v="215 NOTT ST"/>
    <n v="144050"/>
    <x v="120"/>
    <n v="0.55940000000000001"/>
    <n v="1.7875737591114196"/>
    <x v="2"/>
  </r>
  <r>
    <n v="20118"/>
    <d v="2021-09-30T00:00:00"/>
    <x v="74"/>
    <s v="174 CHURCH ST"/>
    <n v="92890"/>
    <x v="121"/>
    <n v="0.36420000000000002"/>
    <n v="2.7451824738938528"/>
    <x v="2"/>
  </r>
  <r>
    <n v="170178"/>
    <d v="2017-12-20T00:00:00"/>
    <x v="17"/>
    <s v="95 AUDUBON ST UNIT 38"/>
    <n v="169400"/>
    <x v="122"/>
    <n v="0.67089108900000005"/>
    <n v="1.4905548996458087"/>
    <x v="0"/>
  </r>
  <r>
    <n v="200002"/>
    <d v="2020-10-01T00:00:00"/>
    <x v="52"/>
    <s v="24 BRETTONWOOD DRIVE"/>
    <n v="186610"/>
    <x v="123"/>
    <n v="0.74050000000000005"/>
    <n v="1.3504099458764267"/>
    <x v="2"/>
  </r>
  <r>
    <n v="2000381"/>
    <d v="2021-09-13T00:00:00"/>
    <x v="75"/>
    <s v="9 SADDLE RIDGE"/>
    <n v="163730"/>
    <x v="124"/>
    <n v="0.65490000000000004"/>
    <n v="1.5269040493495389"/>
    <x v="2"/>
  </r>
  <r>
    <n v="201295"/>
    <d v="2021-09-09T00:00:00"/>
    <x v="67"/>
    <s v="609 CAMP ST"/>
    <n v="144340"/>
    <x v="125"/>
    <n v="0.57750000000000001"/>
    <n v="1.7313288069835111"/>
    <x v="2"/>
  </r>
  <r>
    <n v="20565"/>
    <d v="2021-03-29T00:00:00"/>
    <x v="34"/>
    <s v="31 EATON ST"/>
    <n v="61915"/>
    <x v="126"/>
    <n v="0.24859999999999999"/>
    <n v="4.021642574497295"/>
    <x v="2"/>
  </r>
  <r>
    <n v="70113"/>
    <d v="2007-12-10T00:00:00"/>
    <x v="76"/>
    <s v="6 MALLARD LN"/>
    <n v="175770"/>
    <x v="127"/>
    <n v="0.70874999999999999"/>
    <n v="1.4109347442680775"/>
    <x v="0"/>
  </r>
  <r>
    <n v="200101"/>
    <d v="2021-01-07T00:00:00"/>
    <x v="41"/>
    <s v="74 LAKEVIEW DR"/>
    <n v="142800"/>
    <x v="128"/>
    <n v="0.58279999999999998"/>
    <n v="1.7156862745098038"/>
    <x v="2"/>
  </r>
  <r>
    <n v="200537"/>
    <d v="2021-05-21T00:00:00"/>
    <x v="49"/>
    <s v="104 BREWSTER RD"/>
    <n v="117380"/>
    <x v="128"/>
    <n v="0.47910000000000003"/>
    <n v="2.0872380303288467"/>
    <x v="2"/>
  </r>
  <r>
    <n v="70258"/>
    <d v="2007-12-31T00:00:00"/>
    <x v="77"/>
    <s v="24 WOODBURY LN"/>
    <n v="171700"/>
    <x v="129"/>
    <n v="0.70368852500000001"/>
    <n v="1.4210832847990682"/>
    <x v="0"/>
  </r>
  <r>
    <n v="17128"/>
    <d v="2018-04-13T00:00:00"/>
    <x v="78"/>
    <s v="54 GIDEON LANE"/>
    <n v="132650"/>
    <x v="130"/>
    <n v="0.54949999999999999"/>
    <n v="1.8195853750471165"/>
    <x v="0"/>
  </r>
  <r>
    <n v="200886"/>
    <d v="2021-05-03T00:00:00"/>
    <x v="4"/>
    <s v="86 MERRIMAC ST B"/>
    <n v="189800"/>
    <x v="131"/>
    <n v="0.79079999999999995"/>
    <n v="1.2644889357218125"/>
    <x v="2"/>
  </r>
  <r>
    <n v="200226"/>
    <d v="2020-12-18T00:00:00"/>
    <x v="49"/>
    <s v="106 RAFFIA RD"/>
    <n v="145570"/>
    <x v="131"/>
    <n v="0.60650000000000004"/>
    <n v="1.6486913512399533"/>
    <x v="2"/>
  </r>
  <r>
    <n v="200264"/>
    <d v="2021-06-10T00:00:00"/>
    <x v="79"/>
    <s v="10 BROOK DR"/>
    <n v="107500"/>
    <x v="131"/>
    <n v="0.44790000000000002"/>
    <n v="2.2325581395348837"/>
    <x v="2"/>
  </r>
  <r>
    <n v="90695"/>
    <d v="2010-06-30T00:00:00"/>
    <x v="44"/>
    <s v="310 ELY AVE H"/>
    <n v="45757"/>
    <x v="132"/>
    <n v="0.19073363900000001"/>
    <n v="5.2429136525558935"/>
    <x v="0"/>
  </r>
  <r>
    <n v="90073"/>
    <d v="2009-11-25T00:00:00"/>
    <x v="80"/>
    <s v="13 LAST LEAF CIR"/>
    <n v="111300"/>
    <x v="133"/>
    <n v="0.46662557999999998"/>
    <n v="2.143045822102426"/>
    <x v="0"/>
  </r>
  <r>
    <n v="201133"/>
    <d v="2021-09-02T00:00:00"/>
    <x v="21"/>
    <s v="103 LEWIS RD"/>
    <n v="123480"/>
    <x v="134"/>
    <n v="0.52539999999999998"/>
    <n v="1.9031422092646582"/>
    <x v="2"/>
  </r>
  <r>
    <n v="200207"/>
    <d v="2021-06-10T00:00:00"/>
    <x v="0"/>
    <s v="402 THE MEWS"/>
    <n v="120890"/>
    <x v="135"/>
    <n v="0.51459999999999995"/>
    <n v="1.9430887583753826"/>
    <x v="2"/>
  </r>
  <r>
    <n v="200938"/>
    <d v="2021-05-13T00:00:00"/>
    <x v="4"/>
    <s v="15-17 BOUGHTON ST #1-5"/>
    <n v="118900"/>
    <x v="136"/>
    <n v="0.51690000000000003"/>
    <n v="1.9343986543313709"/>
    <x v="2"/>
  </r>
  <r>
    <n v="100002"/>
    <d v="2010-10-04T00:00:00"/>
    <x v="24"/>
    <s v="4C EDGEWATER"/>
    <n v="184500"/>
    <x v="136"/>
    <n v="0.80217391299999996"/>
    <n v="1.2466124661246611"/>
    <x v="0"/>
  </r>
  <r>
    <n v="20059"/>
    <d v="2021-02-18T00:00:00"/>
    <x v="81"/>
    <s v="54 FIRST ST"/>
    <n v="121510"/>
    <x v="137"/>
    <n v="0.52849999999999997"/>
    <n v="1.8920253477080076"/>
    <x v="2"/>
  </r>
  <r>
    <n v="70052"/>
    <d v="2007-10-12T00:00:00"/>
    <x v="17"/>
    <s v="916 QUINNIPIAC AVE #31"/>
    <n v="161700"/>
    <x v="138"/>
    <n v="0.71233480199999999"/>
    <n v="1.4038342609771182"/>
    <x v="0"/>
  </r>
  <r>
    <n v="200374"/>
    <d v="2021-05-18T00:00:00"/>
    <x v="66"/>
    <s v="27 TRACY DRIVE"/>
    <n v="129190"/>
    <x v="139"/>
    <n v="0.5696"/>
    <n v="1.7555538354361793"/>
    <x v="2"/>
  </r>
  <r>
    <n v="200106"/>
    <d v="2020-11-02T00:00:00"/>
    <x v="82"/>
    <s v="2651 TORRINGFORD W ST"/>
    <n v="126570"/>
    <x v="140"/>
    <n v="0.5625"/>
    <n v="1.7777119380579915"/>
    <x v="2"/>
  </r>
  <r>
    <n v="160452"/>
    <d v="2017-09-11T00:00:00"/>
    <x v="0"/>
    <s v="37 ROSE COURT"/>
    <n v="145950"/>
    <x v="141"/>
    <n v="0.64866666699999997"/>
    <n v="1.5416238437821173"/>
    <x v="0"/>
  </r>
  <r>
    <n v="20086"/>
    <d v="2020-10-22T00:00:00"/>
    <x v="21"/>
    <s v="23 PARKMORE ST"/>
    <n v="122220"/>
    <x v="142"/>
    <n v="0.54800000000000004"/>
    <n v="1.82457862870234"/>
    <x v="2"/>
  </r>
  <r>
    <n v="20102"/>
    <d v="2020-12-09T00:00:00"/>
    <x v="83"/>
    <s v="12 CHARLES ST"/>
    <n v="127000"/>
    <x v="142"/>
    <n v="0.56950000000000001"/>
    <n v="1.7559055118110236"/>
    <x v="2"/>
  </r>
  <r>
    <n v="20614"/>
    <d v="2021-04-08T00:00:00"/>
    <x v="34"/>
    <s v="55 STERLING ST"/>
    <n v="52500"/>
    <x v="143"/>
    <n v="0.23860000000000001"/>
    <n v="4.1904761904761907"/>
    <x v="2"/>
  </r>
  <r>
    <n v="200179"/>
    <d v="2021-06-22T00:00:00"/>
    <x v="84"/>
    <s v="724 GLASTONBURY TPKE"/>
    <n v="134750"/>
    <x v="143"/>
    <n v="0.61250000000000004"/>
    <n v="1.6326530612244898"/>
    <x v="2"/>
  </r>
  <r>
    <n v="202611"/>
    <d v="2021-07-06T00:00:00"/>
    <x v="44"/>
    <s v="126 WASHINGTON ST UNIT R203"/>
    <n v="144380"/>
    <x v="144"/>
    <n v="0.66379999999999995"/>
    <n v="1.506441335365009"/>
    <x v="2"/>
  </r>
  <r>
    <n v="70073"/>
    <d v="2008-03-14T00:00:00"/>
    <x v="69"/>
    <s v="8 BROOKVIEW CIRCLE"/>
    <n v="126000"/>
    <x v="144"/>
    <n v="0.579310345"/>
    <n v="1.7261904761904763"/>
    <x v="0"/>
  </r>
  <r>
    <n v="160773"/>
    <d v="2017-06-19T00:00:00"/>
    <x v="26"/>
    <s v="30A HAPPY HOLLOW CIR"/>
    <n v="153230"/>
    <x v="145"/>
    <n v="0.71269767399999995"/>
    <n v="1.4031194935717548"/>
    <x v="0"/>
  </r>
  <r>
    <n v="201440"/>
    <d v="2021-09-15T00:00:00"/>
    <x v="17"/>
    <s v="889 CONGRESS AV"/>
    <n v="80150"/>
    <x v="146"/>
    <n v="0.3745"/>
    <n v="2.6699937616968183"/>
    <x v="2"/>
  </r>
  <r>
    <n v="90002"/>
    <d v="2009-10-01T00:00:00"/>
    <x v="82"/>
    <s v="144 MILL LN #144"/>
    <n v="150710"/>
    <x v="147"/>
    <n v="0.71766666700000004"/>
    <n v="1.3934045517882026"/>
    <x v="0"/>
  </r>
  <r>
    <n v="20064"/>
    <d v="2021-08-31T00:00:00"/>
    <x v="85"/>
    <s v="888 ROUTE 32"/>
    <n v="186770"/>
    <x v="148"/>
    <n v="0.89359999999999995"/>
    <n v="1.1190233977619533"/>
    <x v="1"/>
  </r>
  <r>
    <n v="70280"/>
    <d v="2008-07-21T00:00:00"/>
    <x v="53"/>
    <s v="12 FAIRWAY DR"/>
    <n v="98180"/>
    <x v="149"/>
    <n v="0.47916056600000001"/>
    <n v="2.0869830922794868"/>
    <x v="0"/>
  </r>
  <r>
    <n v="2000330"/>
    <d v="2021-05-20T00:00:00"/>
    <x v="53"/>
    <s v="844 HIGHLAND AVE"/>
    <n v="144220"/>
    <x v="150"/>
    <n v="0.70689999999999997"/>
    <n v="1.4145056164193592"/>
    <x v="2"/>
  </r>
  <r>
    <n v="200052"/>
    <d v="2020-11-16T00:00:00"/>
    <x v="86"/>
    <s v="68 BEACH ST"/>
    <n v="149570"/>
    <x v="151"/>
    <n v="0.74780000000000002"/>
    <n v="1.3371665440930669"/>
    <x v="2"/>
  </r>
  <r>
    <n v="20135"/>
    <d v="2021-01-21T00:00:00"/>
    <x v="55"/>
    <s v="30-32 GREENE AVE"/>
    <n v="98580"/>
    <x v="151"/>
    <n v="0.4929"/>
    <n v="2.028809089064719"/>
    <x v="2"/>
  </r>
  <r>
    <n v="91262"/>
    <d v="2010-08-18T00:00:00"/>
    <x v="87"/>
    <s v="215 &amp; 227 WATERVILLE ST#3A 5A"/>
    <n v="233280"/>
    <x v="151"/>
    <n v="11664"/>
    <n v="0.85733882030178321"/>
    <x v="0"/>
  </r>
  <r>
    <n v="161187"/>
    <d v="2017-07-14T00:00:00"/>
    <x v="44"/>
    <s v="25 GRAND ST"/>
    <n v="143240"/>
    <x v="151"/>
    <n v="0.71619999999999995"/>
    <n v="1.3962580284836639"/>
    <x v="0"/>
  </r>
  <r>
    <n v="90026"/>
    <d v="2009-10-20T00:00:00"/>
    <x v="88"/>
    <s v="736 KING ST"/>
    <n v="250540"/>
    <x v="152"/>
    <n v="127177665"/>
    <n v="0.78630158856869159"/>
    <x v="0"/>
  </r>
  <r>
    <n v="170327"/>
    <d v="2018-04-18T00:00:00"/>
    <x v="49"/>
    <s v="95 LAURELS B20UD"/>
    <n v="124660"/>
    <x v="153"/>
    <n v="0.63600000000000001"/>
    <n v="1.5722765923311408"/>
    <x v="0"/>
  </r>
  <r>
    <n v="2000296"/>
    <d v="2021-02-12T00:00:00"/>
    <x v="70"/>
    <s v="464 MULBERRY ST"/>
    <n v="114660"/>
    <x v="154"/>
    <n v="0.58799999999999997"/>
    <n v="1.7006802721088434"/>
    <x v="2"/>
  </r>
  <r>
    <n v="2000857"/>
    <d v="2021-01-21T00:00:00"/>
    <x v="10"/>
    <s v="0 SUMMER STREET #116-2A"/>
    <n v="109420"/>
    <x v="154"/>
    <n v="0.56110000000000004"/>
    <n v="1.7821239261560957"/>
    <x v="2"/>
  </r>
  <r>
    <n v="900039"/>
    <d v="2009-11-19T00:00:00"/>
    <x v="0"/>
    <s v="8 BUTTERNIUT LANE"/>
    <n v="138950"/>
    <x v="154"/>
    <n v="0.71256410299999995"/>
    <n v="1.4033825116948542"/>
    <x v="0"/>
  </r>
  <r>
    <n v="2000022"/>
    <d v="2020-10-13T00:00:00"/>
    <x v="70"/>
    <s v="41 ANDERSON ST"/>
    <n v="108070"/>
    <x v="155"/>
    <n v="0.5585"/>
    <n v="1.7905061534190803"/>
    <x v="2"/>
  </r>
  <r>
    <n v="200010"/>
    <d v="2020-10-22T00:00:00"/>
    <x v="0"/>
    <s v="59 HIGHCREST DRIVE"/>
    <n v="128870"/>
    <x v="156"/>
    <n v="0.66769999999999996"/>
    <n v="1.4976332738418561"/>
    <x v="2"/>
  </r>
  <r>
    <n v="201176"/>
    <d v="2021-03-09T00:00:00"/>
    <x v="3"/>
    <s v="400 BANK ST UNIT 201"/>
    <n v="165550"/>
    <x v="157"/>
    <n v="0.86670000000000003"/>
    <n v="1.1537299909392933"/>
    <x v="2"/>
  </r>
  <r>
    <n v="200419"/>
    <d v="2021-02-04T00:00:00"/>
    <x v="17"/>
    <s v="769 DIXWELL AV"/>
    <n v="74200"/>
    <x v="158"/>
    <n v="0.39050000000000001"/>
    <n v="2.5606469002695418"/>
    <x v="2"/>
  </r>
  <r>
    <n v="70149"/>
    <d v="2008-02-26T00:00:00"/>
    <x v="89"/>
    <s v="140 THOMPSON ST #9C"/>
    <n v="125300"/>
    <x v="158"/>
    <n v="0.65947368399999995"/>
    <n v="1.5163607342378291"/>
    <x v="0"/>
  </r>
  <r>
    <n v="200759"/>
    <d v="2021-07-21T00:00:00"/>
    <x v="33"/>
    <s v="104 MAPLE AVE"/>
    <n v="144410"/>
    <x v="159"/>
    <n v="0.78049999999999997"/>
    <n v="1.2810747178173256"/>
    <x v="2"/>
  </r>
  <r>
    <n v="20486"/>
    <d v="2021-06-15T00:00:00"/>
    <x v="38"/>
    <s v="808 A HERITAGE VILLAGE"/>
    <n v="92080"/>
    <x v="159"/>
    <n v="0.49769999999999998"/>
    <n v="2.0091225021720245"/>
    <x v="2"/>
  </r>
  <r>
    <n v="2000473"/>
    <d v="2021-05-18T00:00:00"/>
    <x v="70"/>
    <s v="33 FAIRCHILD ST"/>
    <n v="98900"/>
    <x v="160"/>
    <n v="0.53600000000000003"/>
    <n v="1.865520728008089"/>
    <x v="2"/>
  </r>
  <r>
    <n v="200527"/>
    <d v="2021-03-01T00:00:00"/>
    <x v="67"/>
    <s v="25 WARD ST"/>
    <n v="85680"/>
    <x v="161"/>
    <n v="0.46810000000000002"/>
    <n v="2.1358543417366946"/>
    <x v="2"/>
  </r>
  <r>
    <n v="161740"/>
    <d v="2017-08-04T00:00:00"/>
    <x v="10"/>
    <s v="44 STRAWBERRY HILL AVE #3P"/>
    <n v="102440"/>
    <x v="162"/>
    <n v="0.56769188100000001"/>
    <n v="1.761518937914877"/>
    <x v="0"/>
  </r>
  <r>
    <n v="20750"/>
    <d v="2021-05-06T00:00:00"/>
    <x v="34"/>
    <s v="3371 MAIN ST"/>
    <n v="126560"/>
    <x v="163"/>
    <n v="0.70309999999999995"/>
    <n v="1.4222503160556257"/>
    <x v="1"/>
  </r>
  <r>
    <n v="200362"/>
    <d v="2021-05-24T00:00:00"/>
    <x v="52"/>
    <s v="75 HILLTOP DRIVE"/>
    <n v="99660"/>
    <x v="163"/>
    <n v="0.55359999999999998"/>
    <n v="1.8061408789885611"/>
    <x v="2"/>
  </r>
  <r>
    <n v="200212"/>
    <d v="2021-03-09T00:00:00"/>
    <x v="9"/>
    <s v="5 CHESTNUT DRIVE"/>
    <n v="130400"/>
    <x v="164"/>
    <n v="0.7248"/>
    <n v="1.3796012269938651"/>
    <x v="2"/>
  </r>
  <r>
    <n v="160539"/>
    <d v="2017-01-06T00:00:00"/>
    <x v="10"/>
    <s v="186 SEATON ROAD # 22-C3"/>
    <n v="74670"/>
    <x v="165"/>
    <n v="0.42305948999999998"/>
    <n v="2.36373376188563"/>
    <x v="0"/>
  </r>
  <r>
    <n v="60610"/>
    <d v="2007-06-19T00:00:00"/>
    <x v="90"/>
    <s v="225 BEACH ST UT 1G"/>
    <n v="124250"/>
    <x v="166"/>
    <n v="0.71"/>
    <n v="1.408450704225352"/>
    <x v="0"/>
  </r>
  <r>
    <n v="100052"/>
    <d v="2011-02-22T00:00:00"/>
    <x v="60"/>
    <s v="15 APPLEWOOD CONDO"/>
    <n v="137300"/>
    <x v="166"/>
    <n v="0.78457142899999999"/>
    <n v="1.2745812090313182"/>
    <x v="0"/>
  </r>
  <r>
    <n v="900251"/>
    <d v="2010-05-03T00:00:00"/>
    <x v="11"/>
    <s v="251 NEW BRITAIN AVE"/>
    <n v="118860"/>
    <x v="166"/>
    <n v="0.67920000000000003"/>
    <n v="1.4723203769140165"/>
    <x v="0"/>
  </r>
  <r>
    <n v="70125"/>
    <d v="2008-01-25T00:00:00"/>
    <x v="63"/>
    <s v="191 SPRING ST"/>
    <n v="87500"/>
    <x v="167"/>
    <n v="0.50374208399999998"/>
    <n v="1.9851428571428571"/>
    <x v="0"/>
  </r>
  <r>
    <n v="130311"/>
    <d v="2014-06-05T00:00:00"/>
    <x v="49"/>
    <s v="71 CANDLEWOOD DR"/>
    <n v="125840"/>
    <x v="168"/>
    <n v="0.72739884399999999"/>
    <n v="1.3747616020343294"/>
    <x v="0"/>
  </r>
  <r>
    <n v="20000179"/>
    <d v="2021-02-22T00:00:00"/>
    <x v="91"/>
    <s v="72 HOMESTEAD LN"/>
    <n v="94770"/>
    <x v="169"/>
    <n v="0.55740000000000001"/>
    <n v="1.7938166086314233"/>
    <x v="2"/>
  </r>
  <r>
    <n v="200468"/>
    <d v="2021-02-12T00:00:00"/>
    <x v="64"/>
    <s v="28 STANLEY ST"/>
    <n v="100520"/>
    <x v="169"/>
    <n v="0.59119999999999995"/>
    <n v="1.6912057302029446"/>
    <x v="2"/>
  </r>
  <r>
    <n v="200192"/>
    <d v="2020-11-20T00:00:00"/>
    <x v="17"/>
    <s v="459 BLATCHLEY AV"/>
    <n v="71150"/>
    <x v="169"/>
    <n v="0.41849999999999998"/>
    <n v="2.3893183415319745"/>
    <x v="2"/>
  </r>
  <r>
    <n v="160293"/>
    <d v="2017-04-20T00:00:00"/>
    <x v="38"/>
    <s v="329 A HERITAGE VILLAGE"/>
    <n v="102830"/>
    <x v="169"/>
    <n v="0.60488235300000004"/>
    <n v="1.6532140425945736"/>
    <x v="0"/>
  </r>
  <r>
    <n v="200113"/>
    <d v="2021-01-14T00:00:00"/>
    <x v="72"/>
    <s v="4 CHELTENHAM CT"/>
    <n v="98280"/>
    <x v="170"/>
    <n v="0.57840000000000003"/>
    <n v="1.7287342287342287"/>
    <x v="2"/>
  </r>
  <r>
    <n v="70491"/>
    <d v="2008-05-28T00:00:00"/>
    <x v="71"/>
    <s v="74 SHEPARD AVE."/>
    <n v="101990"/>
    <x v="171"/>
    <n v="0.60349112400000005"/>
    <n v="1.6570251985488773"/>
    <x v="0"/>
  </r>
  <r>
    <n v="160427"/>
    <d v="2017-08-29T00:00:00"/>
    <x v="63"/>
    <s v="9B BARRINGTON DR"/>
    <n v="113800"/>
    <x v="171"/>
    <n v="0.67337278099999998"/>
    <n v="1.4850615114235501"/>
    <x v="0"/>
  </r>
  <r>
    <n v="170091"/>
    <d v="2017-11-27T00:00:00"/>
    <x v="24"/>
    <s v="103 CEDAR KNOLLS"/>
    <n v="112800"/>
    <x v="172"/>
    <n v="0.67363392099999997"/>
    <n v="1.4844858156028369"/>
    <x v="0"/>
  </r>
  <r>
    <n v="20522"/>
    <d v="2021-03-11T00:00:00"/>
    <x v="34"/>
    <s v="26 BRANFORD ST"/>
    <n v="35875"/>
    <x v="173"/>
    <n v="0.21740000000000001"/>
    <n v="4.5993031358885021"/>
    <x v="2"/>
  </r>
  <r>
    <n v="20513"/>
    <d v="2021-03-11T00:00:00"/>
    <x v="21"/>
    <s v="32 HIGHLAND TERR"/>
    <n v="97580"/>
    <x v="174"/>
    <n v="0.59750000000000003"/>
    <n v="1.673498667759787"/>
    <x v="2"/>
  </r>
  <r>
    <n v="100533"/>
    <d v="2011-06-29T00:00:00"/>
    <x v="4"/>
    <s v="166 OLD BROOKFIELD RD #27B1"/>
    <n v="146800"/>
    <x v="175"/>
    <n v="0.90171990199999996"/>
    <n v="1.1089918256130791"/>
    <x v="0"/>
  </r>
  <r>
    <n v="10113"/>
    <d v="2010-12-22T00:00:00"/>
    <x v="36"/>
    <s v="70 SPRINGBROOK RD"/>
    <n v="119400"/>
    <x v="176"/>
    <n v="0.74161490699999999"/>
    <n v="1.3484087102177555"/>
    <x v="0"/>
  </r>
  <r>
    <n v="90163"/>
    <d v="2009-11-24T00:00:00"/>
    <x v="40"/>
    <s v="893 FARMINGTON AVE 2-2E"/>
    <n v="105000"/>
    <x v="176"/>
    <n v="0.65217391300000005"/>
    <n v="1.5333333333333334"/>
    <x v="0"/>
  </r>
  <r>
    <n v="20000050"/>
    <d v="2020-11-05T00:00:00"/>
    <x v="91"/>
    <s v="4 CHELSEA CT"/>
    <n v="105110"/>
    <x v="177"/>
    <n v="0.65693749999999995"/>
    <n v="1.5222148225668348"/>
    <x v="2"/>
  </r>
  <r>
    <n v="200991"/>
    <d v="2021-07-08T00:00:00"/>
    <x v="19"/>
    <s v="64 MILFORD ROAD"/>
    <n v="104300"/>
    <x v="177"/>
    <n v="0.65180000000000005"/>
    <n v="1.5340364333652925"/>
    <x v="2"/>
  </r>
  <r>
    <n v="80588"/>
    <d v="2009-07-21T00:00:00"/>
    <x v="4"/>
    <s v="55 MILL PLAIN RD #33-3"/>
    <n v="125900"/>
    <x v="177"/>
    <n v="0.78687499999999999"/>
    <n v="1.2708498808578237"/>
    <x v="0"/>
  </r>
  <r>
    <n v="70130"/>
    <d v="2008-08-29T00:00:00"/>
    <x v="92"/>
    <s v="257 SABIN ST #18"/>
    <n v="91700"/>
    <x v="178"/>
    <n v="0.58407643300000001"/>
    <n v="1.7121046892039258"/>
    <x v="0"/>
  </r>
  <r>
    <n v="180207"/>
    <d v="2019-02-27T00:00:00"/>
    <x v="24"/>
    <s v="406 THOREAU ST"/>
    <n v="100800"/>
    <x v="179"/>
    <n v="0.64615384600000003"/>
    <n v="1.5476190476190477"/>
    <x v="0"/>
  </r>
  <r>
    <n v="200032"/>
    <d v="2020-10-08T00:00:00"/>
    <x v="67"/>
    <s v="9 LESLIE COURT"/>
    <n v="94920"/>
    <x v="180"/>
    <n v="0.61229999999999996"/>
    <n v="1.6329540665823852"/>
    <x v="2"/>
  </r>
  <r>
    <n v="161240"/>
    <d v="2017-07-26T00:00:00"/>
    <x v="44"/>
    <s v="18 PROSPECT ST"/>
    <n v="95050"/>
    <x v="180"/>
    <n v="0.61322580599999998"/>
    <n v="1.6307206733298265"/>
    <x v="0"/>
  </r>
  <r>
    <n v="62389"/>
    <d v="2007-08-24T00:00:00"/>
    <x v="93"/>
    <s v="166 KENNEDY DR"/>
    <n v="80521"/>
    <x v="181"/>
    <n v="0.52117152099999997"/>
    <n v="1.9187541138336583"/>
    <x v="0"/>
  </r>
  <r>
    <n v="12323"/>
    <d v="2013-07-08T00:00:00"/>
    <x v="90"/>
    <s v="45 SAVIN PARK"/>
    <n v="126280"/>
    <x v="182"/>
    <n v="0.82267100999999998"/>
    <n v="1.2155527399429837"/>
    <x v="0"/>
  </r>
  <r>
    <n v="190443"/>
    <d v="2020-04-29T00:00:00"/>
    <x v="94"/>
    <s v="94 CYNTHIA LA #B-6"/>
    <n v="92280"/>
    <x v="183"/>
    <n v="0.60309999999999997"/>
    <n v="1.6579973992197659"/>
    <x v="0"/>
  </r>
  <r>
    <n v="90035"/>
    <d v="2009-12-01T00:00:00"/>
    <x v="95"/>
    <s v="2 WOODSTOCK HILLS"/>
    <n v="110700"/>
    <x v="184"/>
    <n v="0.73311258300000004"/>
    <n v="1.3640469738030714"/>
    <x v="0"/>
  </r>
  <r>
    <n v="201018"/>
    <d v="2021-06-03T00:00:00"/>
    <x v="4"/>
    <s v="55 FOREST AV"/>
    <n v="136900"/>
    <x v="185"/>
    <n v="0.91259999999999997"/>
    <n v="1.0956902848794741"/>
    <x v="2"/>
  </r>
  <r>
    <n v="200285"/>
    <d v="2021-04-12T00:00:00"/>
    <x v="42"/>
    <s v="30 GRANITE RD"/>
    <n v="77840"/>
    <x v="185"/>
    <n v="0.51890000000000003"/>
    <n v="1.9270298047276464"/>
    <x v="2"/>
  </r>
  <r>
    <n v="200230"/>
    <d v="2021-04-26T00:00:00"/>
    <x v="96"/>
    <s v="152 NORTH ST"/>
    <n v="143220"/>
    <x v="185"/>
    <n v="0.95479999999999998"/>
    <n v="1.0473397570171763"/>
    <x v="3"/>
  </r>
  <r>
    <n v="201777"/>
    <d v="2021-06-08T00:00:00"/>
    <x v="87"/>
    <s v="18 CAMP ST"/>
    <n v="36770"/>
    <x v="185"/>
    <n v="0.24510000000000001"/>
    <n v="4.0794125645906991"/>
    <x v="2"/>
  </r>
  <r>
    <n v="90347"/>
    <d v="2009-12-30T00:00:00"/>
    <x v="87"/>
    <s v="210 STONEFIELD DR #48"/>
    <n v="87700"/>
    <x v="186"/>
    <n v="0.58525191899999995"/>
    <n v="1.7086659064994298"/>
    <x v="0"/>
  </r>
  <r>
    <n v="90832"/>
    <d v="2010-06-30T00:00:00"/>
    <x v="17"/>
    <s v="418 WOODWARD AVE UNIT 16"/>
    <n v="99960"/>
    <x v="187"/>
    <n v="0.68465753399999996"/>
    <n v="1.4605842336934773"/>
    <x v="0"/>
  </r>
  <r>
    <n v="150007"/>
    <d v="2015-10-28T00:00:00"/>
    <x v="97"/>
    <s v="32 CHELSEA LANE"/>
    <n v="100900"/>
    <x v="188"/>
    <n v="0.69634230500000005"/>
    <n v="1.4360753221010902"/>
    <x v="0"/>
  </r>
  <r>
    <n v="100020"/>
    <d v="2010-10-22T00:00:00"/>
    <x v="24"/>
    <s v="6B ROCKLEDGE"/>
    <n v="123700"/>
    <x v="189"/>
    <n v="0.86022253100000001"/>
    <n v="1.1624898949070332"/>
    <x v="0"/>
  </r>
  <r>
    <n v="60190"/>
    <d v="2006-12-11T00:00:00"/>
    <x v="62"/>
    <s v="19 TERRACE GDNS"/>
    <n v="78260"/>
    <x v="190"/>
    <n v="0.54727272699999996"/>
    <n v="1.8272425249169435"/>
    <x v="0"/>
  </r>
  <r>
    <n v="9347"/>
    <d v="2010-02-23T00:00:00"/>
    <x v="64"/>
    <s v="28 STERLING VLG"/>
    <n v="93050"/>
    <x v="190"/>
    <n v="0.65069930099999995"/>
    <n v="1.5368081676518002"/>
    <x v="0"/>
  </r>
  <r>
    <n v="17141"/>
    <d v="2017-11-30T00:00:00"/>
    <x v="90"/>
    <s v="375 CAPT THOMAS BLVD #14"/>
    <n v="119630"/>
    <x v="191"/>
    <n v="0.83860000000000001"/>
    <n v="1.1924266488339046"/>
    <x v="0"/>
  </r>
  <r>
    <n v="200375"/>
    <d v="2021-04-06T00:00:00"/>
    <x v="89"/>
    <s v="55      THOMPSON ST #5A"/>
    <n v="76960"/>
    <x v="192"/>
    <n v="0.54969999999999997"/>
    <n v="1.8191268191268191"/>
    <x v="2"/>
  </r>
  <r>
    <n v="14332"/>
    <d v="2015-06-24T00:00:00"/>
    <x v="76"/>
    <s v="154 COTTONWOOD ROAD"/>
    <n v="107520"/>
    <x v="192"/>
    <n v="0.76800000000000002"/>
    <n v="1.3020833333333333"/>
    <x v="0"/>
  </r>
  <r>
    <n v="202250"/>
    <d v="2021-08-09T00:00:00"/>
    <x v="87"/>
    <s v="94 SOUTHMAYD RD #3"/>
    <n v="63100"/>
    <x v="193"/>
    <n v="0.45100000000000001"/>
    <n v="2.2171156893819335"/>
    <x v="2"/>
  </r>
  <r>
    <n v="150498"/>
    <d v="2016-05-02T00:00:00"/>
    <x v="64"/>
    <s v="160 SUFFOLK CT"/>
    <n v="94570"/>
    <x v="194"/>
    <n v="0.70051851899999995"/>
    <n v="1.4275140107856614"/>
    <x v="0"/>
  </r>
  <r>
    <n v="13105"/>
    <d v="2014-03-11T00:00:00"/>
    <x v="75"/>
    <s v="42 SILO WAY"/>
    <n v="124460"/>
    <x v="195"/>
    <n v="0.93578947400000001"/>
    <n v="1.0686164229471316"/>
    <x v="0"/>
  </r>
  <r>
    <n v="2020180"/>
    <d v="2021-03-01T00:00:00"/>
    <x v="25"/>
    <s v="1539 FARMINGTON AVE"/>
    <n v="234200"/>
    <x v="196"/>
    <n v="18015"/>
    <n v="0.5550811272416738"/>
    <x v="2"/>
  </r>
  <r>
    <n v="200436"/>
    <d v="2021-05-04T00:00:00"/>
    <x v="12"/>
    <s v="67 LEAFWOOD LN S250"/>
    <n v="71960"/>
    <x v="196"/>
    <n v="0.55349999999999999"/>
    <n v="1.8065591995553085"/>
    <x v="2"/>
  </r>
  <r>
    <n v="200377"/>
    <d v="2021-05-28T00:00:00"/>
    <x v="52"/>
    <s v="108 LIBRARY LANE"/>
    <n v="80010"/>
    <x v="196"/>
    <n v="0.61539999999999995"/>
    <n v="1.6247969003874516"/>
    <x v="2"/>
  </r>
  <r>
    <n v="90097"/>
    <d v="2010-06-03T00:00:00"/>
    <x v="95"/>
    <s v="5 WOODSTOCK MEADOWS"/>
    <n v="126200"/>
    <x v="196"/>
    <n v="0.97076923100000001"/>
    <n v="1.0301109350237718"/>
    <x v="0"/>
  </r>
  <r>
    <n v="140129"/>
    <d v="2015-07-13T00:00:00"/>
    <x v="98"/>
    <s v="229 BRANFORD RD #222"/>
    <n v="88000"/>
    <x v="197"/>
    <n v="0.68287989100000002"/>
    <n v="1.4643863636363637"/>
    <x v="0"/>
  </r>
  <r>
    <n v="20273"/>
    <d v="2021-01-11T00:00:00"/>
    <x v="99"/>
    <s v="12 CARPENTER CLOSE"/>
    <n v="89810"/>
    <x v="198"/>
    <n v="0.7"/>
    <n v="1.4285714285714286"/>
    <x v="2"/>
  </r>
  <r>
    <n v="900152"/>
    <d v="2010-05-03T00:00:00"/>
    <x v="0"/>
    <s v="5D CARILLON DRIVE"/>
    <n v="88620"/>
    <x v="199"/>
    <n v="0.69779527600000002"/>
    <n v="1.4330850823741819"/>
    <x v="0"/>
  </r>
  <r>
    <n v="160624"/>
    <d v="2017-08-17T00:00:00"/>
    <x v="13"/>
    <s v="306 SALEM TPKE UNIT#4"/>
    <n v="96100"/>
    <x v="200"/>
    <n v="0.76573705199999997"/>
    <n v="1.3059313215400625"/>
    <x v="0"/>
  </r>
  <r>
    <n v="130523"/>
    <d v="2014-09-26T00:00:00"/>
    <x v="49"/>
    <s v="156 WYNWOOD DR"/>
    <n v="97940"/>
    <x v="201"/>
    <n v="0.78351999999999999"/>
    <n v="1.2762916071063917"/>
    <x v="0"/>
  </r>
  <r>
    <n v="160521"/>
    <d v="2017-06-30T00:00:00"/>
    <x v="82"/>
    <s v="442 EVERGREEN RD"/>
    <n v="88000"/>
    <x v="201"/>
    <n v="0.70399999999999996"/>
    <n v="1.4204545454545454"/>
    <x v="0"/>
  </r>
  <r>
    <n v="160010"/>
    <d v="2016-10-13T00:00:00"/>
    <x v="0"/>
    <s v="29A CARILLON DRIVE"/>
    <n v="76930"/>
    <x v="202"/>
    <n v="0.61791164700000001"/>
    <n v="1.6183543481086702"/>
    <x v="0"/>
  </r>
  <r>
    <n v="70133"/>
    <d v="2008-03-20T00:00:00"/>
    <x v="100"/>
    <s v="3N LAKESIDE DR"/>
    <n v="92820"/>
    <x v="203"/>
    <n v="0.74854838700000004"/>
    <n v="1.3359189829778064"/>
    <x v="0"/>
  </r>
  <r>
    <n v="200174"/>
    <d v="2020-11-20T00:00:00"/>
    <x v="82"/>
    <s v="194 LEDGE DR"/>
    <n v="58020"/>
    <x v="204"/>
    <n v="0.47360000000000002"/>
    <n v="2.1113409169251982"/>
    <x v="2"/>
  </r>
  <r>
    <n v="160065"/>
    <d v="2016-12-05T00:00:00"/>
    <x v="0"/>
    <s v="4 COPPER BEECH DRIVE"/>
    <n v="89950"/>
    <x v="204"/>
    <n v="0.73428571399999998"/>
    <n v="1.3618677042801557"/>
    <x v="0"/>
  </r>
  <r>
    <n v="201592"/>
    <d v="2021-05-12T00:00:00"/>
    <x v="87"/>
    <s v="26 COOPER ST"/>
    <n v="73860"/>
    <x v="205"/>
    <n v="0.60540000000000005"/>
    <n v="1.6517736257784998"/>
    <x v="2"/>
  </r>
  <r>
    <n v="100226"/>
    <d v="2011-02-25T00:00:00"/>
    <x v="67"/>
    <s v="35 RUTH ST #60"/>
    <n v="93450"/>
    <x v="206"/>
    <n v="0.77875000000000005"/>
    <n v="1.2841091492776886"/>
    <x v="0"/>
  </r>
  <r>
    <n v="100254"/>
    <d v="2011-07-07T00:00:00"/>
    <x v="11"/>
    <s v="11-A4 BYRNE COURT"/>
    <n v="91000"/>
    <x v="207"/>
    <n v="0.79130434800000005"/>
    <n v="1.2637362637362637"/>
    <x v="0"/>
  </r>
  <r>
    <n v="90010"/>
    <d v="2009-10-19T00:00:00"/>
    <x v="18"/>
    <s v="13 HOLT ST #4"/>
    <n v="94260"/>
    <x v="207"/>
    <n v="0.81965217400000001"/>
    <n v="1.22002970507108"/>
    <x v="0"/>
  </r>
  <r>
    <n v="800234"/>
    <d v="2009-06-03T00:00:00"/>
    <x v="11"/>
    <s v="1622 FARMINGTON AV UNIT 11"/>
    <n v="82250"/>
    <x v="208"/>
    <n v="0.73111111100000004"/>
    <n v="1.3677811550151975"/>
    <x v="0"/>
  </r>
  <r>
    <n v="160444"/>
    <d v="2017-07-10T00:00:00"/>
    <x v="38"/>
    <s v="73 B HERITAGE VILLAGE"/>
    <n v="58510"/>
    <x v="209"/>
    <n v="0.53190909099999995"/>
    <n v="1.8800205093146471"/>
    <x v="0"/>
  </r>
  <r>
    <n v="180650"/>
    <d v="2019-01-24T00:00:00"/>
    <x v="93"/>
    <s v="333 VINCELLETTE ST UNIT 82"/>
    <n v="64720"/>
    <x v="210"/>
    <n v="0.59919999999999995"/>
    <n v="1.6687268232385661"/>
    <x v="0"/>
  </r>
  <r>
    <n v="908206"/>
    <d v="2010-09-10T00:00:00"/>
    <x v="90"/>
    <s v="155 BULL HILL LA #S2"/>
    <n v="69020"/>
    <x v="211"/>
    <n v="0.64204651199999996"/>
    <n v="1.5575195595479572"/>
    <x v="0"/>
  </r>
  <r>
    <n v="171321"/>
    <d v="2018-05-14T00:00:00"/>
    <x v="93"/>
    <s v="50 GREENHOUSE RD UNIT 57C"/>
    <n v="59750"/>
    <x v="212"/>
    <n v="0.55840000000000001"/>
    <n v="1.7907949790794979"/>
    <x v="0"/>
  </r>
  <r>
    <n v="200953"/>
    <d v="2021-05-28T00:00:00"/>
    <x v="17"/>
    <s v="44 FRONT ST"/>
    <n v="64470"/>
    <x v="213"/>
    <n v="0.61399999999999999"/>
    <n v="1.6286644951140066"/>
    <x v="2"/>
  </r>
  <r>
    <n v="200007"/>
    <d v="2020-10-02T00:00:00"/>
    <x v="88"/>
    <s v="23-D AMATO DR"/>
    <n v="68300"/>
    <x v="213"/>
    <n v="0.65039999999999998"/>
    <n v="1.5373352855051245"/>
    <x v="2"/>
  </r>
  <r>
    <n v="10090"/>
    <d v="2010-11-17T00:00:00"/>
    <x v="61"/>
    <s v="333 WEST AVENUE U20"/>
    <n v="127480"/>
    <x v="213"/>
    <n v="1214095238"/>
    <n v="0.82365861311578292"/>
    <x v="0"/>
  </r>
  <r>
    <n v="120151"/>
    <d v="2013-09-13T00:00:00"/>
    <x v="18"/>
    <s v="30 SEYMOUR RD UNIT C-2"/>
    <n v="76270"/>
    <x v="213"/>
    <n v="0.72638095199999997"/>
    <n v="1.3766880818146061"/>
    <x v="0"/>
  </r>
  <r>
    <n v="160052"/>
    <d v="2017-02-01T00:00:00"/>
    <x v="101"/>
    <s v="230 E WAKEFIELD BLVD"/>
    <n v="79310"/>
    <x v="214"/>
    <n v="0.79310000000000003"/>
    <n v="1.2608750472828143"/>
    <x v="0"/>
  </r>
  <r>
    <n v="160606"/>
    <d v="2017-07-18T00:00:00"/>
    <x v="102"/>
    <s v="22 VILLAGE RD"/>
    <n v="68800"/>
    <x v="215"/>
    <n v="0.72421052600000002"/>
    <n v="1.3808139534883721"/>
    <x v="0"/>
  </r>
  <r>
    <n v="201212"/>
    <d v="2021-08-23T00:00:00"/>
    <x v="67"/>
    <s v="8 JENNINGS TERR"/>
    <n v="88060"/>
    <x v="216"/>
    <n v="0.96760000000000002"/>
    <n v="1.0333863275039745"/>
    <x v="2"/>
  </r>
  <r>
    <n v="2020065"/>
    <d v="2020-12-20T00:00:00"/>
    <x v="103"/>
    <s v="H2 TOLLAND MEADOWS"/>
    <n v="55200"/>
    <x v="217"/>
    <n v="0.61329999999999996"/>
    <n v="1.6304347826086956"/>
    <x v="2"/>
  </r>
  <r>
    <n v="200377"/>
    <d v="2021-08-16T00:00:00"/>
    <x v="104"/>
    <s v="492 EAST ST B-36"/>
    <n v="41090"/>
    <x v="218"/>
    <n v="0.45700000000000002"/>
    <n v="2.1878802628376732"/>
    <x v="2"/>
  </r>
  <r>
    <n v="2020256"/>
    <d v="2021-06-23T00:00:00"/>
    <x v="103"/>
    <s v="D3 TOLLAND MEADOWS"/>
    <n v="55200"/>
    <x v="218"/>
    <n v="0.61401557299999998"/>
    <n v="1.6286231884057971"/>
    <x v="2"/>
  </r>
  <r>
    <n v="90706"/>
    <d v="2010-07-01T00:00:00"/>
    <x v="40"/>
    <s v="140 KANE ST B1"/>
    <n v="76500"/>
    <x v="219"/>
    <n v="0.88953488400000003"/>
    <n v="1.1241830065359477"/>
    <x v="0"/>
  </r>
  <r>
    <n v="160400"/>
    <d v="2017-06-21T00:00:00"/>
    <x v="38"/>
    <s v="270 D HERITAGE VILLAGE"/>
    <n v="57720"/>
    <x v="220"/>
    <n v="0.67905882399999995"/>
    <n v="1.4726264726264726"/>
    <x v="0"/>
  </r>
  <r>
    <n v="160697"/>
    <d v="2017-02-16T00:00:00"/>
    <x v="10"/>
    <s v="22 GLENBROOK ROAD # 103"/>
    <n v="47960"/>
    <x v="220"/>
    <n v="0.56423529400000005"/>
    <n v="1.7723102585487907"/>
    <x v="0"/>
  </r>
  <r>
    <n v="200821"/>
    <d v="2021-05-27T00:00:00"/>
    <x v="64"/>
    <s v="7 CARRIAGE CRSNG"/>
    <n v="67270"/>
    <x v="221"/>
    <n v="0.82030000000000003"/>
    <n v="1.2189683365541846"/>
    <x v="2"/>
  </r>
  <r>
    <n v="120504"/>
    <d v="2013-02-14T00:00:00"/>
    <x v="93"/>
    <s v="333 VINCELLETTE ST #70"/>
    <n v="101750"/>
    <x v="222"/>
    <n v="1271875"/>
    <n v="0.78624078624078619"/>
    <x v="0"/>
  </r>
  <r>
    <n v="90111"/>
    <d v="2009-12-02T00:00:00"/>
    <x v="66"/>
    <s v="165-53 SOUTH ST"/>
    <n v="62630"/>
    <x v="223"/>
    <n v="0.84635135100000003"/>
    <n v="1.1815423918250041"/>
    <x v="0"/>
  </r>
  <r>
    <n v="200242"/>
    <d v="2021-01-27T00:00:00"/>
    <x v="89"/>
    <s v="130 COE AVE #51"/>
    <n v="28240"/>
    <x v="224"/>
    <n v="0.38684931500000003"/>
    <n v="2.5849858356940509"/>
    <x v="2"/>
  </r>
  <r>
    <n v="91123"/>
    <d v="2010-07-12T00:00:00"/>
    <x v="87"/>
    <s v="192 MAYBURY CIRCLE #5"/>
    <n v="52580"/>
    <x v="225"/>
    <n v="0.80892307699999999"/>
    <n v="1.2362114872575123"/>
    <x v="0"/>
  </r>
  <r>
    <n v="190767"/>
    <d v="2020-03-02T00:00:00"/>
    <x v="87"/>
    <s v="1424 THOMASTON AVE #2"/>
    <n v="28490"/>
    <x v="226"/>
    <n v="0.46700000000000003"/>
    <n v="2.1411021411021411"/>
    <x v="0"/>
  </r>
  <r>
    <n v="170668"/>
    <d v="2018-01-31T00:00:00"/>
    <x v="93"/>
    <s v="120 HUNTINGTON TPKE UNIT 708"/>
    <n v="27570"/>
    <x v="227"/>
    <n v="0.4672"/>
    <n v="2.1400072542618789"/>
    <x v="0"/>
  </r>
  <r>
    <n v="160606"/>
    <d v="2017-08-10T00:00:00"/>
    <x v="13"/>
    <s v="1913 OLD POND LN"/>
    <n v="41000"/>
    <x v="228"/>
    <n v="0.74545454499999997"/>
    <n v="1.3414634146341464"/>
    <x v="0"/>
  </r>
  <r>
    <n v="181369"/>
    <d v="2019-06-07T00:00:00"/>
    <x v="93"/>
    <s v="265-A TEXAS AVE"/>
    <n v="36950"/>
    <x v="229"/>
    <n v="0.71050000000000002"/>
    <n v="1.4073071718538566"/>
    <x v="0"/>
  </r>
  <r>
    <n v="100418"/>
    <d v="2011-08-10T00:00:00"/>
    <x v="105"/>
    <s v="233 ELLINGTON RD #312"/>
    <n v="38500"/>
    <x v="230"/>
    <n v="0.77"/>
    <n v="1.2987012987012987"/>
    <x v="0"/>
  </r>
  <r>
    <n v="10470"/>
    <d v="2011-06-06T00:00:00"/>
    <x v="34"/>
    <s v="29 MORRIS ST. UNIT M29C"/>
    <n v="27874"/>
    <x v="231"/>
    <n v="0.66366666699999999"/>
    <n v="1.5067805123053741"/>
    <x v="0"/>
  </r>
  <r>
    <n v="1384"/>
    <d v="2014-02-28T00:00:00"/>
    <x v="60"/>
    <s v="9 LIBERTY PINES"/>
    <n v="65100"/>
    <x v="232"/>
    <n v="1587804878"/>
    <n v="0.62980030721966207"/>
    <x v="0"/>
  </r>
  <r>
    <n v="17568"/>
    <d v="2018-05-24T00:00:00"/>
    <x v="34"/>
    <s v="755 WETHERSFIELD AV UNIT B2"/>
    <n v="11620"/>
    <x v="233"/>
    <n v="0.30180000000000001"/>
    <n v="3.3132530120481927"/>
    <x v="0"/>
  </r>
  <r>
    <n v="61464"/>
    <d v="2007-05-25T00:00:00"/>
    <x v="87"/>
    <s v="21 THIRD ST UT 6B"/>
    <n v="14770"/>
    <x v="234"/>
    <n v="0.44757575799999999"/>
    <n v="2.2342586323628977"/>
    <x v="0"/>
  </r>
  <r>
    <n v="190478"/>
    <d v="2020-04-06T00:00:00"/>
    <x v="64"/>
    <s v="214 BROAD VIEW N"/>
    <n v="50820"/>
    <x v="235"/>
    <n v="1694"/>
    <n v="0.59031877213695394"/>
    <x v="0"/>
  </r>
  <r>
    <n v="180558"/>
    <d v="2019-05-21T00:00:00"/>
    <x v="17"/>
    <s v="1203 ELLA T GRASSO BLVD # B"/>
    <n v="28910"/>
    <x v="235"/>
    <n v="0.96360000000000001"/>
    <n v="1.0377032168799722"/>
    <x v="0"/>
  </r>
  <r>
    <n v="2000720"/>
    <d v="2021-01-05T00:00:00"/>
    <x v="10"/>
    <s v="57 HARBOR DRIVE GARAGE G-105B"/>
    <n v="19110"/>
    <x v="236"/>
    <n v="0.69489999999999996"/>
    <n v="1.4390371533228676"/>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6">
  <r>
    <n v="200195"/>
    <s v="4/26/2021"/>
    <x v="0"/>
    <x v="0"/>
    <d v="2021-04-01T00:00:00"/>
    <s v="Cromwell"/>
    <s v="34      SHUNPIKE      ROAD"/>
    <n v="3360000"/>
    <n v="5214750"/>
    <n v="0.64429999999999998"/>
    <n v="1.5520089285714285"/>
    <s v="Commercial"/>
    <s v="Undervalued"/>
    <s v="Apr"/>
    <n v="2021"/>
    <m/>
  </r>
  <r>
    <n v="201233"/>
    <s v="6/22/2021"/>
    <x v="1"/>
    <x v="0"/>
    <d v="2021-06-01T00:00:00"/>
    <s v="Greenwich"/>
    <s v="11 BAYBERRY LANE"/>
    <n v="4259500"/>
    <n v="4300000"/>
    <n v="0.99050000000000005"/>
    <n v="1.0095081582345347"/>
    <s v="Residential"/>
    <s v="Undervalued"/>
    <s v="Jun"/>
    <n v="2021"/>
    <m/>
  </r>
  <r>
    <n v="170261"/>
    <s v="5/1/2018"/>
    <x v="2"/>
    <x v="1"/>
    <d v="2018-05-01T00:00:00"/>
    <s v="New London"/>
    <s v="83 MANSFIELD RD 228"/>
    <n v="30660"/>
    <n v="3266250"/>
    <n v="9.3869120000000007E-3"/>
    <n v="106.53131115459882"/>
    <s v="Condo"/>
    <s v="Overvalued"/>
    <s v="May"/>
    <n v="2018"/>
    <m/>
  </r>
  <r>
    <n v="170255"/>
    <s v="5/1/2018"/>
    <x v="2"/>
    <x v="1"/>
    <d v="2018-05-01T00:00:00"/>
    <s v="New London"/>
    <s v="83 MANSFIELD RD 220"/>
    <n v="30660"/>
    <n v="3266250"/>
    <n v="9.3869120000000007E-3"/>
    <n v="106.53131115459882"/>
    <s v="Condo"/>
    <s v="Overvalued"/>
    <s v="May"/>
    <n v="2018"/>
    <m/>
  </r>
  <r>
    <n v="201186"/>
    <s v="7/12/2021"/>
    <x v="3"/>
    <x v="0"/>
    <d v="2021-07-01T00:00:00"/>
    <s v="Danbury"/>
    <s v="28 MAIN ST"/>
    <n v="695500"/>
    <n v="3200000"/>
    <n v="0.21734375"/>
    <n v="4.6010064701653484"/>
    <s v="Commercial"/>
    <s v="Overvalued"/>
    <s v="Jul"/>
    <n v="2021"/>
    <m/>
  </r>
  <r>
    <n v="200645"/>
    <s v="2/17/2021"/>
    <x v="4"/>
    <x v="0"/>
    <d v="2021-02-01T00:00:00"/>
    <s v="Greenwich"/>
    <s v="123 VALLEY DRIVE"/>
    <n v="2661200"/>
    <n v="3000000"/>
    <n v="0.88700000000000001"/>
    <n v="1.1273109875244252"/>
    <s v="Residential"/>
    <s v="Undervalued"/>
    <s v="Feb"/>
    <n v="2021"/>
    <m/>
  </r>
  <r>
    <n v="200661"/>
    <s v="8/30/2021"/>
    <x v="5"/>
    <x v="0"/>
    <d v="2021-08-01T00:00:00"/>
    <s v="New Canaan"/>
    <s v="322 MAIN ST"/>
    <n v="1279460"/>
    <n v="2400000"/>
    <n v="0.53310000000000002"/>
    <n v="1.87579134947556"/>
    <s v="Residential"/>
    <s v="Undervalued"/>
    <s v="Aug"/>
    <n v="2021"/>
    <m/>
  </r>
  <r>
    <n v="201437"/>
    <s v="7/20/2021"/>
    <x v="3"/>
    <x v="0"/>
    <d v="2021-07-01T00:00:00"/>
    <s v="Greenwich"/>
    <s v="552 RIVER ROAD"/>
    <n v="1337630"/>
    <n v="2300000"/>
    <n v="0.58150000000000002"/>
    <n v="1.7194590432331811"/>
    <s v="Residential"/>
    <s v="Undervalued"/>
    <s v="Jul"/>
    <n v="2021"/>
    <m/>
  </r>
  <r>
    <n v="200055"/>
    <s v="1/25/2021"/>
    <x v="6"/>
    <x v="0"/>
    <d v="2021-01-01T00:00:00"/>
    <s v="Washington"/>
    <s v="136 OLD LITCHFIELD RD"/>
    <n v="1030330"/>
    <n v="2285000"/>
    <n v="0.45090000000000002"/>
    <n v="2.2177360651441771"/>
    <s v="Residential"/>
    <s v="Overvalued"/>
    <s v="Jan"/>
    <n v="2021"/>
    <m/>
  </r>
  <r>
    <n v="2016743"/>
    <s v="7/19/2021"/>
    <x v="3"/>
    <x v="0"/>
    <d v="2021-07-01T00:00:00"/>
    <s v="Redding"/>
    <s v="241 ETHAN ALLEN HIGHWAY"/>
    <n v="1769800"/>
    <n v="1800000"/>
    <n v="0.98319999999999996"/>
    <n v="1.0170640750367272"/>
    <s v="Commercial"/>
    <s v="Undervalued"/>
    <s v="Jul"/>
    <n v="2021"/>
    <m/>
  </r>
  <r>
    <n v="200320"/>
    <s v="5/10/2021"/>
    <x v="2"/>
    <x v="0"/>
    <d v="2021-05-01T00:00:00"/>
    <s v="East Lyme"/>
    <s v="9 FREEDOM WAY"/>
    <n v="776230"/>
    <n v="1525000"/>
    <n v="0.50900000000000001"/>
    <n v="1.9646238872499131"/>
    <s v="Commercial"/>
    <s v="Undervalued"/>
    <s v="May"/>
    <n v="2021"/>
    <m/>
  </r>
  <r>
    <n v="200377"/>
    <s v="7/2/2021"/>
    <x v="3"/>
    <x v="0"/>
    <d v="2021-07-01T00:00:00"/>
    <s v="Avon"/>
    <s v="70 FAR HILLS DRIVE"/>
    <n v="862330"/>
    <n v="1447500"/>
    <n v="0.59570000000000001"/>
    <n v="1.6785917224264493"/>
    <s v="Residential"/>
    <s v="Undervalued"/>
    <s v="Jul"/>
    <n v="2021"/>
    <m/>
  </r>
  <r>
    <n v="200109"/>
    <s v="12/9/2020"/>
    <x v="7"/>
    <x v="2"/>
    <d v="2020-12-01T00:00:00"/>
    <s v="Avon"/>
    <s v="57 FAR HILLS DRIVE"/>
    <n v="847520"/>
    <n v="1250000"/>
    <n v="0.67800000000000005"/>
    <n v="1.474891447989428"/>
    <s v="Residential"/>
    <s v="Undervalued"/>
    <s v="Dec"/>
    <n v="2020"/>
    <m/>
  </r>
  <r>
    <n v="201494"/>
    <s v="7/28/2021"/>
    <x v="3"/>
    <x v="0"/>
    <d v="2021-07-01T00:00:00"/>
    <s v="Greenwich"/>
    <s v="20 EAST LYON FARM DRIVE"/>
    <n v="632170"/>
    <n v="1250000"/>
    <n v="0.50570000000000004"/>
    <n v="1.9773162282297483"/>
    <s v="Residential"/>
    <s v="Undervalued"/>
    <s v="Jul"/>
    <n v="2021"/>
    <m/>
  </r>
  <r>
    <n v="200020"/>
    <s v="10/6/2020"/>
    <x v="8"/>
    <x v="2"/>
    <d v="2020-10-01T00:00:00"/>
    <s v="Groton"/>
    <s v="98 EAST SHORE AVE"/>
    <n v="654570"/>
    <n v="990000"/>
    <n v="0.66118181799999998"/>
    <n v="1.5124432833768733"/>
    <s v="Residential"/>
    <s v="Undervalued"/>
    <s v="Oct"/>
    <n v="2020"/>
    <m/>
  </r>
  <r>
    <n v="2001101"/>
    <s v="3/4/2021"/>
    <x v="9"/>
    <x v="0"/>
    <d v="2021-03-01T00:00:00"/>
    <s v="Stamford"/>
    <s v="385 ERSKINE ROAD"/>
    <n v="599810"/>
    <n v="950000"/>
    <n v="0.63129999999999997"/>
    <n v="1.5838348810456644"/>
    <s v="Residential"/>
    <s v="Undervalued"/>
    <s v="Mar"/>
    <n v="2021"/>
    <m/>
  </r>
  <r>
    <n v="200427"/>
    <s v="2/5/2021"/>
    <x v="4"/>
    <x v="0"/>
    <d v="2021-02-01T00:00:00"/>
    <s v="Norwich"/>
    <s v="287-291 MAIN ST"/>
    <n v="587600"/>
    <n v="939000"/>
    <n v="0.62570000000000003"/>
    <n v="1.5980258679373724"/>
    <s v="Commercial"/>
    <s v="Undervalued"/>
    <s v="Feb"/>
    <n v="2021"/>
    <m/>
  </r>
  <r>
    <n v="2001570"/>
    <s v="5/14/2021"/>
    <x v="2"/>
    <x v="0"/>
    <d v="2021-05-01T00:00:00"/>
    <s v="Stamford"/>
    <s v="52 ORCHARD STREET"/>
    <n v="486230"/>
    <n v="930000"/>
    <n v="0.52280000000000004"/>
    <n v="1.9126750714682352"/>
    <s v="Commercial"/>
    <s v="Undervalued"/>
    <s v="May"/>
    <n v="2021"/>
    <m/>
  </r>
  <r>
    <n v="20771"/>
    <s v="9/16/2021"/>
    <x v="10"/>
    <x v="0"/>
    <d v="2021-09-01T00:00:00"/>
    <s v="Newtown"/>
    <s v="3 SHORT HILL ROAD"/>
    <n v="451770"/>
    <n v="910000"/>
    <n v="0.49645054900000002"/>
    <n v="2.0142993115966088"/>
    <s v="Residential"/>
    <s v="Overvalued"/>
    <s v="Sep"/>
    <n v="2021"/>
    <m/>
  </r>
  <r>
    <n v="200627"/>
    <s v="7/20/2021"/>
    <x v="3"/>
    <x v="0"/>
    <d v="2021-07-01T00:00:00"/>
    <s v="Trumbull"/>
    <s v="12 ROSEVIEW COURT"/>
    <n v="475160"/>
    <n v="905000"/>
    <n v="0.52500000000000002"/>
    <n v="1.9046216011448776"/>
    <s v="Residential"/>
    <s v="Undervalued"/>
    <s v="Jul"/>
    <n v="2021"/>
    <m/>
  </r>
  <r>
    <n v="200243"/>
    <s v="4/13/2021"/>
    <x v="0"/>
    <x v="0"/>
    <d v="2021-04-01T00:00:00"/>
    <s v="Avon"/>
    <s v="111 NORTHINGTON DRIVE"/>
    <n v="619290"/>
    <n v="890000"/>
    <n v="0.69579999999999997"/>
    <n v="1.4371296161733598"/>
    <s v="Residential"/>
    <s v="Undervalued"/>
    <s v="Apr"/>
    <n v="2021"/>
    <m/>
  </r>
  <r>
    <n v="20129"/>
    <s v="3/30/2021"/>
    <x v="9"/>
    <x v="0"/>
    <d v="2021-03-01T00:00:00"/>
    <s v="Derby"/>
    <s v="196 ELIZABETH ST"/>
    <n v="351260"/>
    <n v="873000"/>
    <n v="0.40229999999999999"/>
    <n v="2.4853384957011899"/>
    <s v="Commercial"/>
    <s v="Overvalued"/>
    <s v="Mar"/>
    <n v="2021"/>
    <m/>
  </r>
  <r>
    <n v="200338"/>
    <s v="4/23/2021"/>
    <x v="0"/>
    <x v="0"/>
    <d v="2021-04-01T00:00:00"/>
    <s v="New Canaan"/>
    <s v="116 ROCKY BROOK RD"/>
    <n v="620760"/>
    <n v="850000"/>
    <n v="0.73029999999999995"/>
    <n v="1.3692892583285006"/>
    <s v="Residential"/>
    <s v="Undervalued"/>
    <s v="Apr"/>
    <n v="2021"/>
    <m/>
  </r>
  <r>
    <n v="201207"/>
    <s v="7/21/2021"/>
    <x v="3"/>
    <x v="0"/>
    <d v="2021-07-01T00:00:00"/>
    <s v="New Haven"/>
    <s v="40 TEMPLE CT # 40"/>
    <n v="368130"/>
    <n v="850000"/>
    <n v="0.433"/>
    <n v="2.3089669410262679"/>
    <s v="Residential"/>
    <s v="Overvalued"/>
    <s v="Jul"/>
    <n v="2021"/>
    <m/>
  </r>
  <r>
    <n v="2000344"/>
    <s v="11/10/2020"/>
    <x v="11"/>
    <x v="2"/>
    <d v="2020-11-01T00:00:00"/>
    <s v="Stamford"/>
    <s v="11 LYNAM ROAD"/>
    <n v="539700"/>
    <n v="850000"/>
    <n v="0.63490000000000002"/>
    <n v="1.5749490457661663"/>
    <s v="Residential"/>
    <s v="Undervalued"/>
    <s v="Nov"/>
    <n v="2020"/>
    <m/>
  </r>
  <r>
    <n v="202000106"/>
    <s v="1/28/2021"/>
    <x v="6"/>
    <x v="0"/>
    <d v="2021-01-01T00:00:00"/>
    <s v="Plymouth"/>
    <s v="325 MAIN ST"/>
    <n v="596470"/>
    <n v="833111"/>
    <n v="0.71589999999999998"/>
    <n v="1.3967357955974316"/>
    <s v="Commercial"/>
    <s v="Undervalued"/>
    <s v="Jan"/>
    <n v="2021"/>
    <m/>
  </r>
  <r>
    <n v="2001250"/>
    <s v="3/25/2021"/>
    <x v="9"/>
    <x v="0"/>
    <d v="2021-03-01T00:00:00"/>
    <s v="Stamford"/>
    <s v="28 VERNON PLACE"/>
    <n v="403190"/>
    <n v="810000"/>
    <n v="0.49769999999999998"/>
    <n v="2.0089783972816786"/>
    <s v="Residential"/>
    <s v="Overvalued"/>
    <s v="Mar"/>
    <n v="2021"/>
    <m/>
  </r>
  <r>
    <n v="2002453"/>
    <s v="8/27/2021"/>
    <x v="5"/>
    <x v="0"/>
    <d v="2021-08-01T00:00:00"/>
    <s v="Stamford"/>
    <s v="34 FIFTH STREET"/>
    <n v="596290"/>
    <n v="800000"/>
    <n v="0.74529999999999996"/>
    <n v="1.3416290731020142"/>
    <s v="Commercial"/>
    <s v="Undervalued"/>
    <s v="Aug"/>
    <n v="2021"/>
    <m/>
  </r>
  <r>
    <n v="201027"/>
    <s v="7/19/2021"/>
    <x v="3"/>
    <x v="0"/>
    <d v="2021-07-01T00:00:00"/>
    <s v="Manchester"/>
    <s v="200 SHELDON ROAD"/>
    <n v="517700"/>
    <n v="800000"/>
    <n v="0.64710000000000001"/>
    <n v="1.5452965037666602"/>
    <s v="Commercial"/>
    <s v="Undervalued"/>
    <s v="Jul"/>
    <n v="2021"/>
    <m/>
  </r>
  <r>
    <n v="200097"/>
    <s v="6/4/2021"/>
    <x v="1"/>
    <x v="0"/>
    <d v="2021-06-01T00:00:00"/>
    <s v="Bethany"/>
    <s v="23 AMITY RD"/>
    <n v="511000"/>
    <n v="795000"/>
    <n v="0.64270000000000005"/>
    <n v="1.5557729941291585"/>
    <s v="Commercial"/>
    <s v="Undervalued"/>
    <s v="Jun"/>
    <n v="2021"/>
    <m/>
  </r>
  <r>
    <n v="2002537"/>
    <s v="9/7/2021"/>
    <x v="10"/>
    <x v="0"/>
    <d v="2021-09-01T00:00:00"/>
    <s v="Stamford"/>
    <s v="56 ETHAN ALLEN LANE"/>
    <n v="441560"/>
    <n v="785000"/>
    <n v="0.56240000000000001"/>
    <n v="1.7777878431017302"/>
    <s v="Residential"/>
    <s v="Undervalued"/>
    <s v="Sep"/>
    <n v="2021"/>
    <m/>
  </r>
  <r>
    <n v="20274"/>
    <s v="1/8/2021"/>
    <x v="6"/>
    <x v="0"/>
    <d v="2021-01-01T00:00:00"/>
    <s v="Newtown"/>
    <s v="16 SILVER BROOK LANE"/>
    <n v="419590"/>
    <n v="779000"/>
    <n v="0.53859999999999997"/>
    <n v="1.8565742748873901"/>
    <s v="Residential"/>
    <s v="Undervalued"/>
    <s v="Jan"/>
    <n v="2021"/>
    <m/>
  </r>
  <r>
    <n v="2000120"/>
    <s v="10/16/2020"/>
    <x v="8"/>
    <x v="2"/>
    <d v="2020-10-01T00:00:00"/>
    <s v="Stamford"/>
    <s v="61 SEAVIEW AVENUE # 1"/>
    <n v="497000"/>
    <n v="755000"/>
    <n v="0.65820000000000001"/>
    <n v="1.5191146881287727"/>
    <s v="Residential"/>
    <s v="Undervalued"/>
    <s v="Oct"/>
    <n v="2020"/>
    <m/>
  </r>
  <r>
    <n v="200098"/>
    <s v="11/6/2020"/>
    <x v="11"/>
    <x v="2"/>
    <d v="2020-11-01T00:00:00"/>
    <s v="Groton"/>
    <s v="70 ATLANTIC AVE"/>
    <n v="354550"/>
    <n v="742500"/>
    <n v="0.47749999999999998"/>
    <n v="2.094203920462558"/>
    <s v="Residential"/>
    <s v="Overvalued"/>
    <s v="Nov"/>
    <n v="2020"/>
    <m/>
  </r>
  <r>
    <n v="201328"/>
    <s v="8/6/2021"/>
    <x v="5"/>
    <x v="0"/>
    <d v="2021-08-01T00:00:00"/>
    <s v="Cromwell"/>
    <s v="6 BELHAVEN"/>
    <n v="410670"/>
    <n v="740000"/>
    <n v="0.55489999999999995"/>
    <n v="1.8019334258650499"/>
    <s v="Residential"/>
    <s v="Undervalued"/>
    <s v="Aug"/>
    <n v="2021"/>
    <m/>
  </r>
  <r>
    <n v="200170"/>
    <s v="6/14/2021"/>
    <x v="1"/>
    <x v="0"/>
    <d v="2021-06-01T00:00:00"/>
    <s v="Westbrook"/>
    <s v="104 CHAPMAN BEACH RD"/>
    <n v="271120"/>
    <n v="725000"/>
    <n v="0.37390000000000001"/>
    <n v="2.6740926526999114"/>
    <s v="Residential"/>
    <s v="Overvalued"/>
    <s v="Jun"/>
    <n v="2021"/>
    <m/>
  </r>
  <r>
    <n v="20458"/>
    <s v="6/18/2021"/>
    <x v="1"/>
    <x v="0"/>
    <d v="2021-06-01T00:00:00"/>
    <s v="Waterford"/>
    <s v="4 DONNA ST"/>
    <n v="271240"/>
    <n v="710000"/>
    <n v="0.38200000000000001"/>
    <n v="2.6176080224155731"/>
    <s v="Residential"/>
    <s v="Overvalued"/>
    <s v="Jun"/>
    <n v="2021"/>
    <m/>
  </r>
  <r>
    <n v="200421"/>
    <s v="12/24/2020"/>
    <x v="7"/>
    <x v="2"/>
    <d v="2020-12-01T00:00:00"/>
    <s v="Greenwich"/>
    <s v="130 NORTH WATER STREET"/>
    <n v="288190"/>
    <n v="705000"/>
    <n v="0.40870000000000001"/>
    <n v="2.4463027863562234"/>
    <s v="Residential"/>
    <s v="Overvalued"/>
    <s v="Dec"/>
    <n v="2020"/>
    <m/>
  </r>
  <r>
    <n v="200258"/>
    <s v="1/22/2021"/>
    <x v="6"/>
    <x v="0"/>
    <d v="2021-01-01T00:00:00"/>
    <s v="Branford"/>
    <s v="34 SUNRISE COVE CAMP"/>
    <n v="530500"/>
    <n v="700000"/>
    <n v="0.75780000000000003"/>
    <n v="1.3195098963242224"/>
    <s v="Residential"/>
    <s v="Undervalued"/>
    <s v="Jan"/>
    <n v="2021"/>
    <m/>
  </r>
  <r>
    <n v="2020313"/>
    <s v="7/1/2021"/>
    <x v="3"/>
    <x v="0"/>
    <d v="2021-07-01T00:00:00"/>
    <s v="Berlin"/>
    <s v="216 WATCH HILL RD"/>
    <n v="412000"/>
    <n v="677500"/>
    <n v="0.60809999999999997"/>
    <n v="1.6444174757281553"/>
    <s v="Residential"/>
    <s v="Undervalued"/>
    <s v="Jul"/>
    <n v="2021"/>
    <m/>
  </r>
  <r>
    <n v="2001286"/>
    <s v="3/30/2021"/>
    <x v="9"/>
    <x v="0"/>
    <d v="2021-03-01T00:00:00"/>
    <s v="Stamford"/>
    <s v="1156 STILLWATER ROAD"/>
    <n v="438860"/>
    <n v="652000"/>
    <n v="0.67300000000000004"/>
    <n v="1.4856674110194594"/>
    <s v="Residential"/>
    <s v="Undervalued"/>
    <s v="Mar"/>
    <n v="2021"/>
    <m/>
  </r>
  <r>
    <n v="20200578"/>
    <s v="2/17/2021"/>
    <x v="4"/>
    <x v="0"/>
    <d v="2021-02-01T00:00:00"/>
    <s v="Stratford"/>
    <s v="2318 MAIN STREET"/>
    <n v="429800"/>
    <n v="650000"/>
    <n v="0.66120000000000001"/>
    <n v="1.5123313168915775"/>
    <s v="Commercial"/>
    <s v="Undervalued"/>
    <s v="Feb"/>
    <n v="2021"/>
    <m/>
  </r>
  <r>
    <n v="200639"/>
    <s v="7/28/2021"/>
    <x v="3"/>
    <x v="0"/>
    <d v="2021-07-01T00:00:00"/>
    <s v="Groton"/>
    <s v="4 TYLER AVE"/>
    <n v="259770"/>
    <n v="650000"/>
    <n v="0.39964615399999998"/>
    <n v="2.5022134965546443"/>
    <s v="Residential"/>
    <s v="Overvalued"/>
    <s v="Jul"/>
    <n v="2021"/>
    <m/>
  </r>
  <r>
    <n v="200804"/>
    <s v="9/28/2021"/>
    <x v="10"/>
    <x v="0"/>
    <d v="2021-09-01T00:00:00"/>
    <s v="Branford"/>
    <s v="119 MONTOWESE ST"/>
    <n v="455100"/>
    <n v="650000"/>
    <n v="0.70009999999999994"/>
    <n v="1.4282575258185015"/>
    <s v="Commercial"/>
    <s v="Undervalued"/>
    <s v="Sep"/>
    <n v="2021"/>
    <m/>
  </r>
  <r>
    <n v="200043"/>
    <s v="12/9/2020"/>
    <x v="7"/>
    <x v="2"/>
    <d v="2020-12-01T00:00:00"/>
    <s v="Killingworth"/>
    <s v="46 TITUS COAN ROAD"/>
    <n v="354040"/>
    <n v="645000"/>
    <n v="0.54879999999999995"/>
    <n v="1.8218280420291493"/>
    <s v="Residential"/>
    <s v="Undervalued"/>
    <s v="Dec"/>
    <n v="2020"/>
    <m/>
  </r>
  <r>
    <n v="200042"/>
    <s v="5/19/2021"/>
    <x v="2"/>
    <x v="0"/>
    <d v="2021-05-01T00:00:00"/>
    <s v="Canaan"/>
    <s v="93 MAIN ST"/>
    <n v="355800"/>
    <n v="599000"/>
    <n v="0.59389999999999998"/>
    <n v="1.6835300730747611"/>
    <s v="Residential"/>
    <s v="Undervalued"/>
    <s v="May"/>
    <n v="2021"/>
    <m/>
  </r>
  <r>
    <n v="200002"/>
    <s v="10/1/2020"/>
    <x v="8"/>
    <x v="2"/>
    <d v="2020-10-01T00:00:00"/>
    <s v="Roxbury"/>
    <s v="20 CHURCH ST"/>
    <n v="439290"/>
    <n v="575000"/>
    <n v="0.76398260900000003"/>
    <n v="1.3089303193789978"/>
    <s v="Residential"/>
    <s v="Undervalued"/>
    <s v="Oct"/>
    <n v="2020"/>
    <m/>
  </r>
  <r>
    <n v="200151"/>
    <s v="12/14/2020"/>
    <x v="7"/>
    <x v="2"/>
    <d v="2020-12-01T00:00:00"/>
    <s v="Farmington"/>
    <s v="15 MALS WAY"/>
    <n v="356410"/>
    <n v="550000"/>
    <n v="0.64800000000000002"/>
    <n v="1.543166577817682"/>
    <s v="Residential"/>
    <s v="Undervalued"/>
    <s v="Dec"/>
    <n v="2020"/>
    <m/>
  </r>
  <r>
    <n v="200742"/>
    <s v="3/29/2021"/>
    <x v="9"/>
    <x v="0"/>
    <d v="2021-03-01T00:00:00"/>
    <s v="Danbury"/>
    <s v="17 OHEHYAHTAH PL"/>
    <n v="339100"/>
    <n v="550000"/>
    <n v="0.61650000000000005"/>
    <n v="1.6219404305514598"/>
    <s v="Residential"/>
    <s v="Undervalued"/>
    <s v="Mar"/>
    <n v="2021"/>
    <m/>
  </r>
  <r>
    <n v="20249"/>
    <s v="9/30/2021"/>
    <x v="10"/>
    <x v="0"/>
    <d v="2021-09-01T00:00:00"/>
    <s v="Orange"/>
    <s v="387 TIMBERLANE DR"/>
    <n v="297700"/>
    <n v="550000"/>
    <n v="0.54120000000000001"/>
    <n v="1.8474974806852535"/>
    <s v="Residential"/>
    <s v="Undervalued"/>
    <s v="Sep"/>
    <n v="2021"/>
    <m/>
  </r>
  <r>
    <n v="2001590"/>
    <s v="5/17/2021"/>
    <x v="2"/>
    <x v="0"/>
    <d v="2021-05-01T00:00:00"/>
    <s v="Stamford"/>
    <s v="37 CROSS ROAD"/>
    <n v="423700"/>
    <n v="533350"/>
    <n v="0.7944"/>
    <n v="1.2587915978286524"/>
    <s v="Residential"/>
    <s v="Undervalued"/>
    <s v="May"/>
    <n v="2021"/>
    <m/>
  </r>
  <r>
    <n v="201023"/>
    <s v="7/26/2021"/>
    <x v="3"/>
    <x v="0"/>
    <d v="2021-07-01T00:00:00"/>
    <s v="Hartford"/>
    <s v="410 MARKET ST"/>
    <n v="435610"/>
    <n v="525000"/>
    <n v="0.82969999999999999"/>
    <n v="1.2052064920456371"/>
    <s v="Commercial"/>
    <s v="Undervalued"/>
    <s v="Jul"/>
    <n v="2021"/>
    <m/>
  </r>
  <r>
    <n v="200374"/>
    <s v="3/1/2021"/>
    <x v="9"/>
    <x v="0"/>
    <d v="2021-03-01T00:00:00"/>
    <s v="Shelton"/>
    <s v="1103 RENAISSANCE"/>
    <n v="227500"/>
    <n v="525000"/>
    <n v="0.43330000000000002"/>
    <n v="2.3076923076923075"/>
    <s v="Residential"/>
    <s v="Overvalued"/>
    <s v="Mar"/>
    <n v="2021"/>
    <m/>
  </r>
  <r>
    <n v="201580"/>
    <s v="9/27/2021"/>
    <x v="10"/>
    <x v="0"/>
    <d v="2021-09-01T00:00:00"/>
    <s v="Danbury"/>
    <s v="25 CROWN ST"/>
    <n v="192300"/>
    <n v="525000"/>
    <n v="0.36628571399999998"/>
    <n v="2.7301092043681749"/>
    <s v="Residential"/>
    <s v="Overvalued"/>
    <s v="Sep"/>
    <n v="2021"/>
    <m/>
  </r>
  <r>
    <n v="200140"/>
    <s v="4/28/2021"/>
    <x v="0"/>
    <x v="0"/>
    <d v="2021-04-01T00:00:00"/>
    <s v="Essex"/>
    <s v="14 ESSEX GLEN DR #12"/>
    <n v="335800"/>
    <n v="520000"/>
    <n v="0.64570000000000005"/>
    <n v="1.5485407980941037"/>
    <s v="Residential"/>
    <s v="Undervalued"/>
    <s v="Apr"/>
    <n v="2021"/>
    <m/>
  </r>
  <r>
    <n v="200827"/>
    <s v="9/7/2021"/>
    <x v="10"/>
    <x v="0"/>
    <d v="2021-09-01T00:00:00"/>
    <s v="Glastonbury"/>
    <s v="38 MONTAUK WAY"/>
    <n v="332000"/>
    <n v="520000"/>
    <n v="0.63839999999999997"/>
    <n v="1.5662650602409638"/>
    <s v="Residential"/>
    <s v="Undervalued"/>
    <s v="Sep"/>
    <n v="2021"/>
    <m/>
  </r>
  <r>
    <n v="200499"/>
    <s v="9/10/2021"/>
    <x v="10"/>
    <x v="0"/>
    <d v="2021-09-01T00:00:00"/>
    <s v="East Lyme"/>
    <s v="27 SEA CREST AVE"/>
    <n v="233660"/>
    <n v="517000"/>
    <n v="0.45190000000000002"/>
    <n v="2.2126166224428658"/>
    <s v="Residential"/>
    <s v="Overvalued"/>
    <s v="Sep"/>
    <n v="2021"/>
    <m/>
  </r>
  <r>
    <n v="20588"/>
    <s v="7/29/2021"/>
    <x v="3"/>
    <x v="0"/>
    <d v="2021-07-01T00:00:00"/>
    <s v="Southbury"/>
    <s v="2005 PURCHASE BROOK RD"/>
    <n v="235950"/>
    <n v="510000"/>
    <n v="0.46260000000000001"/>
    <n v="2.1614748887476161"/>
    <s v="Residential"/>
    <s v="Overvalued"/>
    <s v="Jul"/>
    <n v="2021"/>
    <m/>
  </r>
  <r>
    <n v="20742"/>
    <s v="8/30/2021"/>
    <x v="5"/>
    <x v="0"/>
    <d v="2021-08-01T00:00:00"/>
    <s v="Newtown"/>
    <s v="157 HANOVER ROAD"/>
    <n v="325640"/>
    <n v="508000"/>
    <n v="0.64100000000000001"/>
    <n v="1.5600049134013021"/>
    <s v="Residential"/>
    <s v="Undervalued"/>
    <s v="Aug"/>
    <n v="2021"/>
    <m/>
  </r>
  <r>
    <n v="200282"/>
    <s v="7/15/2021"/>
    <x v="3"/>
    <x v="0"/>
    <d v="2021-07-01T00:00:00"/>
    <s v="Coventry"/>
    <s v="1467 SOUTH       ST"/>
    <n v="359800"/>
    <n v="480000"/>
    <n v="0.74950000000000006"/>
    <n v="1.3340744858254585"/>
    <s v="Commercial"/>
    <s v="Undervalued"/>
    <s v="Jul"/>
    <n v="2021"/>
    <m/>
  </r>
  <r>
    <n v="200080"/>
    <s v="11/5/2020"/>
    <x v="11"/>
    <x v="2"/>
    <d v="2020-11-01T00:00:00"/>
    <s v="Guilford"/>
    <s v="2 WINTERBERRY RD"/>
    <n v="239550"/>
    <n v="480000"/>
    <n v="0.499"/>
    <n v="2.0037570444583594"/>
    <s v="Residential"/>
    <s v="Overvalued"/>
    <s v="Nov"/>
    <n v="2020"/>
    <m/>
  </r>
  <r>
    <n v="200145"/>
    <s v="8/9/2021"/>
    <x v="5"/>
    <x v="0"/>
    <d v="2021-08-01T00:00:00"/>
    <s v="New Hartford"/>
    <s v="82 NILES ROAD"/>
    <n v="238980"/>
    <n v="460000"/>
    <n v="0.51949999999999996"/>
    <n v="1.9248472675537702"/>
    <s v="Residential"/>
    <s v="Undervalued"/>
    <s v="Aug"/>
    <n v="2021"/>
    <m/>
  </r>
  <r>
    <n v="200359"/>
    <s v="3/8/2021"/>
    <x v="9"/>
    <x v="0"/>
    <d v="2021-03-01T00:00:00"/>
    <s v="Trumbull"/>
    <s v="94 NORTH STOWE PLACE"/>
    <n v="256550"/>
    <n v="451000"/>
    <n v="0.56879999999999997"/>
    <n v="1.7579419216526992"/>
    <s v="Residential"/>
    <s v="Undervalued"/>
    <s v="Mar"/>
    <n v="2021"/>
    <m/>
  </r>
  <r>
    <n v="201007"/>
    <s v="3/22/2021"/>
    <x v="9"/>
    <x v="0"/>
    <d v="2021-03-01T00:00:00"/>
    <s v="Norwalk"/>
    <s v="29 GREGORY BLVD"/>
    <n v="261800"/>
    <n v="450000"/>
    <n v="0.58169999999999999"/>
    <n v="1.7188693659281895"/>
    <s v="Residential"/>
    <s v="Undervalued"/>
    <s v="Mar"/>
    <n v="2021"/>
    <m/>
  </r>
  <r>
    <n v="20761"/>
    <s v="5/28/2021"/>
    <x v="2"/>
    <x v="0"/>
    <d v="2021-05-01T00:00:00"/>
    <s v="New Britain"/>
    <s v="150 GOLD ST"/>
    <n v="212310"/>
    <n v="450000"/>
    <n v="0.4718"/>
    <n v="2.1195421788893598"/>
    <s v="Apartments"/>
    <s v="Overvalued"/>
    <s v="May"/>
    <n v="2021"/>
    <m/>
  </r>
  <r>
    <n v="202281"/>
    <s v="9/7/2021"/>
    <x v="10"/>
    <x v="0"/>
    <d v="2021-09-01T00:00:00"/>
    <s v="North Haven"/>
    <s v="108 MULHOLLAND WAY"/>
    <n v="276010"/>
    <n v="443165"/>
    <n v="0.62280000000000002"/>
    <n v="1.6056121155030614"/>
    <s v="Residential"/>
    <s v="Undervalued"/>
    <s v="Sep"/>
    <n v="2021"/>
    <m/>
  </r>
  <r>
    <n v="20360"/>
    <s v="1/22/2021"/>
    <x v="6"/>
    <x v="0"/>
    <d v="2021-01-01T00:00:00"/>
    <s v="Hartford"/>
    <s v="1301 MAIN ST"/>
    <n v="173670"/>
    <n v="439900"/>
    <n v="0.3947"/>
    <n v="2.5329648183336211"/>
    <s v="Commercial"/>
    <s v="Overvalued"/>
    <s v="Jan"/>
    <n v="2021"/>
    <m/>
  </r>
  <r>
    <n v="200552"/>
    <s v="9/23/2021"/>
    <x v="10"/>
    <x v="0"/>
    <d v="2021-09-01T00:00:00"/>
    <s v="Stonington"/>
    <s v="12 CUTTER DR"/>
    <n v="213100"/>
    <n v="435000"/>
    <n v="0.48980000000000001"/>
    <n v="2.0412951665884562"/>
    <s v="Residential"/>
    <s v="Overvalued"/>
    <s v="Sep"/>
    <n v="2021"/>
    <m/>
  </r>
  <r>
    <n v="20002"/>
    <s v="10/2/2020"/>
    <x v="8"/>
    <x v="2"/>
    <d v="2020-10-01T00:00:00"/>
    <s v="Ashford"/>
    <s v="390 TURNPIKE RD"/>
    <n v="253000"/>
    <n v="430000"/>
    <n v="0.58830000000000005"/>
    <n v="1.6996047430830039"/>
    <s v="Residential"/>
    <s v="Undervalued"/>
    <s v="Oct"/>
    <n v="2020"/>
    <m/>
  </r>
  <r>
    <n v="200125"/>
    <s v="3/31/2021"/>
    <x v="9"/>
    <x v="0"/>
    <d v="2021-03-01T00:00:00"/>
    <s v="Essex"/>
    <s v="35 DEER LA"/>
    <n v="220500"/>
    <n v="425000"/>
    <n v="0.51880000000000004"/>
    <n v="1.9274376417233561"/>
    <s v="Residential"/>
    <s v="Undervalued"/>
    <s v="Mar"/>
    <n v="2021"/>
    <m/>
  </r>
  <r>
    <n v="200236"/>
    <s v="3/18/2021"/>
    <x v="9"/>
    <x v="0"/>
    <d v="2021-03-01T00:00:00"/>
    <s v="East Lyme"/>
    <s v="8 N EDGEWOOD RD"/>
    <n v="238140"/>
    <n v="421000"/>
    <n v="0.56559999999999999"/>
    <n v="1.7678676408835139"/>
    <s v="Residential"/>
    <s v="Undervalued"/>
    <s v="Mar"/>
    <n v="2021"/>
    <m/>
  </r>
  <r>
    <n v="200599"/>
    <s v="7/2/2021"/>
    <x v="3"/>
    <x v="0"/>
    <d v="2021-07-01T00:00:00"/>
    <s v="Trumbull"/>
    <s v="29 WALNUT AVE"/>
    <n v="237440"/>
    <n v="420000"/>
    <n v="0.56530000000000002"/>
    <n v="1.7688679245283019"/>
    <s v="Residential"/>
    <s v="Undervalued"/>
    <s v="Jul"/>
    <n v="2021"/>
    <m/>
  </r>
  <r>
    <n v="200078"/>
    <s v="9/20/2021"/>
    <x v="10"/>
    <x v="0"/>
    <d v="2021-09-01T00:00:00"/>
    <s v="Chester"/>
    <s v="6 SUNSET AVE"/>
    <n v="250100"/>
    <n v="418800"/>
    <n v="0.59709999999999996"/>
    <n v="1.67453018792483"/>
    <s v="Residential"/>
    <s v="Undervalued"/>
    <s v="Sep"/>
    <n v="2021"/>
    <m/>
  </r>
  <r>
    <n v="200305"/>
    <s v="1/26/2021"/>
    <x v="6"/>
    <x v="0"/>
    <d v="2021-01-01T00:00:00"/>
    <s v="Enfield"/>
    <s v="15 SALERNO DR"/>
    <n v="233660"/>
    <n v="410000"/>
    <n v="0.56989999999999996"/>
    <n v="1.7546862963279979"/>
    <s v="Residential"/>
    <s v="Undervalued"/>
    <s v="Jan"/>
    <n v="2021"/>
    <m/>
  </r>
  <r>
    <n v="201057"/>
    <s v="8/12/2021"/>
    <x v="5"/>
    <x v="0"/>
    <d v="2021-08-01T00:00:00"/>
    <s v="New Britain"/>
    <s v="5 ARCH ST"/>
    <n v="264390"/>
    <n v="400000"/>
    <n v="0.66090000000000004"/>
    <n v="1.5129165248307426"/>
    <s v="Commercial"/>
    <s v="Undervalued"/>
    <s v="Aug"/>
    <n v="2021"/>
    <m/>
  </r>
  <r>
    <n v="2001493"/>
    <s v="5/3/2021"/>
    <x v="2"/>
    <x v="0"/>
    <d v="2021-05-01T00:00:00"/>
    <s v="Stamford"/>
    <s v="18 BUNGALOW PARK"/>
    <n v="238890"/>
    <n v="400000"/>
    <n v="0.59719999999999995"/>
    <n v="1.6744108166938758"/>
    <s v="Residential"/>
    <s v="Undervalued"/>
    <s v="May"/>
    <n v="2021"/>
    <m/>
  </r>
  <r>
    <n v="20200824"/>
    <s v="5/3/2021"/>
    <x v="2"/>
    <x v="0"/>
    <d v="2021-05-01T00:00:00"/>
    <s v="Stratford"/>
    <s v="758A QUINNIPIAC LANE"/>
    <n v="193340"/>
    <n v="395000"/>
    <n v="0.4894"/>
    <n v="2.0430329988621083"/>
    <s v="Residential"/>
    <s v="Overvalued"/>
    <s v="May"/>
    <n v="2021"/>
    <m/>
  </r>
  <r>
    <n v="200035"/>
    <s v="10/29/2020"/>
    <x v="8"/>
    <x v="2"/>
    <d v="2020-10-01T00:00:00"/>
    <s v="Colchester"/>
    <s v="160 SHADBUSH DR"/>
    <n v="223900"/>
    <n v="392000"/>
    <n v="0.57110000000000005"/>
    <n v="1.7507815989280928"/>
    <s v="Residential"/>
    <s v="Undervalued"/>
    <s v="Oct"/>
    <n v="2020"/>
    <m/>
  </r>
  <r>
    <n v="200510"/>
    <s v="9/15/2021"/>
    <x v="10"/>
    <x v="0"/>
    <d v="2021-09-01T00:00:00"/>
    <s v="East Lyme"/>
    <s v="3 CARLISE LN"/>
    <n v="212100"/>
    <n v="390500"/>
    <n v="0.54310000000000003"/>
    <n v="1.8411126826968411"/>
    <s v="Residential"/>
    <s v="Undervalued"/>
    <s v="Sep"/>
    <n v="2021"/>
    <m/>
  </r>
  <r>
    <n v="200074"/>
    <s v="9/1/2021"/>
    <x v="10"/>
    <x v="0"/>
    <d v="2021-09-01T00:00:00"/>
    <s v="Cornwall"/>
    <s v="131 KENT RD"/>
    <n v="246100"/>
    <n v="385000"/>
    <n v="0.63919999999999999"/>
    <n v="1.564404713531085"/>
    <s v="Commercial"/>
    <s v="Undervalued"/>
    <s v="Sep"/>
    <n v="2021"/>
    <m/>
  </r>
  <r>
    <n v="200014"/>
    <s v="10/13/2020"/>
    <x v="8"/>
    <x v="2"/>
    <d v="2020-10-01T00:00:00"/>
    <s v="Westbrook"/>
    <s v="233 KENROSE TER"/>
    <n v="245790"/>
    <n v="382000"/>
    <n v="0.64339999999999997"/>
    <n v="1.554172260873103"/>
    <s v="Residential"/>
    <s v="Undervalued"/>
    <s v="Oct"/>
    <n v="2020"/>
    <m/>
  </r>
  <r>
    <n v="200245"/>
    <s v="1/6/2021"/>
    <x v="6"/>
    <x v="0"/>
    <d v="2021-01-01T00:00:00"/>
    <s v="Shelton"/>
    <s v="172-176 CORAM AVE"/>
    <n v="310660"/>
    <n v="375000"/>
    <n v="0.82840000000000003"/>
    <n v="1.2071074486576965"/>
    <s v="Commercial"/>
    <s v="Undervalued"/>
    <s v="Jan"/>
    <n v="2021"/>
    <m/>
  </r>
  <r>
    <n v="200081"/>
    <s v="11/9/2020"/>
    <x v="11"/>
    <x v="2"/>
    <d v="2020-11-01T00:00:00"/>
    <s v="Simsbury"/>
    <s v="2C MILL PONDO LANE"/>
    <n v="270440"/>
    <n v="372000"/>
    <n v="0.72689999999999999"/>
    <n v="1.3755361632894543"/>
    <s v="Residential"/>
    <s v="Undervalued"/>
    <s v="Nov"/>
    <n v="2020"/>
    <m/>
  </r>
  <r>
    <n v="200011"/>
    <s v="10/13/2020"/>
    <x v="8"/>
    <x v="2"/>
    <d v="2020-10-01T00:00:00"/>
    <s v="Trumbull"/>
    <s v="14 WOODLAWN DR"/>
    <n v="183190"/>
    <n v="370000"/>
    <n v="0.49509999999999998"/>
    <n v="2.0197609039794751"/>
    <s v="Residential"/>
    <s v="Overvalued"/>
    <s v="Oct"/>
    <n v="2020"/>
    <m/>
  </r>
  <r>
    <n v="200233"/>
    <s v="12/31/2020"/>
    <x v="7"/>
    <x v="2"/>
    <d v="2020-12-01T00:00:00"/>
    <s v="Trumbull"/>
    <s v="8 TURNER AVE"/>
    <n v="202160"/>
    <n v="365000"/>
    <n v="0.55379999999999996"/>
    <n v="1.8055005935892363"/>
    <s v="Residential"/>
    <s v="Undervalued"/>
    <s v="Dec"/>
    <n v="2020"/>
    <m/>
  </r>
  <r>
    <n v="2000230"/>
    <s v="3/16/2021"/>
    <x v="9"/>
    <x v="0"/>
    <d v="2021-03-01T00:00:00"/>
    <s v="Cheshire"/>
    <s v="50 ABBEY CT"/>
    <n v="210940"/>
    <n v="365000"/>
    <n v="0.57789999999999997"/>
    <n v="1.7303498625201479"/>
    <s v="Residential"/>
    <s v="Undervalued"/>
    <s v="Mar"/>
    <n v="2021"/>
    <m/>
  </r>
  <r>
    <n v="201129"/>
    <s v="8/19/2021"/>
    <x v="5"/>
    <x v="0"/>
    <d v="2021-08-01T00:00:00"/>
    <s v="Hartford"/>
    <s v="20 GIDDINGS ST"/>
    <n v="114954"/>
    <n v="360000"/>
    <n v="0.31929999999999997"/>
    <n v="3.1316874575917324"/>
    <s v="Residential"/>
    <s v="Overvalued"/>
    <s v="Aug"/>
    <n v="2021"/>
    <m/>
  </r>
  <r>
    <n v="20293"/>
    <s v="6/7/2021"/>
    <x v="1"/>
    <x v="0"/>
    <d v="2021-06-01T00:00:00"/>
    <s v="Plainfield"/>
    <s v="404 PLAINFIELD PIKE RD"/>
    <n v="193560"/>
    <n v="360000"/>
    <n v="0.53759999999999997"/>
    <n v="1.8598884066955983"/>
    <s v="Residential"/>
    <s v="Undervalued"/>
    <s v="Jun"/>
    <n v="2021"/>
    <m/>
  </r>
  <r>
    <n v="200652"/>
    <s v="6/29/2021"/>
    <x v="1"/>
    <x v="0"/>
    <d v="2021-06-01T00:00:00"/>
    <s v="Enfield"/>
    <s v="12 KELLY DR"/>
    <n v="203470"/>
    <n v="360000"/>
    <n v="0.56510000000000005"/>
    <n v="1.7693025998918759"/>
    <s v="Residential"/>
    <s v="Undervalued"/>
    <s v="Jun"/>
    <n v="2021"/>
    <m/>
  </r>
  <r>
    <n v="200125"/>
    <s v="9/7/2021"/>
    <x v="10"/>
    <x v="0"/>
    <d v="2021-09-01T00:00:00"/>
    <s v="Harwinton"/>
    <s v="167 BIRGE PARK RD"/>
    <n v="194790"/>
    <n v="360000"/>
    <n v="0.54100000000000004"/>
    <n v="1.8481441552441091"/>
    <s v="Residential"/>
    <s v="Undervalued"/>
    <s v="Sep"/>
    <n v="2021"/>
    <m/>
  </r>
  <r>
    <n v="2002299"/>
    <s v="8/4/2021"/>
    <x v="5"/>
    <x v="0"/>
    <d v="2021-08-01T00:00:00"/>
    <s v="Stamford"/>
    <s v="1400 BEDFORD STREET #4"/>
    <n v="169050"/>
    <n v="355000"/>
    <n v="0.47610000000000002"/>
    <n v="2.0999704229517895"/>
    <s v="Residential"/>
    <s v="Overvalued"/>
    <s v="Aug"/>
    <n v="2021"/>
    <m/>
  </r>
  <r>
    <n v="202876"/>
    <s v="8/18/2021"/>
    <x v="5"/>
    <x v="0"/>
    <d v="2021-08-01T00:00:00"/>
    <s v="Norwalk"/>
    <s v="17 HADIK PKWY"/>
    <n v="256270"/>
    <n v="355000"/>
    <n v="0.7218"/>
    <n v="1.3852577359815819"/>
    <s v="Residential"/>
    <s v="Undervalued"/>
    <s v="Aug"/>
    <n v="2021"/>
    <m/>
  </r>
  <r>
    <n v="200656"/>
    <s v="4/30/2021"/>
    <x v="0"/>
    <x v="0"/>
    <d v="2021-04-01T00:00:00"/>
    <s v="Norwich"/>
    <s v="112-116 MAIN ST"/>
    <n v="262300"/>
    <n v="352000"/>
    <n v="0.74509999999999998"/>
    <n v="1.341974837971788"/>
    <s v="Commercial"/>
    <s v="Undervalued"/>
    <s v="Apr"/>
    <n v="2021"/>
    <m/>
  </r>
  <r>
    <n v="200086"/>
    <s v="8/10/2021"/>
    <x v="5"/>
    <x v="0"/>
    <d v="2021-08-01T00:00:00"/>
    <s v="Bethlehem"/>
    <s v="39 WOODLAND RD"/>
    <n v="168900"/>
    <n v="352000"/>
    <n v="0.4798"/>
    <n v="2.0840734162226169"/>
    <s v="Residential"/>
    <s v="Overvalued"/>
    <s v="Aug"/>
    <n v="2021"/>
    <m/>
  </r>
  <r>
    <n v="200210"/>
    <s v="7/12/2021"/>
    <x v="3"/>
    <x v="0"/>
    <d v="2021-07-01T00:00:00"/>
    <s v="Mansfield"/>
    <s v="156 HILLYNDALE RD"/>
    <n v="169400"/>
    <n v="345000"/>
    <n v="0.49099999999999999"/>
    <n v="2.0365997638724913"/>
    <s v="Residential"/>
    <s v="Overvalued"/>
    <s v="Jul"/>
    <n v="2021"/>
    <m/>
  </r>
  <r>
    <n v="2000212"/>
    <s v="10/28/2020"/>
    <x v="8"/>
    <x v="2"/>
    <d v="2020-10-01T00:00:00"/>
    <s v="Stamford"/>
    <s v="197 BRIDGE STREET # 3"/>
    <n v="199330"/>
    <n v="342500"/>
    <n v="0.58189999999999997"/>
    <n v="1.7182561581297346"/>
    <s v="Residential"/>
    <s v="Undervalued"/>
    <s v="Oct"/>
    <n v="2020"/>
    <m/>
  </r>
  <r>
    <n v="200149"/>
    <s v="7/12/2021"/>
    <x v="3"/>
    <x v="0"/>
    <d v="2021-07-01T00:00:00"/>
    <s v="Thomaston"/>
    <s v="97 TWIN POND RD"/>
    <n v="204000"/>
    <n v="337500"/>
    <n v="0.60440000000000005"/>
    <n v="1.6544117647058822"/>
    <s v="Residential"/>
    <s v="Undervalued"/>
    <s v="Jul"/>
    <n v="2021"/>
    <m/>
  </r>
  <r>
    <n v="20139"/>
    <s v="12/16/2020"/>
    <x v="7"/>
    <x v="2"/>
    <d v="2020-12-01T00:00:00"/>
    <s v="Bethel"/>
    <s v="16 DEEPWOOD DRIVE"/>
    <n v="171360"/>
    <n v="335000"/>
    <n v="0.51149999999999995"/>
    <n v="1.9549486461251167"/>
    <s v="Residential"/>
    <s v="Undervalued"/>
    <s v="Dec"/>
    <n v="2020"/>
    <m/>
  </r>
  <r>
    <n v="200522"/>
    <s v="3/4/2021"/>
    <x v="9"/>
    <x v="0"/>
    <d v="2021-03-01T00:00:00"/>
    <s v="Norwich"/>
    <s v="49 WHITE PLAINS RD"/>
    <n v="174400"/>
    <n v="335000"/>
    <n v="0.52049999999999996"/>
    <n v="1.9208715596330275"/>
    <s v="Residential"/>
    <s v="Undervalued"/>
    <s v="Mar"/>
    <n v="2021"/>
    <m/>
  </r>
  <r>
    <n v="200289"/>
    <s v="11/23/2020"/>
    <x v="11"/>
    <x v="2"/>
    <d v="2020-11-01T00:00:00"/>
    <s v="Norwalk"/>
    <s v="188 FLAX HILL RD UNIT B/6"/>
    <n v="173040"/>
    <n v="330000"/>
    <n v="0.52429999999999999"/>
    <n v="1.9070735090152566"/>
    <s v="Residential"/>
    <s v="Undervalued"/>
    <s v="Nov"/>
    <n v="2020"/>
    <m/>
  </r>
  <r>
    <n v="200494"/>
    <s v="2/19/2021"/>
    <x v="4"/>
    <x v="0"/>
    <d v="2021-02-01T00:00:00"/>
    <s v="West Hartford"/>
    <s v="82 WHITE AVENUE"/>
    <n v="181720"/>
    <n v="327900"/>
    <n v="0.55410000000000004"/>
    <n v="1.8044243891701519"/>
    <s v="Residential"/>
    <s v="Undervalued"/>
    <s v="Feb"/>
    <n v="2021"/>
    <m/>
  </r>
  <r>
    <n v="200175"/>
    <s v="10/29/2020"/>
    <x v="8"/>
    <x v="2"/>
    <d v="2020-10-01T00:00:00"/>
    <s v="Milford"/>
    <s v="16 SEABREEZE AVE"/>
    <n v="180950"/>
    <n v="325000"/>
    <n v="0.55669999999999997"/>
    <n v="1.7960762641613706"/>
    <s v="Residential"/>
    <s v="Undervalued"/>
    <s v="Oct"/>
    <n v="2020"/>
    <m/>
  </r>
  <r>
    <n v="2020348"/>
    <s v="9/13/2021"/>
    <x v="10"/>
    <x v="0"/>
    <d v="2021-09-01T00:00:00"/>
    <s v="Ansonia"/>
    <s v="230 WAKELEE AVE"/>
    <n v="150500"/>
    <n v="325000"/>
    <n v="0.46300000000000002"/>
    <n v="2.1594684385382061"/>
    <s v="Commercial"/>
    <s v="Overvalued"/>
    <s v="Sep"/>
    <n v="2021"/>
    <m/>
  </r>
  <r>
    <n v="201443"/>
    <s v="9/1/2021"/>
    <x v="10"/>
    <x v="0"/>
    <d v="2021-09-01T00:00:00"/>
    <s v="Danbury"/>
    <s v="4 COOPER RD"/>
    <n v="158700"/>
    <n v="325000"/>
    <n v="0.48830000000000001"/>
    <n v="2.0478890989287963"/>
    <s v="Residential"/>
    <s v="Overvalued"/>
    <s v="Sep"/>
    <n v="2021"/>
    <m/>
  </r>
  <r>
    <n v="2000448"/>
    <s v="6/17/2021"/>
    <x v="1"/>
    <x v="0"/>
    <d v="2021-06-01T00:00:00"/>
    <s v="Wethersfield"/>
    <s v="938 RIDGE RD"/>
    <n v="158870"/>
    <n v="315000"/>
    <n v="0.50429999999999997"/>
    <n v="1.9827531944357022"/>
    <s v="Residential"/>
    <s v="Undervalued"/>
    <s v="Jun"/>
    <n v="2021"/>
    <m/>
  </r>
  <r>
    <n v="20492"/>
    <s v="8/19/2021"/>
    <x v="5"/>
    <x v="0"/>
    <d v="2021-08-01T00:00:00"/>
    <s v="Plainfield"/>
    <s v="22 FERNWOOD ST"/>
    <n v="142910"/>
    <n v="310000"/>
    <n v="0.46100000000000002"/>
    <n v="2.1691973969631237"/>
    <s v="Residential"/>
    <s v="Overvalued"/>
    <s v="Aug"/>
    <n v="2021"/>
    <m/>
  </r>
  <r>
    <n v="200700"/>
    <s v="7/13/2021"/>
    <x v="3"/>
    <x v="0"/>
    <d v="2021-07-01T00:00:00"/>
    <s v="Enfield"/>
    <s v="8 SHANNON DR"/>
    <n v="161590"/>
    <n v="310000"/>
    <n v="0.5212"/>
    <n v="1.9184355467541307"/>
    <s v="Residential"/>
    <s v="Undervalued"/>
    <s v="Jul"/>
    <n v="2021"/>
    <m/>
  </r>
  <r>
    <n v="200038"/>
    <s v="10/9/2020"/>
    <x v="8"/>
    <x v="2"/>
    <d v="2020-10-01T00:00:00"/>
    <s v="Meriden"/>
    <s v="41 SUNNY LANE"/>
    <n v="209440"/>
    <n v="307000"/>
    <n v="0.68220000000000003"/>
    <n v="1.4658135981665394"/>
    <s v="Residential"/>
    <s v="Undervalued"/>
    <s v="Oct"/>
    <n v="2020"/>
    <m/>
  </r>
  <r>
    <n v="200376"/>
    <s v="1/4/2021"/>
    <x v="6"/>
    <x v="0"/>
    <d v="2021-01-01T00:00:00"/>
    <s v="West Hartford"/>
    <s v="1838 ASYLUM AVENUE"/>
    <n v="216580"/>
    <n v="305000"/>
    <n v="0.71"/>
    <n v="1.4082556099362822"/>
    <s v="Residential"/>
    <s v="Undervalued"/>
    <s v="Jan"/>
    <n v="2021"/>
    <m/>
  </r>
  <r>
    <n v="200961"/>
    <s v="7/1/2021"/>
    <x v="3"/>
    <x v="0"/>
    <d v="2021-07-01T00:00:00"/>
    <s v="Meriden"/>
    <s v="5                    2 ROYAL OAK CIR"/>
    <n v="130340"/>
    <n v="305000"/>
    <n v="0.42730000000000001"/>
    <n v="2.340033757864048"/>
    <s v="Residential"/>
    <s v="Overvalued"/>
    <s v="Jul"/>
    <n v="2021"/>
    <m/>
  </r>
  <r>
    <n v="200557"/>
    <s v="3/12/2021"/>
    <x v="9"/>
    <x v="0"/>
    <d v="2021-03-01T00:00:00"/>
    <s v="West Hartford"/>
    <s v="23 TIMBERWOOD ROAD"/>
    <n v="166670"/>
    <n v="305000"/>
    <n v="0.5464"/>
    <n v="1.8299634007319854"/>
    <s v="Residential"/>
    <s v="Undervalued"/>
    <s v="Mar"/>
    <n v="2021"/>
    <m/>
  </r>
  <r>
    <n v="20014"/>
    <s v="10/6/2020"/>
    <x v="8"/>
    <x v="2"/>
    <d v="2020-10-01T00:00:00"/>
    <s v="Monroe"/>
    <s v="22 MEADOWVIEW TER"/>
    <n v="189100"/>
    <n v="305000"/>
    <n v="0.62"/>
    <n v="1.6129032258064515"/>
    <s v="Residential"/>
    <s v="Undervalued"/>
    <s v="Oct"/>
    <n v="2020"/>
    <m/>
  </r>
  <r>
    <n v="201078"/>
    <s v="12/21/2020"/>
    <x v="7"/>
    <x v="2"/>
    <d v="2020-12-01T00:00:00"/>
    <s v="Griswold"/>
    <s v="22 CROSS RD"/>
    <n v="173040"/>
    <n v="302000"/>
    <n v="0.57289999999999996"/>
    <n v="1.7452612112806287"/>
    <s v="Residential"/>
    <s v="Undervalued"/>
    <s v="Dec"/>
    <n v="2020"/>
    <m/>
  </r>
  <r>
    <n v="200484"/>
    <s v="7/12/2021"/>
    <x v="3"/>
    <x v="0"/>
    <d v="2021-07-01T00:00:00"/>
    <s v="Vernon"/>
    <s v="90 MONTAUK DR"/>
    <n v="126800"/>
    <n v="300000"/>
    <n v="0.42259999999999998"/>
    <n v="2.3659305993690851"/>
    <s v="Residential"/>
    <s v="Overvalued"/>
    <s v="Jul"/>
    <n v="2021"/>
    <m/>
  </r>
  <r>
    <n v="200354"/>
    <s v="12/29/2020"/>
    <x v="7"/>
    <x v="2"/>
    <d v="2020-12-01T00:00:00"/>
    <s v="Bristol"/>
    <s v="391 TIFFANY LA"/>
    <n v="173740"/>
    <n v="299000"/>
    <n v="0.58099999999999996"/>
    <n v="1.720962357545758"/>
    <s v="Residential"/>
    <s v="Undervalued"/>
    <s v="Dec"/>
    <n v="2020"/>
    <m/>
  </r>
  <r>
    <n v="200046"/>
    <s v="12/14/2020"/>
    <x v="7"/>
    <x v="2"/>
    <d v="2020-12-01T00:00:00"/>
    <s v="Thomaston"/>
    <s v="3 BRADLEY WAY"/>
    <n v="133210"/>
    <n v="289900"/>
    <n v="0.45950000000000002"/>
    <n v="2.1762630433150663"/>
    <s v="Residential"/>
    <s v="Overvalued"/>
    <s v="Dec"/>
    <n v="2020"/>
    <m/>
  </r>
  <r>
    <n v="20200070"/>
    <s v="4/8/2021"/>
    <x v="0"/>
    <x v="0"/>
    <d v="2021-04-01T00:00:00"/>
    <s v="Sharon"/>
    <s v="101 MILLERTON RD"/>
    <n v="170200"/>
    <n v="287000"/>
    <n v="0.59299999999999997"/>
    <n v="1.6862514688601644"/>
    <s v="Residential"/>
    <s v="Undervalued"/>
    <s v="Apr"/>
    <n v="2021"/>
    <m/>
  </r>
  <r>
    <n v="200709"/>
    <s v="4/16/2021"/>
    <x v="0"/>
    <x v="0"/>
    <d v="2021-04-01T00:00:00"/>
    <s v="Manchester"/>
    <s v="152 GREEN ROAD"/>
    <n v="138100"/>
    <n v="282500"/>
    <n v="0.48884955800000002"/>
    <n v="2.0456191165821869"/>
    <s v="Residential"/>
    <s v="Overvalued"/>
    <s v="Apr"/>
    <n v="2021"/>
    <m/>
  </r>
  <r>
    <n v="200117"/>
    <s v="4/12/2021"/>
    <x v="0"/>
    <x v="0"/>
    <d v="2021-04-01T00:00:00"/>
    <s v="Canton"/>
    <s v="52 COUNTRY LANE"/>
    <n v="160850"/>
    <n v="280000"/>
    <n v="0.57440000000000002"/>
    <n v="1.7407522536524713"/>
    <s v="Residential"/>
    <s v="Undervalued"/>
    <s v="Apr"/>
    <n v="2021"/>
    <m/>
  </r>
  <r>
    <n v="20899"/>
    <s v="6/21/2021"/>
    <x v="1"/>
    <x v="0"/>
    <d v="2021-06-01T00:00:00"/>
    <s v="Hartford"/>
    <s v="159 RUSS ST"/>
    <n v="137270"/>
    <n v="278500"/>
    <n v="0.49280000000000002"/>
    <n v="2.0288482552633496"/>
    <s v="Apartments"/>
    <s v="Overvalued"/>
    <s v="Jun"/>
    <n v="2021"/>
    <m/>
  </r>
  <r>
    <n v="2000327"/>
    <s v="3/3/2021"/>
    <x v="9"/>
    <x v="0"/>
    <d v="2021-03-01T00:00:00"/>
    <s v="Naugatuck"/>
    <s v="31 PILGRIM LN"/>
    <n v="157810"/>
    <n v="276500"/>
    <n v="0.57069999999999999"/>
    <n v="1.7521069640707179"/>
    <s v="Residential"/>
    <s v="Undervalued"/>
    <s v="Mar"/>
    <n v="2021"/>
    <m/>
  </r>
  <r>
    <n v="20200059"/>
    <s v="10/13/2020"/>
    <x v="8"/>
    <x v="2"/>
    <d v="2020-10-01T00:00:00"/>
    <s v="Stratford"/>
    <s v="653B OSAGE LANE"/>
    <n v="156380"/>
    <n v="276000"/>
    <n v="0.5665"/>
    <n v="1.7649315769279958"/>
    <s v="Residential"/>
    <s v="Undervalued"/>
    <s v="Oct"/>
    <n v="2020"/>
    <m/>
  </r>
  <r>
    <n v="200025"/>
    <s v="10/20/2020"/>
    <x v="8"/>
    <x v="2"/>
    <d v="2020-10-01T00:00:00"/>
    <s v="Suffield"/>
    <s v="930 BRANCH RD"/>
    <n v="159180"/>
    <n v="261000"/>
    <n v="0.60980000000000001"/>
    <n v="1.6396532227666791"/>
    <s v="Residential"/>
    <s v="Undervalued"/>
    <s v="Oct"/>
    <n v="2020"/>
    <m/>
  </r>
  <r>
    <n v="200408"/>
    <s v="12/24/2020"/>
    <x v="7"/>
    <x v="2"/>
    <d v="2020-12-01T00:00:00"/>
    <s v="Danbury"/>
    <s v="15 SCUPPO RD 1503"/>
    <n v="130800"/>
    <n v="260000"/>
    <n v="0.503"/>
    <n v="1.9877675840978593"/>
    <s v="Residential"/>
    <s v="Undervalued"/>
    <s v="Dec"/>
    <n v="2020"/>
    <m/>
  </r>
  <r>
    <n v="201245"/>
    <s v="9/14/2021"/>
    <x v="10"/>
    <x v="0"/>
    <d v="2021-09-01T00:00:00"/>
    <s v="Meriden"/>
    <s v="223 REYNOLDS DR"/>
    <n v="128170"/>
    <n v="260000"/>
    <n v="0.4929"/>
    <n v="2.0285558242958572"/>
    <s v="Residential"/>
    <s v="Overvalued"/>
    <s v="Sep"/>
    <n v="2021"/>
    <m/>
  </r>
  <r>
    <n v="2000513"/>
    <s v="7/20/2021"/>
    <x v="3"/>
    <x v="0"/>
    <d v="2021-07-01T00:00:00"/>
    <s v="Wethersfield"/>
    <s v="215 NOTT ST"/>
    <n v="144050"/>
    <n v="257500"/>
    <n v="0.55940000000000001"/>
    <n v="1.7875737591114196"/>
    <s v="Residential"/>
    <s v="Undervalued"/>
    <s v="Jul"/>
    <n v="2021"/>
    <m/>
  </r>
  <r>
    <n v="20118"/>
    <s v="9/30/2021"/>
    <x v="10"/>
    <x v="0"/>
    <d v="2021-09-01T00:00:00"/>
    <s v="Sterling"/>
    <s v="174 CHURCH ST"/>
    <n v="92890"/>
    <n v="255000"/>
    <n v="0.36420000000000002"/>
    <n v="2.7451824738938528"/>
    <s v="Residential"/>
    <s v="Overvalued"/>
    <s v="Sep"/>
    <n v="2021"/>
    <m/>
  </r>
  <r>
    <n v="200002"/>
    <s v="10/1/2020"/>
    <x v="8"/>
    <x v="2"/>
    <d v="2020-10-01T00:00:00"/>
    <s v="Simsbury"/>
    <s v="24 BRETTONWOOD DRIVE"/>
    <n v="186610"/>
    <n v="252000"/>
    <n v="0.74050000000000005"/>
    <n v="1.3504099458764267"/>
    <s v="Residential"/>
    <s v="Undervalued"/>
    <s v="Oct"/>
    <n v="2020"/>
    <m/>
  </r>
  <r>
    <n v="2000381"/>
    <s v="9/13/2021"/>
    <x v="10"/>
    <x v="0"/>
    <d v="2021-09-01T00:00:00"/>
    <s v="Bloomfield"/>
    <s v="9 SADDLE RIDGE"/>
    <n v="163730"/>
    <n v="250000"/>
    <n v="0.65490000000000004"/>
    <n v="1.5269040493495389"/>
    <s v="Residential"/>
    <s v="Undervalued"/>
    <s v="Sep"/>
    <n v="2021"/>
    <m/>
  </r>
  <r>
    <n v="201295"/>
    <s v="9/9/2021"/>
    <x v="10"/>
    <x v="0"/>
    <d v="2021-09-01T00:00:00"/>
    <s v="Bristol"/>
    <s v="609 CAMP ST"/>
    <n v="144340"/>
    <n v="249900"/>
    <n v="0.57750000000000001"/>
    <n v="1.7313288069835111"/>
    <s v="Residential"/>
    <s v="Undervalued"/>
    <s v="Sep"/>
    <n v="2021"/>
    <m/>
  </r>
  <r>
    <n v="20565"/>
    <s v="3/29/2021"/>
    <x v="9"/>
    <x v="0"/>
    <d v="2021-03-01T00:00:00"/>
    <s v="Hartford"/>
    <s v="31 EATON ST"/>
    <n v="61915"/>
    <n v="249000"/>
    <n v="0.24859999999999999"/>
    <n v="4.021642574497295"/>
    <s v="Residential"/>
    <s v="Overvalued"/>
    <s v="Mar"/>
    <n v="2021"/>
    <m/>
  </r>
  <r>
    <n v="200101"/>
    <s v="1/7/2021"/>
    <x v="6"/>
    <x v="0"/>
    <d v="2021-01-01T00:00:00"/>
    <s v="Coventry"/>
    <s v="74 LAKEVIEW DR"/>
    <n v="142800"/>
    <n v="245000"/>
    <n v="0.58279999999999998"/>
    <n v="1.7156862745098038"/>
    <s v="Residential"/>
    <s v="Undervalued"/>
    <s v="Jan"/>
    <n v="2021"/>
    <m/>
  </r>
  <r>
    <n v="200537"/>
    <s v="5/21/2021"/>
    <x v="2"/>
    <x v="0"/>
    <d v="2021-05-01T00:00:00"/>
    <s v="Enfield"/>
    <s v="104 BREWSTER RD"/>
    <n v="117380"/>
    <n v="245000"/>
    <n v="0.47910000000000003"/>
    <n v="2.0872380303288467"/>
    <s v="Residential"/>
    <s v="Overvalued"/>
    <s v="May"/>
    <n v="2021"/>
    <m/>
  </r>
  <r>
    <n v="17128"/>
    <s v="4/13/2018"/>
    <x v="0"/>
    <x v="1"/>
    <d v="2018-04-01T00:00:00"/>
    <s v="Darien"/>
    <s v="54 GIDEON LANE"/>
    <n v="132650"/>
    <n v="241368"/>
    <n v="0.54949999999999999"/>
    <n v="1.8195853750471165"/>
    <s v="Condo"/>
    <s v="Undervalued"/>
    <s v="Apr"/>
    <n v="2018"/>
    <m/>
  </r>
  <r>
    <n v="200226"/>
    <s v="12/18/2020"/>
    <x v="7"/>
    <x v="2"/>
    <d v="2020-12-01T00:00:00"/>
    <s v="Enfield"/>
    <s v="106 RAFFIA RD"/>
    <n v="145570"/>
    <n v="240000"/>
    <n v="0.60650000000000004"/>
    <n v="1.6486913512399533"/>
    <s v="Residential"/>
    <s v="Undervalued"/>
    <s v="Dec"/>
    <n v="2020"/>
    <m/>
  </r>
  <r>
    <n v="200264"/>
    <s v="6/10/2021"/>
    <x v="1"/>
    <x v="0"/>
    <d v="2021-06-01T00:00:00"/>
    <s v="New Fairfield"/>
    <s v="10 BROOK DR"/>
    <n v="107500"/>
    <n v="240000"/>
    <n v="0.44790000000000002"/>
    <n v="2.2325581395348837"/>
    <s v="Residential"/>
    <s v="Overvalued"/>
    <s v="Jun"/>
    <n v="2021"/>
    <m/>
  </r>
  <r>
    <n v="200886"/>
    <s v="5/3/2021"/>
    <x v="2"/>
    <x v="0"/>
    <d v="2021-05-01T00:00:00"/>
    <s v="Danbury"/>
    <s v="86 MERRIMAC ST B"/>
    <n v="189800"/>
    <n v="240000"/>
    <n v="0.79079999999999995"/>
    <n v="1.2644889357218125"/>
    <s v="Residential"/>
    <s v="Undervalued"/>
    <s v="May"/>
    <n v="2021"/>
    <m/>
  </r>
  <r>
    <n v="201133"/>
    <s v="9/2/2021"/>
    <x v="10"/>
    <x v="0"/>
    <d v="2021-09-01T00:00:00"/>
    <s v="New Britain"/>
    <s v="103 LEWIS RD"/>
    <n v="123480"/>
    <n v="235000"/>
    <n v="0.52539999999999998"/>
    <n v="1.9031422092646582"/>
    <s v="Residential"/>
    <s v="Undervalued"/>
    <s v="Sep"/>
    <n v="2021"/>
    <m/>
  </r>
  <r>
    <n v="200207"/>
    <s v="6/10/2021"/>
    <x v="1"/>
    <x v="0"/>
    <d v="2021-06-01T00:00:00"/>
    <s v="Rocky Hill"/>
    <s v="402 THE MEWS"/>
    <n v="120890"/>
    <n v="234900"/>
    <n v="0.51459999999999995"/>
    <n v="1.9430887583753826"/>
    <s v="Residential"/>
    <s v="Undervalued"/>
    <s v="Jun"/>
    <n v="2021"/>
    <m/>
  </r>
  <r>
    <n v="200938"/>
    <s v="5/13/2021"/>
    <x v="2"/>
    <x v="0"/>
    <d v="2021-05-01T00:00:00"/>
    <s v="Danbury"/>
    <s v="15-17 BOUGHTON ST #1-5"/>
    <n v="118900"/>
    <n v="230000"/>
    <n v="0.51690000000000003"/>
    <n v="1.9343986543313709"/>
    <s v="Residential"/>
    <s v="Undervalued"/>
    <s v="May"/>
    <n v="2021"/>
    <m/>
  </r>
  <r>
    <n v="20059"/>
    <s v="2/18/2021"/>
    <x v="4"/>
    <x v="0"/>
    <d v="2021-02-01T00:00:00"/>
    <s v="Lebanon"/>
    <s v="54 FIRST ST"/>
    <n v="121510"/>
    <n v="229900"/>
    <n v="0.52849999999999997"/>
    <n v="1.8920253477080076"/>
    <s v="Residential"/>
    <s v="Undervalued"/>
    <s v="Feb"/>
    <n v="2021"/>
    <m/>
  </r>
  <r>
    <n v="200374"/>
    <s v="5/18/2021"/>
    <x v="2"/>
    <x v="0"/>
    <d v="2021-05-01T00:00:00"/>
    <s v="Vernon"/>
    <s v="27 TRACY DRIVE"/>
    <n v="129190"/>
    <n v="226800"/>
    <n v="0.5696"/>
    <n v="1.7555538354361793"/>
    <s v="Residential"/>
    <s v="Undervalued"/>
    <s v="May"/>
    <n v="2021"/>
    <m/>
  </r>
  <r>
    <n v="200106"/>
    <s v="11/2/2020"/>
    <x v="11"/>
    <x v="2"/>
    <d v="2020-11-01T00:00:00"/>
    <s v="Torrington"/>
    <s v="2651 TORRINGFORD W ST"/>
    <n v="126570"/>
    <n v="225005"/>
    <n v="0.5625"/>
    <n v="1.7777119380579915"/>
    <s v="Residential"/>
    <s v="Undervalued"/>
    <s v="Nov"/>
    <n v="2020"/>
    <m/>
  </r>
  <r>
    <n v="20102"/>
    <s v="12/9/2020"/>
    <x v="7"/>
    <x v="2"/>
    <d v="2020-12-01T00:00:00"/>
    <s v="Watertown"/>
    <s v="12 CHARLES ST"/>
    <n v="127000"/>
    <n v="223000"/>
    <n v="0.56950000000000001"/>
    <n v="1.7559055118110236"/>
    <s v="Residential"/>
    <s v="Undervalued"/>
    <s v="Dec"/>
    <n v="2020"/>
    <m/>
  </r>
  <r>
    <n v="20086"/>
    <s v="10/22/2020"/>
    <x v="8"/>
    <x v="2"/>
    <d v="2020-10-01T00:00:00"/>
    <s v="New Britain"/>
    <s v="23 PARKMORE ST"/>
    <n v="122220"/>
    <n v="223000"/>
    <n v="0.54800000000000004"/>
    <n v="1.82457862870234"/>
    <s v="Residential"/>
    <s v="Undervalued"/>
    <s v="Oct"/>
    <n v="2020"/>
    <m/>
  </r>
  <r>
    <n v="20614"/>
    <s v="4/8/2021"/>
    <x v="0"/>
    <x v="0"/>
    <d v="2021-04-01T00:00:00"/>
    <s v="Hartford"/>
    <s v="55 STERLING ST"/>
    <n v="52500"/>
    <n v="220000"/>
    <n v="0.23860000000000001"/>
    <n v="4.1904761904761907"/>
    <s v="Residential"/>
    <s v="Overvalued"/>
    <s v="Apr"/>
    <n v="2021"/>
    <m/>
  </r>
  <r>
    <n v="200179"/>
    <s v="6/22/2021"/>
    <x v="1"/>
    <x v="0"/>
    <d v="2021-06-01T00:00:00"/>
    <s v="Portland"/>
    <s v="724 GLASTONBURY TPKE"/>
    <n v="134750"/>
    <n v="220000"/>
    <n v="0.61250000000000004"/>
    <n v="1.6326530612244898"/>
    <s v="Residential"/>
    <s v="Undervalued"/>
    <s v="Jun"/>
    <n v="2021"/>
    <m/>
  </r>
  <r>
    <n v="202611"/>
    <s v="7/6/2021"/>
    <x v="3"/>
    <x v="0"/>
    <d v="2021-07-01T00:00:00"/>
    <s v="Norwalk"/>
    <s v="126 WASHINGTON ST UNIT R203"/>
    <n v="144380"/>
    <n v="217500"/>
    <n v="0.66379999999999995"/>
    <n v="1.506441335365009"/>
    <s v="Residential"/>
    <s v="Undervalued"/>
    <s v="Jul"/>
    <n v="2021"/>
    <m/>
  </r>
  <r>
    <n v="201440"/>
    <s v="9/15/2021"/>
    <x v="10"/>
    <x v="0"/>
    <d v="2021-09-01T00:00:00"/>
    <s v="New Haven"/>
    <s v="889 CONGRESS AV"/>
    <n v="80150"/>
    <n v="214000"/>
    <n v="0.3745"/>
    <n v="2.6699937616968183"/>
    <s v="Residential"/>
    <s v="Overvalued"/>
    <s v="Sep"/>
    <n v="2021"/>
    <m/>
  </r>
  <r>
    <n v="20064"/>
    <s v="8/31/2021"/>
    <x v="5"/>
    <x v="0"/>
    <d v="2021-08-01T00:00:00"/>
    <s v="Franklin"/>
    <s v="888 ROUTE 32"/>
    <n v="186770"/>
    <n v="209000"/>
    <n v="0.89359999999999995"/>
    <n v="1.1190233977619533"/>
    <s v="Commercial"/>
    <s v="Undervalued"/>
    <s v="Aug"/>
    <n v="2021"/>
    <m/>
  </r>
  <r>
    <n v="2000330"/>
    <s v="5/20/2021"/>
    <x v="2"/>
    <x v="0"/>
    <d v="2021-05-01T00:00:00"/>
    <s v="Cheshire"/>
    <s v="844 HIGHLAND AVE"/>
    <n v="144220"/>
    <n v="204000"/>
    <n v="0.70689999999999997"/>
    <n v="1.4145056164193592"/>
    <s v="Residential"/>
    <s v="Undervalued"/>
    <s v="May"/>
    <n v="2021"/>
    <m/>
  </r>
  <r>
    <n v="20135"/>
    <s v="1/21/2021"/>
    <x v="6"/>
    <x v="0"/>
    <d v="2021-01-01T00:00:00"/>
    <s v="Plainfield"/>
    <s v="30-32 GREENE AVE"/>
    <n v="98580"/>
    <n v="200000"/>
    <n v="0.4929"/>
    <n v="2.028809089064719"/>
    <s v="Residential"/>
    <s v="Overvalued"/>
    <s v="Jan"/>
    <n v="2021"/>
    <m/>
  </r>
  <r>
    <n v="200052"/>
    <s v="11/16/2020"/>
    <x v="11"/>
    <x v="2"/>
    <d v="2020-11-01T00:00:00"/>
    <s v="Litchfield"/>
    <s v="68 BEACH ST"/>
    <n v="149570"/>
    <n v="200000"/>
    <n v="0.74780000000000002"/>
    <n v="1.3371665440930669"/>
    <s v="Residential"/>
    <s v="Undervalued"/>
    <s v="Nov"/>
    <n v="2020"/>
    <m/>
  </r>
  <r>
    <n v="170327"/>
    <s v="4/18/2018"/>
    <x v="0"/>
    <x v="1"/>
    <d v="2018-04-01T00:00:00"/>
    <s v="Enfield"/>
    <s v="95 LAURELS B20UD"/>
    <n v="124660"/>
    <n v="196000"/>
    <n v="0.63600000000000001"/>
    <n v="1.5722765923311408"/>
    <s v="Condo"/>
    <s v="Undervalued"/>
    <s v="Apr"/>
    <n v="2018"/>
    <m/>
  </r>
  <r>
    <n v="2000296"/>
    <s v="2/12/2021"/>
    <x v="4"/>
    <x v="0"/>
    <d v="2021-02-01T00:00:00"/>
    <s v="Naugatuck"/>
    <s v="464 MULBERRY ST"/>
    <n v="114660"/>
    <n v="195000"/>
    <n v="0.58799999999999997"/>
    <n v="1.7006802721088434"/>
    <s v="Residential"/>
    <s v="Undervalued"/>
    <s v="Feb"/>
    <n v="2021"/>
    <m/>
  </r>
  <r>
    <n v="2000857"/>
    <s v="1/21/2021"/>
    <x v="6"/>
    <x v="0"/>
    <d v="2021-01-01T00:00:00"/>
    <s v="Stamford"/>
    <s v="0 SUMMER STREET #116-2A"/>
    <n v="109420"/>
    <n v="195000"/>
    <n v="0.56110000000000004"/>
    <n v="1.7821239261560957"/>
    <s v="Residential"/>
    <s v="Undervalued"/>
    <s v="Jan"/>
    <n v="2021"/>
    <m/>
  </r>
  <r>
    <n v="2000022"/>
    <s v="10/13/2020"/>
    <x v="8"/>
    <x v="2"/>
    <d v="2020-10-01T00:00:00"/>
    <s v="Naugatuck"/>
    <s v="41 ANDERSON ST"/>
    <n v="108070"/>
    <n v="193500"/>
    <n v="0.5585"/>
    <n v="1.7905061534190803"/>
    <s v="Residential"/>
    <s v="Undervalued"/>
    <s v="Oct"/>
    <n v="2020"/>
    <m/>
  </r>
  <r>
    <n v="200010"/>
    <s v="10/22/2020"/>
    <x v="8"/>
    <x v="2"/>
    <d v="2020-10-01T00:00:00"/>
    <s v="Rocky Hill"/>
    <s v="59 HIGHCREST DRIVE"/>
    <n v="128870"/>
    <n v="193000"/>
    <n v="0.66769999999999996"/>
    <n v="1.4976332738418561"/>
    <s v="Residential"/>
    <s v="Undervalued"/>
    <s v="Oct"/>
    <n v="2020"/>
    <m/>
  </r>
  <r>
    <n v="201176"/>
    <s v="3/9/2021"/>
    <x v="9"/>
    <x v="0"/>
    <d v="2021-03-01T00:00:00"/>
    <s v="New London"/>
    <s v="400 BANK ST UNIT 201"/>
    <n v="165550"/>
    <n v="191000"/>
    <n v="0.86670000000000003"/>
    <n v="1.1537299909392933"/>
    <s v="Residential"/>
    <s v="Undervalued"/>
    <s v="Mar"/>
    <n v="2021"/>
    <m/>
  </r>
  <r>
    <n v="200419"/>
    <s v="2/4/2021"/>
    <x v="4"/>
    <x v="0"/>
    <d v="2021-02-01T00:00:00"/>
    <s v="New Haven"/>
    <s v="769 DIXWELL AV"/>
    <n v="74200"/>
    <n v="190000"/>
    <n v="0.39050000000000001"/>
    <n v="2.5606469002695418"/>
    <s v="Residential"/>
    <s v="Overvalued"/>
    <s v="Feb"/>
    <n v="2021"/>
    <m/>
  </r>
  <r>
    <n v="200759"/>
    <s v="7/21/2021"/>
    <x v="3"/>
    <x v="0"/>
    <d v="2021-07-01T00:00:00"/>
    <s v="Shelton"/>
    <s v="104 MAPLE AVE"/>
    <n v="144410"/>
    <n v="185000"/>
    <n v="0.78049999999999997"/>
    <n v="1.2810747178173256"/>
    <s v="Residential"/>
    <s v="Undervalued"/>
    <s v="Jul"/>
    <n v="2021"/>
    <m/>
  </r>
  <r>
    <n v="20486"/>
    <s v="6/15/2021"/>
    <x v="1"/>
    <x v="0"/>
    <d v="2021-06-01T00:00:00"/>
    <s v="Southbury"/>
    <s v="808 A HERITAGE VILLAGE"/>
    <n v="92080"/>
    <n v="185000"/>
    <n v="0.49769999999999998"/>
    <n v="2.0091225021720245"/>
    <s v="Residential"/>
    <s v="Overvalued"/>
    <s v="Jun"/>
    <n v="2021"/>
    <m/>
  </r>
  <r>
    <n v="2000473"/>
    <s v="5/18/2021"/>
    <x v="2"/>
    <x v="0"/>
    <d v="2021-05-01T00:00:00"/>
    <s v="Naugatuck"/>
    <s v="33 FAIRCHILD ST"/>
    <n v="98900"/>
    <n v="184500"/>
    <n v="0.53600000000000003"/>
    <n v="1.865520728008089"/>
    <s v="Residential"/>
    <s v="Undervalued"/>
    <s v="May"/>
    <n v="2021"/>
    <m/>
  </r>
  <r>
    <n v="200527"/>
    <s v="3/1/2021"/>
    <x v="9"/>
    <x v="0"/>
    <d v="2021-03-01T00:00:00"/>
    <s v="Bristol"/>
    <s v="25 WARD ST"/>
    <n v="85680"/>
    <n v="183000"/>
    <n v="0.46810000000000002"/>
    <n v="2.1358543417366946"/>
    <s v="Residential"/>
    <s v="Overvalued"/>
    <s v="Mar"/>
    <n v="2021"/>
    <m/>
  </r>
  <r>
    <n v="200362"/>
    <s v="5/24/2021"/>
    <x v="2"/>
    <x v="0"/>
    <d v="2021-05-01T00:00:00"/>
    <s v="Simsbury"/>
    <s v="75 HILLTOP DRIVE"/>
    <n v="99660"/>
    <n v="180000"/>
    <n v="0.55359999999999998"/>
    <n v="1.8061408789885611"/>
    <s v="Residential"/>
    <s v="Undervalued"/>
    <s v="May"/>
    <n v="2021"/>
    <m/>
  </r>
  <r>
    <n v="20750"/>
    <s v="5/6/2021"/>
    <x v="2"/>
    <x v="0"/>
    <d v="2021-05-01T00:00:00"/>
    <s v="Hartford"/>
    <s v="3371 MAIN ST"/>
    <n v="126560"/>
    <n v="180000"/>
    <n v="0.70309999999999995"/>
    <n v="1.4222503160556257"/>
    <s v="Commercial"/>
    <s v="Undervalued"/>
    <s v="May"/>
    <n v="2021"/>
    <m/>
  </r>
  <r>
    <n v="200212"/>
    <s v="3/9/2021"/>
    <x v="9"/>
    <x v="0"/>
    <d v="2021-03-01T00:00:00"/>
    <s v="Avon"/>
    <s v="5 CHESTNUT DRIVE"/>
    <n v="130400"/>
    <n v="179900"/>
    <n v="0.7248"/>
    <n v="1.3796012269938651"/>
    <s v="Residential"/>
    <s v="Undervalued"/>
    <s v="Mar"/>
    <n v="2021"/>
    <m/>
  </r>
  <r>
    <n v="20000179"/>
    <s v="2/22/2021"/>
    <x v="4"/>
    <x v="0"/>
    <d v="2021-02-01T00:00:00"/>
    <s v="Brookfield"/>
    <s v="72 HOMESTEAD LN"/>
    <n v="94770"/>
    <n v="170000"/>
    <n v="0.55740000000000001"/>
    <n v="1.7938166086314233"/>
    <s v="Residential"/>
    <s v="Undervalued"/>
    <s v="Feb"/>
    <n v="2021"/>
    <m/>
  </r>
  <r>
    <n v="200468"/>
    <s v="2/12/2021"/>
    <x v="4"/>
    <x v="0"/>
    <d v="2021-02-01T00:00:00"/>
    <s v="Meriden"/>
    <s v="28 STANLEY ST"/>
    <n v="100520"/>
    <n v="170000"/>
    <n v="0.59119999999999995"/>
    <n v="1.6912057302029446"/>
    <s v="Residential"/>
    <s v="Undervalued"/>
    <s v="Feb"/>
    <n v="2021"/>
    <m/>
  </r>
  <r>
    <n v="200192"/>
    <s v="11/20/2020"/>
    <x v="11"/>
    <x v="2"/>
    <d v="2020-11-01T00:00:00"/>
    <s v="New Haven"/>
    <s v="459 BLATCHLEY AV"/>
    <n v="71150"/>
    <n v="170000"/>
    <n v="0.41849999999999998"/>
    <n v="2.3893183415319745"/>
    <s v="Residential"/>
    <s v="Overvalued"/>
    <s v="Nov"/>
    <n v="2020"/>
    <m/>
  </r>
  <r>
    <n v="200113"/>
    <s v="1/14/2021"/>
    <x v="6"/>
    <x v="0"/>
    <d v="2021-01-01T00:00:00"/>
    <s v="Suffield"/>
    <s v="4 CHELTENHAM CT"/>
    <n v="98280"/>
    <n v="169900"/>
    <n v="0.57840000000000003"/>
    <n v="1.7287342287342287"/>
    <s v="Residential"/>
    <s v="Undervalued"/>
    <s v="Jan"/>
    <n v="2021"/>
    <m/>
  </r>
  <r>
    <n v="20522"/>
    <s v="3/11/2021"/>
    <x v="9"/>
    <x v="0"/>
    <d v="2021-03-01T00:00:00"/>
    <s v="Hartford"/>
    <s v="26 BRANFORD ST"/>
    <n v="35875"/>
    <n v="165000"/>
    <n v="0.21740000000000001"/>
    <n v="4.5993031358885021"/>
    <s v="Residential"/>
    <s v="Overvalued"/>
    <s v="Mar"/>
    <n v="2021"/>
    <m/>
  </r>
  <r>
    <n v="20513"/>
    <s v="3/11/2021"/>
    <x v="9"/>
    <x v="0"/>
    <d v="2021-03-01T00:00:00"/>
    <s v="New Britain"/>
    <s v="32 HIGHLAND TERR"/>
    <n v="97580"/>
    <n v="163300"/>
    <n v="0.59750000000000003"/>
    <n v="1.673498667759787"/>
    <s v="Residential"/>
    <s v="Undervalued"/>
    <s v="Mar"/>
    <n v="2021"/>
    <m/>
  </r>
  <r>
    <n v="200991"/>
    <s v="7/8/2021"/>
    <x v="3"/>
    <x v="0"/>
    <d v="2021-07-01T00:00:00"/>
    <s v="Manchester"/>
    <s v="64 MILFORD ROAD"/>
    <n v="104300"/>
    <n v="160000"/>
    <n v="0.65180000000000005"/>
    <n v="1.5340364333652925"/>
    <s v="Residential"/>
    <s v="Undervalued"/>
    <s v="Jul"/>
    <n v="2021"/>
    <m/>
  </r>
  <r>
    <n v="20000050"/>
    <s v="11/5/2020"/>
    <x v="11"/>
    <x v="2"/>
    <d v="2020-11-01T00:00:00"/>
    <s v="Brookfield"/>
    <s v="4 CHELSEA CT"/>
    <n v="105110"/>
    <n v="160000"/>
    <n v="0.65693749999999995"/>
    <n v="1.5222148225668348"/>
    <s v="Residential"/>
    <s v="Undervalued"/>
    <s v="Nov"/>
    <n v="2020"/>
    <m/>
  </r>
  <r>
    <n v="180207"/>
    <s v="2/27/2019"/>
    <x v="4"/>
    <x v="3"/>
    <d v="2019-02-01T00:00:00"/>
    <s v="Branford"/>
    <s v="406 THOREAU ST"/>
    <n v="100800"/>
    <n v="156000"/>
    <n v="0.64615384600000003"/>
    <n v="1.5476190476190477"/>
    <s v="Condo"/>
    <s v="Undervalued"/>
    <s v="Feb"/>
    <n v="2019"/>
    <m/>
  </r>
  <r>
    <n v="200032"/>
    <s v="10/8/2020"/>
    <x v="8"/>
    <x v="2"/>
    <d v="2020-10-01T00:00:00"/>
    <s v="Bristol"/>
    <s v="9 LESLIE COURT"/>
    <n v="94920"/>
    <n v="155000"/>
    <n v="0.61229999999999996"/>
    <n v="1.6329540665823852"/>
    <s v="Residential"/>
    <s v="Undervalued"/>
    <s v="Oct"/>
    <n v="2020"/>
    <m/>
  </r>
  <r>
    <n v="190443"/>
    <s v="4/29/2020"/>
    <x v="0"/>
    <x v="2"/>
    <d v="2020-04-01T00:00:00"/>
    <s v="Middletown"/>
    <s v="94 CYNTHIA LA #B-6"/>
    <n v="92280"/>
    <n v="153000"/>
    <n v="0.60309999999999997"/>
    <n v="1.6579973992197659"/>
    <s v="Condo"/>
    <s v="Undervalued"/>
    <s v="Apr"/>
    <n v="2020"/>
    <m/>
  </r>
  <r>
    <n v="200285"/>
    <s v="4/12/2021"/>
    <x v="0"/>
    <x v="0"/>
    <d v="2021-04-01T00:00:00"/>
    <s v="Guilford"/>
    <s v="30 GRANITE RD"/>
    <n v="77840"/>
    <n v="150000"/>
    <n v="0.51890000000000003"/>
    <n v="1.9270298047276464"/>
    <s v="Residential"/>
    <s v="Undervalued"/>
    <s v="Apr"/>
    <n v="2021"/>
    <m/>
  </r>
  <r>
    <n v="200230"/>
    <s v="4/26/2021"/>
    <x v="0"/>
    <x v="0"/>
    <d v="2021-04-01T00:00:00"/>
    <s v="Killingly"/>
    <s v="152 NORTH ST"/>
    <n v="143220"/>
    <n v="150000"/>
    <n v="0.95479999999999998"/>
    <n v="1.0473397570171763"/>
    <s v="Apartments"/>
    <s v="Undervalued"/>
    <s v="Apr"/>
    <n v="2021"/>
    <m/>
  </r>
  <r>
    <n v="201777"/>
    <s v="6/8/2021"/>
    <x v="1"/>
    <x v="0"/>
    <d v="2021-06-01T00:00:00"/>
    <s v="Waterbury"/>
    <s v="18 CAMP ST"/>
    <n v="36770"/>
    <n v="150000"/>
    <n v="0.24510000000000001"/>
    <n v="4.0794125645906991"/>
    <s v="Residential"/>
    <s v="Overvalued"/>
    <s v="Jun"/>
    <n v="2021"/>
    <m/>
  </r>
  <r>
    <n v="201018"/>
    <s v="6/3/2021"/>
    <x v="1"/>
    <x v="0"/>
    <d v="2021-06-01T00:00:00"/>
    <s v="Danbury"/>
    <s v="55 FOREST AV"/>
    <n v="136900"/>
    <n v="150000"/>
    <n v="0.91259999999999997"/>
    <n v="1.0956902848794741"/>
    <s v="Residential"/>
    <s v="Undervalued"/>
    <s v="Jun"/>
    <n v="2021"/>
    <m/>
  </r>
  <r>
    <n v="200375"/>
    <s v="4/6/2021"/>
    <x v="0"/>
    <x v="0"/>
    <d v="2021-04-01T00:00:00"/>
    <s v="East Haven"/>
    <s v="55      THOMPSON ST #5A"/>
    <n v="76960"/>
    <n v="140000"/>
    <n v="0.54969999999999997"/>
    <n v="1.8191268191268191"/>
    <s v="Residential"/>
    <s v="Undervalued"/>
    <s v="Apr"/>
    <n v="2021"/>
    <m/>
  </r>
  <r>
    <n v="202250"/>
    <s v="8/9/2021"/>
    <x v="5"/>
    <x v="0"/>
    <d v="2021-08-01T00:00:00"/>
    <s v="Waterbury"/>
    <s v="94 SOUTHMAYD RD #3"/>
    <n v="63100"/>
    <n v="139900"/>
    <n v="0.45100000000000001"/>
    <n v="2.2171156893819335"/>
    <s v="Residential"/>
    <s v="Overvalued"/>
    <s v="Aug"/>
    <n v="2021"/>
    <m/>
  </r>
  <r>
    <n v="200436"/>
    <s v="5/4/2021"/>
    <x v="2"/>
    <x v="0"/>
    <d v="2021-05-01T00:00:00"/>
    <s v="Groton"/>
    <s v="67 LEAFWOOD LN S250"/>
    <n v="71960"/>
    <n v="130000"/>
    <n v="0.55349999999999999"/>
    <n v="1.8065591995553085"/>
    <s v="Residential"/>
    <s v="Undervalued"/>
    <s v="May"/>
    <n v="2021"/>
    <m/>
  </r>
  <r>
    <n v="200377"/>
    <s v="5/28/2021"/>
    <x v="2"/>
    <x v="0"/>
    <d v="2021-05-01T00:00:00"/>
    <s v="Simsbury"/>
    <s v="108 LIBRARY LANE"/>
    <n v="80010"/>
    <n v="130000"/>
    <n v="0.61539999999999995"/>
    <n v="1.6247969003874516"/>
    <s v="Residential"/>
    <s v="Undervalued"/>
    <s v="May"/>
    <n v="2021"/>
    <m/>
  </r>
  <r>
    <n v="20273"/>
    <s v="1/11/2021"/>
    <x v="6"/>
    <x v="0"/>
    <d v="2021-01-01T00:00:00"/>
    <s v="Ridgefield"/>
    <s v="12 CARPENTER CLOSE"/>
    <n v="89810"/>
    <n v="128300"/>
    <n v="0.7"/>
    <n v="1.4285714285714286"/>
    <s v="Residential"/>
    <s v="Undervalued"/>
    <s v="Jan"/>
    <n v="2021"/>
    <m/>
  </r>
  <r>
    <n v="200174"/>
    <s v="11/20/2020"/>
    <x v="11"/>
    <x v="2"/>
    <d v="2020-11-01T00:00:00"/>
    <s v="Torrington"/>
    <s v="194 LEDGE DR"/>
    <n v="58020"/>
    <n v="122500"/>
    <n v="0.47360000000000002"/>
    <n v="2.1113409169251982"/>
    <s v="Residential"/>
    <s v="Overvalued"/>
    <s v="Nov"/>
    <n v="2020"/>
    <m/>
  </r>
  <r>
    <n v="201592"/>
    <s v="5/12/2021"/>
    <x v="2"/>
    <x v="0"/>
    <d v="2021-05-01T00:00:00"/>
    <s v="Waterbury"/>
    <s v="26 COOPER ST"/>
    <n v="73860"/>
    <n v="122000"/>
    <n v="0.60540000000000005"/>
    <n v="1.6517736257784998"/>
    <s v="Residential"/>
    <s v="Undervalued"/>
    <s v="May"/>
    <n v="2021"/>
    <m/>
  </r>
  <r>
    <n v="180650"/>
    <s v="1/24/2019"/>
    <x v="6"/>
    <x v="3"/>
    <d v="2019-01-01T00:00:00"/>
    <s v="Bridgeport"/>
    <s v="333 VINCELLETTE ST UNIT 82"/>
    <n v="64720"/>
    <n v="108000"/>
    <n v="0.59919999999999995"/>
    <n v="1.6687268232385661"/>
    <s v="Condo"/>
    <s v="Undervalued"/>
    <s v="Jan"/>
    <n v="2019"/>
    <m/>
  </r>
  <r>
    <n v="171321"/>
    <s v="5/14/2018"/>
    <x v="2"/>
    <x v="1"/>
    <d v="2018-05-01T00:00:00"/>
    <s v="Bridgeport"/>
    <s v="50 GREENHOUSE RD UNIT 57C"/>
    <n v="59750"/>
    <n v="107000"/>
    <n v="0.55840000000000001"/>
    <n v="1.7907949790794979"/>
    <s v="Condo"/>
    <s v="Undervalued"/>
    <s v="May"/>
    <n v="2018"/>
    <m/>
  </r>
  <r>
    <n v="200953"/>
    <s v="5/28/2021"/>
    <x v="2"/>
    <x v="0"/>
    <d v="2021-05-01T00:00:00"/>
    <s v="New Haven"/>
    <s v="44 FRONT ST"/>
    <n v="64470"/>
    <n v="105000"/>
    <n v="0.61399999999999999"/>
    <n v="1.6286644951140066"/>
    <s v="Residential"/>
    <s v="Undervalued"/>
    <s v="May"/>
    <n v="2021"/>
    <m/>
  </r>
  <r>
    <n v="200007"/>
    <s v="10/2/2020"/>
    <x v="8"/>
    <x v="2"/>
    <d v="2020-10-01T00:00:00"/>
    <s v="South Windsor"/>
    <s v="23-D AMATO DR"/>
    <n v="68300"/>
    <n v="105000"/>
    <n v="0.65039999999999998"/>
    <n v="1.5373352855051245"/>
    <s v="Residential"/>
    <s v="Undervalued"/>
    <s v="Oct"/>
    <n v="2020"/>
    <m/>
  </r>
  <r>
    <n v="201212"/>
    <s v="8/23/2021"/>
    <x v="5"/>
    <x v="0"/>
    <d v="2021-08-01T00:00:00"/>
    <s v="Bristol"/>
    <s v="8 JENNINGS TERR"/>
    <n v="88060"/>
    <n v="91000"/>
    <n v="0.96760000000000002"/>
    <n v="1.0333863275039745"/>
    <s v="Residential"/>
    <s v="Undervalued"/>
    <s v="Aug"/>
    <n v="2021"/>
    <m/>
  </r>
  <r>
    <n v="2020065"/>
    <s v="12/20/2020"/>
    <x v="7"/>
    <x v="2"/>
    <d v="2020-12-01T00:00:00"/>
    <s v="Tolland"/>
    <s v="H2 TOLLAND MEADOWS"/>
    <n v="55200"/>
    <n v="90000"/>
    <n v="0.61329999999999996"/>
    <n v="1.6304347826086956"/>
    <s v="Residential"/>
    <s v="Undervalued"/>
    <s v="Dec"/>
    <n v="2020"/>
    <m/>
  </r>
  <r>
    <n v="200377"/>
    <s v="8/16/2021"/>
    <x v="5"/>
    <x v="0"/>
    <d v="2021-08-01T00:00:00"/>
    <s v="Plainville"/>
    <s v="492 EAST ST B-36"/>
    <n v="41090"/>
    <n v="89900"/>
    <n v="0.45700000000000002"/>
    <n v="2.1878802628376732"/>
    <s v="Residential"/>
    <s v="Overvalued"/>
    <s v="Aug"/>
    <n v="2021"/>
    <m/>
  </r>
  <r>
    <n v="2020256"/>
    <s v="6/23/2021"/>
    <x v="1"/>
    <x v="0"/>
    <d v="2021-06-01T00:00:00"/>
    <s v="Tolland"/>
    <s v="D3 TOLLAND MEADOWS"/>
    <n v="55200"/>
    <n v="89900"/>
    <n v="0.61401557299999998"/>
    <n v="1.6286231884057971"/>
    <s v="Residential"/>
    <s v="Undervalued"/>
    <s v="Jun"/>
    <n v="2021"/>
    <m/>
  </r>
  <r>
    <n v="200821"/>
    <s v="5/27/2021"/>
    <x v="2"/>
    <x v="0"/>
    <d v="2021-05-01T00:00:00"/>
    <s v="Meriden"/>
    <s v="7 CARRIAGE CRSNG"/>
    <n v="67270"/>
    <n v="82000"/>
    <n v="0.82030000000000003"/>
    <n v="1.2189683365541846"/>
    <s v="Residential"/>
    <s v="Undervalued"/>
    <s v="May"/>
    <n v="2021"/>
    <m/>
  </r>
  <r>
    <n v="200242"/>
    <s v="1/27/2021"/>
    <x v="6"/>
    <x v="0"/>
    <d v="2021-01-01T00:00:00"/>
    <s v="East Haven"/>
    <s v="130 COE AVE #51"/>
    <n v="28240"/>
    <n v="73000"/>
    <n v="0.38684931500000003"/>
    <n v="2.5849858356940509"/>
    <s v="Residential"/>
    <s v="Overvalued"/>
    <s v="Jan"/>
    <n v="2021"/>
    <m/>
  </r>
  <r>
    <n v="190767"/>
    <s v="3/2/2020"/>
    <x v="9"/>
    <x v="2"/>
    <d v="2020-03-01T00:00:00"/>
    <s v="Waterbury"/>
    <s v="1424 THOMASTON AVE #2"/>
    <n v="28490"/>
    <n v="61000"/>
    <n v="0.46700000000000003"/>
    <n v="2.1411021411021411"/>
    <s v="Condo"/>
    <s v="Overvalued"/>
    <s v="Mar"/>
    <n v="2020"/>
    <m/>
  </r>
  <r>
    <n v="170668"/>
    <s v="1/31/2018"/>
    <x v="6"/>
    <x v="1"/>
    <d v="2018-01-01T00:00:00"/>
    <s v="Bridgeport"/>
    <s v="120 HUNTINGTON TPKE UNIT 708"/>
    <n v="27570"/>
    <n v="59000"/>
    <n v="0.4672"/>
    <n v="2.1400072542618789"/>
    <s v="Condo"/>
    <s v="Overvalued"/>
    <s v="Jan"/>
    <n v="2018"/>
    <m/>
  </r>
  <r>
    <n v="181369"/>
    <s v="6/7/2019"/>
    <x v="1"/>
    <x v="3"/>
    <d v="2019-06-01T00:00:00"/>
    <s v="Bridgeport"/>
    <s v="265-A TEXAS AVE"/>
    <n v="36950"/>
    <n v="52000"/>
    <n v="0.71050000000000002"/>
    <n v="1.4073071718538566"/>
    <s v="Condo"/>
    <s v="Undervalued"/>
    <s v="Jun"/>
    <n v="2019"/>
    <m/>
  </r>
  <r>
    <n v="17568"/>
    <s v="5/24/2018"/>
    <x v="2"/>
    <x v="1"/>
    <d v="2018-05-01T00:00:00"/>
    <s v="Hartford"/>
    <s v="755 WETHERSFIELD AV UNIT B2"/>
    <n v="11620"/>
    <n v="38500"/>
    <n v="0.30180000000000001"/>
    <n v="3.3132530120481927"/>
    <s v="Condo"/>
    <s v="Overvalued"/>
    <s v="May"/>
    <n v="2018"/>
    <m/>
  </r>
  <r>
    <n v="180558"/>
    <s v="5/21/2019"/>
    <x v="2"/>
    <x v="3"/>
    <d v="2019-05-01T00:00:00"/>
    <s v="New Haven"/>
    <s v="1203 ELLA T GRASSO BLVD # B"/>
    <n v="28910"/>
    <n v="30000"/>
    <n v="0.96360000000000001"/>
    <n v="1.0377032168799722"/>
    <s v="Condo"/>
    <s v="Undervalued"/>
    <s v="May"/>
    <n v="2019"/>
    <m/>
  </r>
  <r>
    <n v="2000720"/>
    <s v="1/5/2021"/>
    <x v="6"/>
    <x v="0"/>
    <d v="2021-01-01T00:00:00"/>
    <s v="Stamford"/>
    <s v="57 HARBOR DRIVE GARAGE G-105B"/>
    <n v="19110"/>
    <n v="27500"/>
    <n v="0.69489999999999996"/>
    <n v="1.4390371533228676"/>
    <s v="Residential"/>
    <s v="Undervalued"/>
    <s v="Jan"/>
    <n v="2021"/>
    <m/>
  </r>
  <r>
    <m/>
    <m/>
    <x v="12"/>
    <x v="4"/>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9">
  <r>
    <n v="201186"/>
    <d v="2021-07-12T00:00:00"/>
    <s v="July"/>
    <n v="2021"/>
    <d v="2021-07-01T00:00:00"/>
    <s v="Danbury"/>
    <s v="28 MAIN ST"/>
    <n v="695500"/>
    <n v="3200000"/>
    <n v="0.21734375"/>
    <n v="4.6010064701653484"/>
    <x v="0"/>
    <s v="Overvalued"/>
  </r>
  <r>
    <n v="20522"/>
    <d v="2021-03-11T00:00:00"/>
    <s v="March"/>
    <n v="2021"/>
    <d v="2021-03-01T00:00:00"/>
    <s v="Hartford"/>
    <s v="26 BRANFORD ST"/>
    <n v="35875"/>
    <n v="165000"/>
    <n v="0.21740000000000001"/>
    <n v="4.5993031358885021"/>
    <x v="1"/>
    <s v="Overvalued"/>
  </r>
  <r>
    <n v="20614"/>
    <d v="2021-04-08T00:00:00"/>
    <s v="April"/>
    <n v="2021"/>
    <d v="2021-04-01T00:00:00"/>
    <s v="Hartford"/>
    <s v="55 STERLING ST"/>
    <n v="52500"/>
    <n v="220000"/>
    <n v="0.23860000000000001"/>
    <n v="4.1904761904761907"/>
    <x v="1"/>
    <s v="Overvalued"/>
  </r>
  <r>
    <n v="201777"/>
    <d v="2021-06-08T00:00:00"/>
    <s v="June"/>
    <n v="2021"/>
    <d v="2021-06-01T00:00:00"/>
    <s v="Waterbury"/>
    <s v="18 CAMP ST"/>
    <n v="36770"/>
    <n v="150000"/>
    <n v="0.24510000000000001"/>
    <n v="4.0794125645906991"/>
    <x v="1"/>
    <s v="Overvalued"/>
  </r>
  <r>
    <n v="20565"/>
    <d v="2021-03-29T00:00:00"/>
    <s v="March"/>
    <n v="2021"/>
    <d v="2021-03-01T00:00:00"/>
    <s v="Hartford"/>
    <s v="31 EATON ST"/>
    <n v="61915"/>
    <n v="249000"/>
    <n v="0.24859999999999999"/>
    <n v="4.021642574497295"/>
    <x v="1"/>
    <s v="Overvalued"/>
  </r>
  <r>
    <n v="201129"/>
    <d v="2021-08-19T00:00:00"/>
    <s v="August"/>
    <n v="2021"/>
    <d v="2021-08-01T00:00:00"/>
    <s v="Hartford"/>
    <s v="20 GIDDINGS ST"/>
    <n v="114954"/>
    <n v="360000"/>
    <n v="0.31929999999999997"/>
    <n v="3.1316874575917324"/>
    <x v="1"/>
    <s v="Overvalued"/>
  </r>
  <r>
    <n v="20118"/>
    <d v="2021-09-30T00:00:00"/>
    <s v="September"/>
    <n v="2021"/>
    <d v="2021-09-01T00:00:00"/>
    <s v="Sterling"/>
    <s v="174 CHURCH ST"/>
    <n v="92890"/>
    <n v="255000"/>
    <n v="0.36420000000000002"/>
    <n v="2.7451824738938528"/>
    <x v="1"/>
    <s v="Overvalued"/>
  </r>
  <r>
    <n v="201580"/>
    <d v="2021-09-27T00:00:00"/>
    <s v="September"/>
    <n v="2021"/>
    <d v="2021-09-01T00:00:00"/>
    <s v="Danbury"/>
    <s v="25 CROWN ST"/>
    <n v="192300"/>
    <n v="525000"/>
    <n v="0.36628571399999998"/>
    <n v="2.7301092043681749"/>
    <x v="1"/>
    <s v="Overvalued"/>
  </r>
  <r>
    <n v="200170"/>
    <d v="2021-06-14T00:00:00"/>
    <s v="June"/>
    <n v="2021"/>
    <d v="2021-06-01T00:00:00"/>
    <s v="Westbrook"/>
    <s v="104 CHAPMAN BEACH RD"/>
    <n v="271120"/>
    <n v="725000"/>
    <n v="0.37390000000000001"/>
    <n v="2.6740926526999114"/>
    <x v="1"/>
    <s v="Overvalued"/>
  </r>
  <r>
    <n v="201440"/>
    <d v="2021-09-15T00:00:00"/>
    <s v="September"/>
    <n v="2021"/>
    <d v="2021-09-01T00:00:00"/>
    <s v="New Haven"/>
    <s v="889 CONGRESS AV"/>
    <n v="80150"/>
    <n v="214000"/>
    <n v="0.3745"/>
    <n v="2.6699937616968183"/>
    <x v="1"/>
    <s v="Overvalued"/>
  </r>
  <r>
    <n v="20458"/>
    <d v="2021-06-18T00:00:00"/>
    <s v="June"/>
    <n v="2021"/>
    <d v="2021-06-01T00:00:00"/>
    <s v="Waterford"/>
    <s v="4 DONNA ST"/>
    <n v="271240"/>
    <n v="710000"/>
    <n v="0.38200000000000001"/>
    <n v="2.6176080224155731"/>
    <x v="1"/>
    <s v="Overvalued"/>
  </r>
  <r>
    <n v="200242"/>
    <d v="2021-01-27T00:00:00"/>
    <s v="January"/>
    <n v="2021"/>
    <d v="2021-01-01T00:00:00"/>
    <s v="East Haven"/>
    <s v="130 COE AVE #51"/>
    <n v="28240"/>
    <n v="73000"/>
    <n v="0.38684931500000003"/>
    <n v="2.5849858356940509"/>
    <x v="1"/>
    <s v="Overvalued"/>
  </r>
  <r>
    <n v="200419"/>
    <d v="2021-02-04T00:00:00"/>
    <s v="February"/>
    <n v="2021"/>
    <d v="2021-02-01T00:00:00"/>
    <s v="New Haven"/>
    <s v="769 DIXWELL AV"/>
    <n v="74200"/>
    <n v="190000"/>
    <n v="0.39050000000000001"/>
    <n v="2.5606469002695418"/>
    <x v="1"/>
    <s v="Overvalued"/>
  </r>
  <r>
    <n v="20360"/>
    <d v="2021-01-22T00:00:00"/>
    <s v="January"/>
    <n v="2021"/>
    <d v="2021-01-01T00:00:00"/>
    <s v="Hartford"/>
    <s v="1301 MAIN ST"/>
    <n v="173670"/>
    <n v="439900"/>
    <n v="0.3947"/>
    <n v="2.5329648183336211"/>
    <x v="0"/>
    <s v="Overvalued"/>
  </r>
  <r>
    <n v="200639"/>
    <d v="2021-07-28T00:00:00"/>
    <s v="July"/>
    <n v="2021"/>
    <d v="2021-07-01T00:00:00"/>
    <s v="Groton"/>
    <s v="4 TYLER AVE"/>
    <n v="259770"/>
    <n v="650000"/>
    <n v="0.39964615399999998"/>
    <n v="2.5022134965546443"/>
    <x v="1"/>
    <s v="Overvalued"/>
  </r>
  <r>
    <n v="20129"/>
    <d v="2021-03-30T00:00:00"/>
    <s v="March"/>
    <n v="2021"/>
    <d v="2021-03-01T00:00:00"/>
    <s v="Derby"/>
    <s v="196 ELIZABETH ST"/>
    <n v="351260"/>
    <n v="873000"/>
    <n v="0.40229999999999999"/>
    <n v="2.4853384957011899"/>
    <x v="0"/>
    <s v="Overvalued"/>
  </r>
  <r>
    <n v="200421"/>
    <d v="2020-12-24T00:00:00"/>
    <s v="December"/>
    <n v="2020"/>
    <d v="2020-12-01T00:00:00"/>
    <s v="Greenwich"/>
    <s v="130 NORTH WATER STREET"/>
    <n v="288190"/>
    <n v="705000"/>
    <n v="0.40870000000000001"/>
    <n v="2.4463027863562234"/>
    <x v="1"/>
    <s v="Overvalued"/>
  </r>
  <r>
    <n v="200192"/>
    <d v="2020-11-20T00:00:00"/>
    <s v="November"/>
    <n v="2020"/>
    <d v="2020-11-01T00:00:00"/>
    <s v="New Haven"/>
    <s v="459 BLATCHLEY AV"/>
    <n v="71150"/>
    <n v="170000"/>
    <n v="0.41849999999999998"/>
    <n v="2.3893183415319745"/>
    <x v="1"/>
    <s v="Overvalued"/>
  </r>
  <r>
    <n v="200484"/>
    <d v="2021-07-12T00:00:00"/>
    <s v="July"/>
    <n v="2021"/>
    <d v="2021-07-01T00:00:00"/>
    <s v="Vernon"/>
    <s v="90 MONTAUK DR"/>
    <n v="126800"/>
    <n v="300000"/>
    <n v="0.42259999999999998"/>
    <n v="2.3659305993690851"/>
    <x v="1"/>
    <s v="Overvalued"/>
  </r>
  <r>
    <n v="200961"/>
    <d v="2021-07-01T00:00:00"/>
    <s v="July"/>
    <n v="2021"/>
    <d v="2021-07-01T00:00:00"/>
    <s v="Meriden"/>
    <s v="5                    2 ROYAL OAK CIR"/>
    <n v="130340"/>
    <n v="305000"/>
    <n v="0.42730000000000001"/>
    <n v="2.340033757864048"/>
    <x v="1"/>
    <s v="Overvalued"/>
  </r>
  <r>
    <n v="201207"/>
    <d v="2021-07-21T00:00:00"/>
    <s v="July"/>
    <n v="2021"/>
    <d v="2021-07-01T00:00:00"/>
    <s v="New Haven"/>
    <s v="40 TEMPLE CT # 40"/>
    <n v="368130"/>
    <n v="850000"/>
    <n v="0.433"/>
    <n v="2.3089669410262679"/>
    <x v="1"/>
    <s v="Overvalued"/>
  </r>
  <r>
    <n v="200374"/>
    <d v="2021-03-01T00:00:00"/>
    <s v="March"/>
    <n v="2021"/>
    <d v="2021-03-01T00:00:00"/>
    <s v="Shelton"/>
    <s v="1103 RENAISSANCE"/>
    <n v="227500"/>
    <n v="525000"/>
    <n v="0.43330000000000002"/>
    <n v="2.3076923076923075"/>
    <x v="1"/>
    <s v="Overvalued"/>
  </r>
  <r>
    <n v="200264"/>
    <d v="2021-06-10T00:00:00"/>
    <s v="June"/>
    <n v="2021"/>
    <d v="2021-06-01T00:00:00"/>
    <s v="New Fairfield"/>
    <s v="10 BROOK DR"/>
    <n v="107500"/>
    <n v="240000"/>
    <n v="0.44790000000000002"/>
    <n v="2.2325581395348837"/>
    <x v="1"/>
    <s v="Overvalued"/>
  </r>
  <r>
    <n v="200055"/>
    <d v="2021-01-25T00:00:00"/>
    <s v="January"/>
    <n v="2021"/>
    <d v="2021-01-01T00:00:00"/>
    <s v="Washington"/>
    <s v="136 OLD LITCHFIELD RD"/>
    <n v="1030330"/>
    <n v="2285000"/>
    <n v="0.45090000000000002"/>
    <n v="2.2177360651441771"/>
    <x v="1"/>
    <s v="Overvalued"/>
  </r>
  <r>
    <n v="202250"/>
    <d v="2021-08-09T00:00:00"/>
    <s v="August"/>
    <n v="2021"/>
    <d v="2021-08-01T00:00:00"/>
    <s v="Waterbury"/>
    <s v="94 SOUTHMAYD RD #3"/>
    <n v="63100"/>
    <n v="139900"/>
    <n v="0.45100000000000001"/>
    <n v="2.2171156893819335"/>
    <x v="1"/>
    <s v="Overvalued"/>
  </r>
  <r>
    <n v="200499"/>
    <d v="2021-09-10T00:00:00"/>
    <s v="September"/>
    <n v="2021"/>
    <d v="2021-09-01T00:00:00"/>
    <s v="East Lyme"/>
    <s v="27 SEA CREST AVE"/>
    <n v="233660"/>
    <n v="517000"/>
    <n v="0.45190000000000002"/>
    <n v="2.2126166224428658"/>
    <x v="1"/>
    <s v="Overvalued"/>
  </r>
  <r>
    <n v="200377"/>
    <d v="2021-08-16T00:00:00"/>
    <s v="August"/>
    <n v="2021"/>
    <d v="2021-08-01T00:00:00"/>
    <s v="Plainville"/>
    <s v="492 EAST ST B-36"/>
    <n v="41090"/>
    <n v="89900"/>
    <n v="0.45700000000000002"/>
    <n v="2.1878802628376732"/>
    <x v="1"/>
    <s v="Overvalued"/>
  </r>
  <r>
    <n v="200046"/>
    <d v="2020-12-14T00:00:00"/>
    <s v="December"/>
    <n v="2020"/>
    <d v="2020-12-01T00:00:00"/>
    <s v="Thomaston"/>
    <s v="3 BRADLEY WAY"/>
    <n v="133210"/>
    <n v="289900"/>
    <n v="0.45950000000000002"/>
    <n v="2.1762630433150663"/>
    <x v="1"/>
    <s v="Overvalued"/>
  </r>
  <r>
    <n v="20492"/>
    <d v="2021-08-19T00:00:00"/>
    <s v="August"/>
    <n v="2021"/>
    <d v="2021-08-01T00:00:00"/>
    <s v="Plainfield"/>
    <s v="22 FERNWOOD ST"/>
    <n v="142910"/>
    <n v="310000"/>
    <n v="0.46100000000000002"/>
    <n v="2.1691973969631237"/>
    <x v="1"/>
    <s v="Overvalued"/>
  </r>
  <r>
    <n v="20588"/>
    <d v="2021-07-29T00:00:00"/>
    <s v="July"/>
    <n v="2021"/>
    <d v="2021-07-01T00:00:00"/>
    <s v="Southbury"/>
    <s v="2005 PURCHASE BROOK RD"/>
    <n v="235950"/>
    <n v="510000"/>
    <n v="0.46260000000000001"/>
    <n v="2.1614748887476161"/>
    <x v="1"/>
    <s v="Overvalued"/>
  </r>
  <r>
    <n v="2020348"/>
    <d v="2021-09-13T00:00:00"/>
    <s v="September"/>
    <n v="2021"/>
    <d v="2021-09-01T00:00:00"/>
    <s v="Ansonia"/>
    <s v="230 WAKELEE AVE"/>
    <n v="150500"/>
    <n v="325000"/>
    <n v="0.46300000000000002"/>
    <n v="2.1594684385382061"/>
    <x v="0"/>
    <s v="Overvalued"/>
  </r>
  <r>
    <n v="200527"/>
    <d v="2021-03-01T00:00:00"/>
    <s v="March"/>
    <n v="2021"/>
    <d v="2021-03-01T00:00:00"/>
    <s v="Bristol"/>
    <s v="25 WARD ST"/>
    <n v="85680"/>
    <n v="183000"/>
    <n v="0.46810000000000002"/>
    <n v="2.1358543417366946"/>
    <x v="1"/>
    <s v="Overvalued"/>
  </r>
  <r>
    <n v="200174"/>
    <d v="2020-11-20T00:00:00"/>
    <s v="November"/>
    <n v="2020"/>
    <d v="2020-11-01T00:00:00"/>
    <s v="Torrington"/>
    <s v="194 LEDGE DR"/>
    <n v="58020"/>
    <n v="122500"/>
    <n v="0.47360000000000002"/>
    <n v="2.1113409169251982"/>
    <x v="1"/>
    <s v="Overvalued"/>
  </r>
  <r>
    <n v="2002299"/>
    <d v="2021-08-04T00:00:00"/>
    <s v="August"/>
    <n v="2021"/>
    <d v="2021-08-01T00:00:00"/>
    <s v="Stamford"/>
    <s v="1400 BEDFORD STREET #4"/>
    <n v="169050"/>
    <n v="355000"/>
    <n v="0.47610000000000002"/>
    <n v="2.0999704229517895"/>
    <x v="1"/>
    <s v="Overvalued"/>
  </r>
  <r>
    <n v="200098"/>
    <d v="2020-11-06T00:00:00"/>
    <s v="November"/>
    <n v="2020"/>
    <d v="2020-11-01T00:00:00"/>
    <s v="Groton"/>
    <s v="70 ATLANTIC AVE"/>
    <n v="354550"/>
    <n v="742500"/>
    <n v="0.47749999999999998"/>
    <n v="2.094203920462558"/>
    <x v="1"/>
    <s v="Overvalued"/>
  </r>
  <r>
    <n v="200537"/>
    <d v="2021-05-21T00:00:00"/>
    <s v="May"/>
    <n v="2021"/>
    <d v="2021-05-01T00:00:00"/>
    <s v="Enfield"/>
    <s v="104 BREWSTER RD"/>
    <n v="117380"/>
    <n v="245000"/>
    <n v="0.47910000000000003"/>
    <n v="2.0872380303288467"/>
    <x v="1"/>
    <s v="Overvalued"/>
  </r>
  <r>
    <n v="200086"/>
    <d v="2021-08-10T00:00:00"/>
    <s v="August"/>
    <n v="2021"/>
    <d v="2021-08-01T00:00:00"/>
    <s v="Bethlehem"/>
    <s v="39 WOODLAND RD"/>
    <n v="168900"/>
    <n v="352000"/>
    <n v="0.4798"/>
    <n v="2.0840734162226169"/>
    <x v="1"/>
    <s v="Overvalued"/>
  </r>
  <r>
    <n v="201443"/>
    <d v="2021-09-01T00:00:00"/>
    <s v="September"/>
    <n v="2021"/>
    <d v="2021-09-01T00:00:00"/>
    <s v="Danbury"/>
    <s v="4 COOPER RD"/>
    <n v="158700"/>
    <n v="325000"/>
    <n v="0.48830000000000001"/>
    <n v="2.0478890989287963"/>
    <x v="1"/>
    <s v="Overvalued"/>
  </r>
  <r>
    <n v="200709"/>
    <d v="2021-04-16T00:00:00"/>
    <s v="April"/>
    <n v="2021"/>
    <d v="2021-04-01T00:00:00"/>
    <s v="Manchester"/>
    <s v="152 GREEN ROAD"/>
    <n v="138100"/>
    <n v="282500"/>
    <n v="0.48884955800000002"/>
    <n v="2.0456191165821869"/>
    <x v="1"/>
    <s v="Overvalued"/>
  </r>
  <r>
    <n v="20200824"/>
    <d v="2021-05-03T00:00:00"/>
    <s v="May"/>
    <n v="2021"/>
    <d v="2021-05-01T00:00:00"/>
    <s v="Stratford"/>
    <s v="758A QUINNIPIAC LANE"/>
    <n v="193340"/>
    <n v="395000"/>
    <n v="0.4894"/>
    <n v="2.0430329988621083"/>
    <x v="1"/>
    <s v="Overvalued"/>
  </r>
  <r>
    <n v="200552"/>
    <d v="2021-09-23T00:00:00"/>
    <s v="September"/>
    <n v="2021"/>
    <d v="2021-09-01T00:00:00"/>
    <s v="Stonington"/>
    <s v="12 CUTTER DR"/>
    <n v="213100"/>
    <n v="435000"/>
    <n v="0.48980000000000001"/>
    <n v="2.0412951665884562"/>
    <x v="1"/>
    <s v="Overvalued"/>
  </r>
  <r>
    <n v="200210"/>
    <d v="2021-07-12T00:00:00"/>
    <s v="July"/>
    <n v="2021"/>
    <d v="2021-07-01T00:00:00"/>
    <s v="Mansfield"/>
    <s v="156 HILLYNDALE RD"/>
    <n v="169400"/>
    <n v="345000"/>
    <n v="0.49099999999999999"/>
    <n v="2.0365997638724913"/>
    <x v="1"/>
    <s v="Overvalued"/>
  </r>
  <r>
    <n v="20135"/>
    <d v="2021-01-21T00:00:00"/>
    <s v="January"/>
    <n v="2021"/>
    <d v="2021-01-01T00:00:00"/>
    <s v="Plainfield"/>
    <s v="30-32 GREENE AVE"/>
    <n v="98580"/>
    <n v="200000"/>
    <n v="0.4929"/>
    <n v="2.028809089064719"/>
    <x v="1"/>
    <s v="Overvalued"/>
  </r>
  <r>
    <n v="201245"/>
    <d v="2021-09-14T00:00:00"/>
    <s v="September"/>
    <n v="2021"/>
    <d v="2021-09-01T00:00:00"/>
    <s v="Meriden"/>
    <s v="223 REYNOLDS DR"/>
    <n v="128170"/>
    <n v="260000"/>
    <n v="0.4929"/>
    <n v="2.0285558242958572"/>
    <x v="1"/>
    <s v="Overvalued"/>
  </r>
  <r>
    <n v="200011"/>
    <d v="2020-10-13T00:00:00"/>
    <s v="October"/>
    <n v="2020"/>
    <d v="2020-10-01T00:00:00"/>
    <s v="Trumbull"/>
    <s v="14 WOODLAWN DR"/>
    <n v="183190"/>
    <n v="370000"/>
    <n v="0.49509999999999998"/>
    <n v="2.0197609039794751"/>
    <x v="1"/>
    <s v="Overvalued"/>
  </r>
  <r>
    <n v="20771"/>
    <d v="2021-09-16T00:00:00"/>
    <s v="September"/>
    <n v="2021"/>
    <d v="2021-09-01T00:00:00"/>
    <s v="Newtown"/>
    <s v="3 SHORT HILL ROAD"/>
    <n v="451770"/>
    <n v="910000"/>
    <n v="0.49645054900000002"/>
    <n v="2.0142993115966088"/>
    <x v="1"/>
    <s v="Overvalued"/>
  </r>
  <r>
    <n v="20486"/>
    <d v="2021-06-15T00:00:00"/>
    <s v="June"/>
    <n v="2021"/>
    <d v="2021-06-01T00:00:00"/>
    <s v="Southbury"/>
    <s v="808 A HERITAGE VILLAGE"/>
    <n v="92080"/>
    <n v="185000"/>
    <n v="0.49769999999999998"/>
    <n v="2.0091225021720245"/>
    <x v="1"/>
    <s v="Overvalued"/>
  </r>
  <r>
    <n v="2001250"/>
    <d v="2021-03-25T00:00:00"/>
    <s v="March"/>
    <n v="2021"/>
    <d v="2021-03-01T00:00:00"/>
    <s v="Stamford"/>
    <s v="28 VERNON PLACE"/>
    <n v="403190"/>
    <n v="810000"/>
    <n v="0.49769999999999998"/>
    <n v="2.0089783972816786"/>
    <x v="1"/>
    <s v="Overvalued"/>
  </r>
  <r>
    <n v="200080"/>
    <d v="2020-11-05T00:00:00"/>
    <s v="November"/>
    <n v="2020"/>
    <d v="2020-11-01T00:00:00"/>
    <s v="Guilford"/>
    <s v="2 WINTERBERRY RD"/>
    <n v="239550"/>
    <n v="480000"/>
    <n v="0.499"/>
    <n v="2.0037570444583594"/>
    <x v="1"/>
    <s v="Overvalued"/>
  </r>
  <r>
    <n v="200408"/>
    <d v="2020-12-24T00:00:00"/>
    <s v="December"/>
    <n v="2020"/>
    <d v="2020-12-01T00:00:00"/>
    <s v="Danbury"/>
    <s v="15 SCUPPO RD 1503"/>
    <n v="130800"/>
    <n v="260000"/>
    <n v="0.503"/>
    <n v="1.9877675840978593"/>
    <x v="1"/>
    <s v="Undervalued"/>
  </r>
  <r>
    <n v="2000448"/>
    <d v="2021-06-17T00:00:00"/>
    <s v="June"/>
    <n v="2021"/>
    <d v="2021-06-01T00:00:00"/>
    <s v="Wethersfield"/>
    <s v="938 RIDGE RD"/>
    <n v="158870"/>
    <n v="315000"/>
    <n v="0.50429999999999997"/>
    <n v="1.9827531944357022"/>
    <x v="1"/>
    <s v="Undervalued"/>
  </r>
  <r>
    <n v="201494"/>
    <d v="2021-07-28T00:00:00"/>
    <s v="July"/>
    <n v="2021"/>
    <d v="2021-07-01T00:00:00"/>
    <s v="Greenwich"/>
    <s v="20 EAST LYON FARM DRIVE"/>
    <n v="632170"/>
    <n v="1250000"/>
    <n v="0.50570000000000004"/>
    <n v="1.9773162282297483"/>
    <x v="1"/>
    <s v="Undervalued"/>
  </r>
  <r>
    <n v="200320"/>
    <d v="2021-05-10T00:00:00"/>
    <s v="May"/>
    <n v="2021"/>
    <d v="2021-05-01T00:00:00"/>
    <s v="East Lyme"/>
    <s v="9 FREEDOM WAY"/>
    <n v="776230"/>
    <n v="1525000"/>
    <n v="0.50900000000000001"/>
    <n v="1.9646238872499131"/>
    <x v="0"/>
    <s v="Undervalued"/>
  </r>
  <r>
    <n v="20139"/>
    <d v="2020-12-16T00:00:00"/>
    <s v="December"/>
    <n v="2020"/>
    <d v="2020-12-01T00:00:00"/>
    <s v="Bethel"/>
    <s v="16 DEEPWOOD DRIVE"/>
    <n v="171360"/>
    <n v="335000"/>
    <n v="0.51149999999999995"/>
    <n v="1.9549486461251167"/>
    <x v="1"/>
    <s v="Undervalued"/>
  </r>
  <r>
    <n v="200207"/>
    <d v="2021-06-10T00:00:00"/>
    <s v="June"/>
    <n v="2021"/>
    <d v="2021-06-01T00:00:00"/>
    <s v="Rocky Hill"/>
    <s v="402 THE MEWS"/>
    <n v="120890"/>
    <n v="234900"/>
    <n v="0.51459999999999995"/>
    <n v="1.9430887583753826"/>
    <x v="1"/>
    <s v="Undervalued"/>
  </r>
  <r>
    <n v="200938"/>
    <d v="2021-05-13T00:00:00"/>
    <s v="May"/>
    <n v="2021"/>
    <d v="2021-05-01T00:00:00"/>
    <s v="Danbury"/>
    <s v="15-17 BOUGHTON ST #1-5"/>
    <n v="118900"/>
    <n v="230000"/>
    <n v="0.51690000000000003"/>
    <n v="1.9343986543313709"/>
    <x v="1"/>
    <s v="Undervalued"/>
  </r>
  <r>
    <n v="200125"/>
    <d v="2021-03-31T00:00:00"/>
    <s v="March"/>
    <n v="2021"/>
    <d v="2021-03-01T00:00:00"/>
    <s v="Essex"/>
    <s v="35 DEER LA"/>
    <n v="220500"/>
    <n v="425000"/>
    <n v="0.51880000000000004"/>
    <n v="1.9274376417233561"/>
    <x v="1"/>
    <s v="Undervalued"/>
  </r>
  <r>
    <n v="200285"/>
    <d v="2021-04-12T00:00:00"/>
    <s v="April"/>
    <n v="2021"/>
    <d v="2021-04-01T00:00:00"/>
    <s v="Guilford"/>
    <s v="30 GRANITE RD"/>
    <n v="77840"/>
    <n v="150000"/>
    <n v="0.51890000000000003"/>
    <n v="1.9270298047276464"/>
    <x v="1"/>
    <s v="Undervalued"/>
  </r>
  <r>
    <n v="200145"/>
    <d v="2021-08-09T00:00:00"/>
    <s v="August"/>
    <n v="2021"/>
    <d v="2021-08-01T00:00:00"/>
    <s v="New Hartford"/>
    <s v="82 NILES ROAD"/>
    <n v="238980"/>
    <n v="460000"/>
    <n v="0.51949999999999996"/>
    <n v="1.9248472675537702"/>
    <x v="1"/>
    <s v="Undervalued"/>
  </r>
  <r>
    <n v="200522"/>
    <d v="2021-03-04T00:00:00"/>
    <s v="March"/>
    <n v="2021"/>
    <d v="2021-03-01T00:00:00"/>
    <s v="Norwich"/>
    <s v="49 WHITE PLAINS RD"/>
    <n v="174400"/>
    <n v="335000"/>
    <n v="0.52049999999999996"/>
    <n v="1.9208715596330275"/>
    <x v="1"/>
    <s v="Undervalued"/>
  </r>
  <r>
    <n v="200700"/>
    <d v="2021-07-13T00:00:00"/>
    <s v="July"/>
    <n v="2021"/>
    <d v="2021-07-01T00:00:00"/>
    <s v="Enfield"/>
    <s v="8 SHANNON DR"/>
    <n v="161590"/>
    <n v="310000"/>
    <n v="0.5212"/>
    <n v="1.9184355467541307"/>
    <x v="1"/>
    <s v="Undervalued"/>
  </r>
  <r>
    <n v="2001570"/>
    <d v="2021-05-14T00:00:00"/>
    <s v="May"/>
    <n v="2021"/>
    <d v="2021-05-01T00:00:00"/>
    <s v="Stamford"/>
    <s v="52 ORCHARD STREET"/>
    <n v="486230"/>
    <n v="930000"/>
    <n v="0.52280000000000004"/>
    <n v="1.9126750714682352"/>
    <x v="0"/>
    <s v="Undervalued"/>
  </r>
  <r>
    <n v="200289"/>
    <d v="2020-11-23T00:00:00"/>
    <s v="November"/>
    <n v="2020"/>
    <d v="2020-11-01T00:00:00"/>
    <s v="Norwalk"/>
    <s v="188 FLAX HILL RD UNIT B/6"/>
    <n v="173040"/>
    <n v="330000"/>
    <n v="0.52429999999999999"/>
    <n v="1.9070735090152566"/>
    <x v="1"/>
    <s v="Undervalued"/>
  </r>
  <r>
    <n v="200627"/>
    <d v="2021-07-20T00:00:00"/>
    <s v="July"/>
    <n v="2021"/>
    <d v="2021-07-01T00:00:00"/>
    <s v="Trumbull"/>
    <s v="12 ROSEVIEW COURT"/>
    <n v="475160"/>
    <n v="905000"/>
    <n v="0.52500000000000002"/>
    <n v="1.9046216011448776"/>
    <x v="1"/>
    <s v="Undervalued"/>
  </r>
  <r>
    <n v="201133"/>
    <d v="2021-09-02T00:00:00"/>
    <s v="September"/>
    <n v="2021"/>
    <d v="2021-09-01T00:00:00"/>
    <s v="New Britain"/>
    <s v="103 LEWIS RD"/>
    <n v="123480"/>
    <n v="235000"/>
    <n v="0.52539999999999998"/>
    <n v="1.9031422092646582"/>
    <x v="1"/>
    <s v="Undervalued"/>
  </r>
  <r>
    <n v="20059"/>
    <d v="2021-02-18T00:00:00"/>
    <s v="February"/>
    <n v="2021"/>
    <d v="2021-02-01T00:00:00"/>
    <s v="Lebanon"/>
    <s v="54 FIRST ST"/>
    <n v="121510"/>
    <n v="229900"/>
    <n v="0.52849999999999997"/>
    <n v="1.8920253477080076"/>
    <x v="1"/>
    <s v="Undervalued"/>
  </r>
  <r>
    <n v="200661"/>
    <d v="2021-08-30T00:00:00"/>
    <s v="August"/>
    <n v="2021"/>
    <d v="2021-08-01T00:00:00"/>
    <s v="New Canaan"/>
    <s v="322 MAIN ST"/>
    <n v="1279460"/>
    <n v="2400000"/>
    <n v="0.53310000000000002"/>
    <n v="1.87579134947556"/>
    <x v="1"/>
    <s v="Undervalued"/>
  </r>
  <r>
    <n v="2000473"/>
    <d v="2021-05-18T00:00:00"/>
    <s v="May"/>
    <n v="2021"/>
    <d v="2021-05-01T00:00:00"/>
    <s v="Naugatuck"/>
    <s v="33 FAIRCHILD ST"/>
    <n v="98900"/>
    <n v="184500"/>
    <n v="0.53600000000000003"/>
    <n v="1.865520728008089"/>
    <x v="1"/>
    <s v="Undervalued"/>
  </r>
  <r>
    <n v="20293"/>
    <d v="2021-06-07T00:00:00"/>
    <s v="June"/>
    <n v="2021"/>
    <d v="2021-06-01T00:00:00"/>
    <s v="Plainfield"/>
    <s v="404 PLAINFIELD PIKE RD"/>
    <n v="193560"/>
    <n v="360000"/>
    <n v="0.53759999999999997"/>
    <n v="1.8598884066955983"/>
    <x v="1"/>
    <s v="Undervalued"/>
  </r>
  <r>
    <n v="20274"/>
    <d v="2021-01-08T00:00:00"/>
    <s v="January"/>
    <n v="2021"/>
    <d v="2021-01-01T00:00:00"/>
    <s v="Newtown"/>
    <s v="16 SILVER BROOK LANE"/>
    <n v="419590"/>
    <n v="779000"/>
    <n v="0.53859999999999997"/>
    <n v="1.8565742748873901"/>
    <x v="1"/>
    <s v="Undervalued"/>
  </r>
  <r>
    <n v="200125"/>
    <d v="2021-09-07T00:00:00"/>
    <s v="September"/>
    <n v="2021"/>
    <d v="2021-09-01T00:00:00"/>
    <s v="Harwinton"/>
    <s v="167 BIRGE PARK RD"/>
    <n v="194790"/>
    <n v="360000"/>
    <n v="0.54100000000000004"/>
    <n v="1.8481441552441091"/>
    <x v="1"/>
    <s v="Undervalued"/>
  </r>
  <r>
    <n v="20249"/>
    <d v="2021-09-30T00:00:00"/>
    <s v="September"/>
    <n v="2021"/>
    <d v="2021-09-01T00:00:00"/>
    <s v="Orange"/>
    <s v="387 TIMBERLANE DR"/>
    <n v="297700"/>
    <n v="550000"/>
    <n v="0.54120000000000001"/>
    <n v="1.8474974806852535"/>
    <x v="1"/>
    <s v="Undervalued"/>
  </r>
  <r>
    <n v="200510"/>
    <d v="2021-09-15T00:00:00"/>
    <s v="September"/>
    <n v="2021"/>
    <d v="2021-09-01T00:00:00"/>
    <s v="East Lyme"/>
    <s v="3 CARLISE LN"/>
    <n v="212100"/>
    <n v="390500"/>
    <n v="0.54310000000000003"/>
    <n v="1.8411126826968411"/>
    <x v="1"/>
    <s v="Undervalued"/>
  </r>
  <r>
    <n v="200557"/>
    <d v="2021-03-12T00:00:00"/>
    <s v="March"/>
    <n v="2021"/>
    <d v="2021-03-01T00:00:00"/>
    <s v="West Hartford"/>
    <s v="23 TIMBERWOOD ROAD"/>
    <n v="166670"/>
    <n v="305000"/>
    <n v="0.5464"/>
    <n v="1.8299634007319854"/>
    <x v="1"/>
    <s v="Undervalued"/>
  </r>
  <r>
    <n v="20086"/>
    <d v="2020-10-22T00:00:00"/>
    <s v="October"/>
    <n v="2020"/>
    <d v="2020-10-01T00:00:00"/>
    <s v="New Britain"/>
    <s v="23 PARKMORE ST"/>
    <n v="122220"/>
    <n v="223000"/>
    <n v="0.54800000000000004"/>
    <n v="1.82457862870234"/>
    <x v="1"/>
    <s v="Undervalued"/>
  </r>
  <r>
    <n v="200043"/>
    <d v="2020-12-09T00:00:00"/>
    <s v="December"/>
    <n v="2020"/>
    <d v="2020-12-01T00:00:00"/>
    <s v="Killingworth"/>
    <s v="46 TITUS COAN ROAD"/>
    <n v="354040"/>
    <n v="645000"/>
    <n v="0.54879999999999995"/>
    <n v="1.8218280420291493"/>
    <x v="1"/>
    <s v="Undervalued"/>
  </r>
  <r>
    <n v="200375"/>
    <d v="2021-04-06T00:00:00"/>
    <s v="April"/>
    <n v="2021"/>
    <d v="2021-04-01T00:00:00"/>
    <s v="East Haven"/>
    <s v="55      THOMPSON ST #5A"/>
    <n v="76960"/>
    <n v="140000"/>
    <n v="0.54969999999999997"/>
    <n v="1.8191268191268191"/>
    <x v="1"/>
    <s v="Undervalued"/>
  </r>
  <r>
    <n v="200436"/>
    <d v="2021-05-04T00:00:00"/>
    <s v="May"/>
    <n v="2021"/>
    <d v="2021-05-01T00:00:00"/>
    <s v="Groton"/>
    <s v="67 LEAFWOOD LN S250"/>
    <n v="71960"/>
    <n v="130000"/>
    <n v="0.55349999999999999"/>
    <n v="1.8065591995553085"/>
    <x v="1"/>
    <s v="Undervalued"/>
  </r>
  <r>
    <n v="200362"/>
    <d v="2021-05-24T00:00:00"/>
    <s v="May"/>
    <n v="2021"/>
    <d v="2021-05-01T00:00:00"/>
    <s v="Simsbury"/>
    <s v="75 HILLTOP DRIVE"/>
    <n v="99660"/>
    <n v="180000"/>
    <n v="0.55359999999999998"/>
    <n v="1.8061408789885611"/>
    <x v="1"/>
    <s v="Undervalued"/>
  </r>
  <r>
    <n v="200233"/>
    <d v="2020-12-31T00:00:00"/>
    <s v="December"/>
    <n v="2020"/>
    <d v="2020-12-01T00:00:00"/>
    <s v="Trumbull"/>
    <s v="8 TURNER AVE"/>
    <n v="202160"/>
    <n v="365000"/>
    <n v="0.55379999999999996"/>
    <n v="1.8055005935892363"/>
    <x v="1"/>
    <s v="Undervalued"/>
  </r>
  <r>
    <n v="200494"/>
    <d v="2021-02-19T00:00:00"/>
    <s v="February"/>
    <n v="2021"/>
    <d v="2021-02-01T00:00:00"/>
    <s v="West Hartford"/>
    <s v="82 WHITE AVENUE"/>
    <n v="181720"/>
    <n v="327900"/>
    <n v="0.55410000000000004"/>
    <n v="1.8044243891701519"/>
    <x v="1"/>
    <s v="Undervalued"/>
  </r>
  <r>
    <n v="201328"/>
    <d v="2021-08-06T00:00:00"/>
    <s v="August"/>
    <n v="2021"/>
    <d v="2021-08-01T00:00:00"/>
    <s v="Cromwell"/>
    <s v="6 BELHAVEN"/>
    <n v="410670"/>
    <n v="740000"/>
    <n v="0.55489999999999995"/>
    <n v="1.8019334258650499"/>
    <x v="1"/>
    <s v="Undervalued"/>
  </r>
  <r>
    <n v="200175"/>
    <d v="2020-10-29T00:00:00"/>
    <s v="October"/>
    <n v="2020"/>
    <d v="2020-10-01T00:00:00"/>
    <s v="Milford"/>
    <s v="16 SEABREEZE AVE"/>
    <n v="180950"/>
    <n v="325000"/>
    <n v="0.55669999999999997"/>
    <n v="1.7960762641613706"/>
    <x v="1"/>
    <s v="Undervalued"/>
  </r>
  <r>
    <n v="20000179"/>
    <d v="2021-02-22T00:00:00"/>
    <s v="February"/>
    <n v="2021"/>
    <d v="2021-02-01T00:00:00"/>
    <s v="Brookfield"/>
    <s v="72 HOMESTEAD LN"/>
    <n v="94770"/>
    <n v="170000"/>
    <n v="0.55740000000000001"/>
    <n v="1.7938166086314233"/>
    <x v="1"/>
    <s v="Undervalued"/>
  </r>
  <r>
    <n v="2000022"/>
    <d v="2020-10-13T00:00:00"/>
    <s v="October"/>
    <n v="2020"/>
    <d v="2020-10-01T00:00:00"/>
    <s v="Naugatuck"/>
    <s v="41 ANDERSON ST"/>
    <n v="108070"/>
    <n v="193500"/>
    <n v="0.5585"/>
    <n v="1.7905061534190803"/>
    <x v="1"/>
    <s v="Undervalued"/>
  </r>
  <r>
    <n v="2000513"/>
    <d v="2021-07-20T00:00:00"/>
    <s v="July"/>
    <n v="2021"/>
    <d v="2021-07-01T00:00:00"/>
    <s v="Wethersfield"/>
    <s v="215 NOTT ST"/>
    <n v="144050"/>
    <n v="257500"/>
    <n v="0.55940000000000001"/>
    <n v="1.7875737591114196"/>
    <x v="1"/>
    <s v="Undervalued"/>
  </r>
  <r>
    <n v="2000857"/>
    <d v="2021-01-21T00:00:00"/>
    <s v="January"/>
    <n v="2021"/>
    <d v="2021-01-01T00:00:00"/>
    <s v="Stamford"/>
    <s v="0 SUMMER STREET #116-2A"/>
    <n v="109420"/>
    <n v="195000"/>
    <n v="0.56110000000000004"/>
    <n v="1.7821239261560957"/>
    <x v="1"/>
    <s v="Undervalued"/>
  </r>
  <r>
    <n v="2002537"/>
    <d v="2021-09-07T00:00:00"/>
    <s v="September"/>
    <n v="2021"/>
    <d v="2021-09-01T00:00:00"/>
    <s v="Stamford"/>
    <s v="56 ETHAN ALLEN LANE"/>
    <n v="441560"/>
    <n v="785000"/>
    <n v="0.56240000000000001"/>
    <n v="1.7777878431017302"/>
    <x v="1"/>
    <s v="Undervalued"/>
  </r>
  <r>
    <n v="200106"/>
    <d v="2020-11-02T00:00:00"/>
    <s v="November"/>
    <n v="2020"/>
    <d v="2020-11-01T00:00:00"/>
    <s v="Torrington"/>
    <s v="2651 TORRINGFORD W ST"/>
    <n v="126570"/>
    <n v="225005"/>
    <n v="0.5625"/>
    <n v="1.7777119380579915"/>
    <x v="1"/>
    <s v="Undervalued"/>
  </r>
  <r>
    <n v="200652"/>
    <d v="2021-06-29T00:00:00"/>
    <s v="June"/>
    <n v="2021"/>
    <d v="2021-06-01T00:00:00"/>
    <s v="Enfield"/>
    <s v="12 KELLY DR"/>
    <n v="203470"/>
    <n v="360000"/>
    <n v="0.56510000000000005"/>
    <n v="1.7693025998918759"/>
    <x v="1"/>
    <s v="Undervalued"/>
  </r>
  <r>
    <n v="200599"/>
    <d v="2021-07-02T00:00:00"/>
    <s v="July"/>
    <n v="2021"/>
    <d v="2021-07-01T00:00:00"/>
    <s v="Trumbull"/>
    <s v="29 WALNUT AVE"/>
    <n v="237440"/>
    <n v="420000"/>
    <n v="0.56530000000000002"/>
    <n v="1.7688679245283019"/>
    <x v="1"/>
    <s v="Undervalued"/>
  </r>
  <r>
    <n v="200236"/>
    <d v="2021-03-18T00:00:00"/>
    <s v="March"/>
    <n v="2021"/>
    <d v="2021-03-01T00:00:00"/>
    <s v="East Lyme"/>
    <s v="8 N EDGEWOOD RD"/>
    <n v="238140"/>
    <n v="421000"/>
    <n v="0.56559999999999999"/>
    <n v="1.7678676408835139"/>
    <x v="1"/>
    <s v="Undervalued"/>
  </r>
  <r>
    <n v="20200059"/>
    <d v="2020-10-13T00:00:00"/>
    <s v="October"/>
    <n v="2020"/>
    <d v="2020-10-01T00:00:00"/>
    <s v="Stratford"/>
    <s v="653B OSAGE LANE"/>
    <n v="156380"/>
    <n v="276000"/>
    <n v="0.5665"/>
    <n v="1.7649315769279958"/>
    <x v="1"/>
    <s v="Undervalued"/>
  </r>
  <r>
    <n v="200359"/>
    <d v="2021-03-08T00:00:00"/>
    <s v="March"/>
    <n v="2021"/>
    <d v="2021-03-01T00:00:00"/>
    <s v="Trumbull"/>
    <s v="94 NORTH STOWE PLACE"/>
    <n v="256550"/>
    <n v="451000"/>
    <n v="0.56879999999999997"/>
    <n v="1.7579419216526992"/>
    <x v="1"/>
    <s v="Undervalued"/>
  </r>
  <r>
    <n v="20102"/>
    <d v="2020-12-09T00:00:00"/>
    <s v="December"/>
    <n v="2020"/>
    <d v="2020-12-01T00:00:00"/>
    <s v="Watertown"/>
    <s v="12 CHARLES ST"/>
    <n v="127000"/>
    <n v="223000"/>
    <n v="0.56950000000000001"/>
    <n v="1.7559055118110236"/>
    <x v="1"/>
    <s v="Undervalued"/>
  </r>
  <r>
    <n v="200374"/>
    <d v="2021-05-18T00:00:00"/>
    <s v="May"/>
    <n v="2021"/>
    <d v="2021-05-01T00:00:00"/>
    <s v="Vernon"/>
    <s v="27 TRACY DRIVE"/>
    <n v="129190"/>
    <n v="226800"/>
    <n v="0.5696"/>
    <n v="1.7555538354361793"/>
    <x v="1"/>
    <s v="Undervalued"/>
  </r>
  <r>
    <n v="200305"/>
    <d v="2021-01-26T00:00:00"/>
    <s v="January"/>
    <n v="2021"/>
    <d v="2021-01-01T00:00:00"/>
    <s v="Enfield"/>
    <s v="15 SALERNO DR"/>
    <n v="233660"/>
    <n v="410000"/>
    <n v="0.56989999999999996"/>
    <n v="1.7546862963279979"/>
    <x v="1"/>
    <s v="Undervalued"/>
  </r>
  <r>
    <n v="2000327"/>
    <d v="2021-03-03T00:00:00"/>
    <s v="March"/>
    <n v="2021"/>
    <d v="2021-03-01T00:00:00"/>
    <s v="Naugatuck"/>
    <s v="31 PILGRIM LN"/>
    <n v="157810"/>
    <n v="276500"/>
    <n v="0.57069999999999999"/>
    <n v="1.7521069640707179"/>
    <x v="1"/>
    <s v="Undervalued"/>
  </r>
  <r>
    <n v="200035"/>
    <d v="2020-10-29T00:00:00"/>
    <s v="October"/>
    <n v="2020"/>
    <d v="2020-10-01T00:00:00"/>
    <s v="Colchester"/>
    <s v="160 SHADBUSH DR"/>
    <n v="223900"/>
    <n v="392000"/>
    <n v="0.57110000000000005"/>
    <n v="1.7507815989280928"/>
    <x v="1"/>
    <s v="Undervalued"/>
  </r>
  <r>
    <n v="201078"/>
    <d v="2020-12-21T00:00:00"/>
    <s v="December"/>
    <n v="2020"/>
    <d v="2020-12-01T00:00:00"/>
    <s v="Griswold"/>
    <s v="22 CROSS RD"/>
    <n v="173040"/>
    <n v="302000"/>
    <n v="0.57289999999999996"/>
    <n v="1.7452612112806287"/>
    <x v="1"/>
    <s v="Undervalued"/>
  </r>
  <r>
    <n v="200117"/>
    <d v="2021-04-12T00:00:00"/>
    <s v="April"/>
    <n v="2021"/>
    <d v="2021-04-01T00:00:00"/>
    <s v="Canton"/>
    <s v="52 COUNTRY LANE"/>
    <n v="160850"/>
    <n v="280000"/>
    <n v="0.57440000000000002"/>
    <n v="1.7407522536524713"/>
    <x v="1"/>
    <s v="Undervalued"/>
  </r>
  <r>
    <n v="201295"/>
    <d v="2021-09-09T00:00:00"/>
    <s v="September"/>
    <n v="2021"/>
    <d v="2021-09-01T00:00:00"/>
    <s v="Bristol"/>
    <s v="609 CAMP ST"/>
    <n v="144340"/>
    <n v="249900"/>
    <n v="0.57750000000000001"/>
    <n v="1.7313288069835111"/>
    <x v="1"/>
    <s v="Undervalued"/>
  </r>
  <r>
    <n v="2000230"/>
    <d v="2021-03-16T00:00:00"/>
    <s v="March"/>
    <n v="2021"/>
    <d v="2021-03-01T00:00:00"/>
    <s v="Cheshire"/>
    <s v="50 ABBEY CT"/>
    <n v="210940"/>
    <n v="365000"/>
    <n v="0.57789999999999997"/>
    <n v="1.7303498625201479"/>
    <x v="1"/>
    <s v="Undervalued"/>
  </r>
  <r>
    <n v="200113"/>
    <d v="2021-01-14T00:00:00"/>
    <s v="January"/>
    <n v="2021"/>
    <d v="2021-01-01T00:00:00"/>
    <s v="Suffield"/>
    <s v="4 CHELTENHAM CT"/>
    <n v="98280"/>
    <n v="169900"/>
    <n v="0.57840000000000003"/>
    <n v="1.7287342287342287"/>
    <x v="1"/>
    <s v="Undervalued"/>
  </r>
  <r>
    <n v="200354"/>
    <d v="2020-12-29T00:00:00"/>
    <s v="December"/>
    <n v="2020"/>
    <d v="2020-12-01T00:00:00"/>
    <s v="Bristol"/>
    <s v="391 TIFFANY LA"/>
    <n v="173740"/>
    <n v="299000"/>
    <n v="0.58099999999999996"/>
    <n v="1.720962357545758"/>
    <x v="1"/>
    <s v="Undervalued"/>
  </r>
  <r>
    <n v="201437"/>
    <d v="2021-07-20T00:00:00"/>
    <s v="July"/>
    <n v="2021"/>
    <d v="2021-07-01T00:00:00"/>
    <s v="Greenwich"/>
    <s v="552 RIVER ROAD"/>
    <n v="1337630"/>
    <n v="2300000"/>
    <n v="0.58150000000000002"/>
    <n v="1.7194590432331811"/>
    <x v="1"/>
    <s v="Undervalued"/>
  </r>
  <r>
    <n v="201007"/>
    <d v="2021-03-22T00:00:00"/>
    <s v="March"/>
    <n v="2021"/>
    <d v="2021-03-01T00:00:00"/>
    <s v="Norwalk"/>
    <s v="29 GREGORY BLVD"/>
    <n v="261800"/>
    <n v="450000"/>
    <n v="0.58169999999999999"/>
    <n v="1.7188693659281895"/>
    <x v="1"/>
    <s v="Undervalued"/>
  </r>
  <r>
    <n v="2000212"/>
    <d v="2020-10-28T00:00:00"/>
    <s v="October"/>
    <n v="2020"/>
    <d v="2020-10-01T00:00:00"/>
    <s v="Stamford"/>
    <s v="197 BRIDGE STREET # 3"/>
    <n v="199330"/>
    <n v="342500"/>
    <n v="0.58189999999999997"/>
    <n v="1.7182561581297346"/>
    <x v="1"/>
    <s v="Undervalued"/>
  </r>
  <r>
    <n v="200101"/>
    <d v="2021-01-07T00:00:00"/>
    <s v="January"/>
    <n v="2021"/>
    <d v="2021-01-01T00:00:00"/>
    <s v="Coventry"/>
    <s v="74 LAKEVIEW DR"/>
    <n v="142800"/>
    <n v="245000"/>
    <n v="0.58279999999999998"/>
    <n v="1.7156862745098038"/>
    <x v="1"/>
    <s v="Undervalued"/>
  </r>
  <r>
    <n v="2000296"/>
    <d v="2021-02-12T00:00:00"/>
    <s v="February"/>
    <n v="2021"/>
    <d v="2021-02-01T00:00:00"/>
    <s v="Naugatuck"/>
    <s v="464 MULBERRY ST"/>
    <n v="114660"/>
    <n v="195000"/>
    <n v="0.58799999999999997"/>
    <n v="1.7006802721088434"/>
    <x v="1"/>
    <s v="Undervalued"/>
  </r>
  <r>
    <n v="20002"/>
    <d v="2020-10-02T00:00:00"/>
    <s v="October"/>
    <n v="2020"/>
    <d v="2020-10-01T00:00:00"/>
    <s v="Ashford"/>
    <s v="390 TURNPIKE RD"/>
    <n v="253000"/>
    <n v="430000"/>
    <n v="0.58830000000000005"/>
    <n v="1.6996047430830039"/>
    <x v="1"/>
    <s v="Undervalued"/>
  </r>
  <r>
    <n v="200468"/>
    <d v="2021-02-12T00:00:00"/>
    <s v="February"/>
    <n v="2021"/>
    <d v="2021-02-01T00:00:00"/>
    <s v="Meriden"/>
    <s v="28 STANLEY ST"/>
    <n v="100520"/>
    <n v="170000"/>
    <n v="0.59119999999999995"/>
    <n v="1.6912057302029446"/>
    <x v="1"/>
    <s v="Undervalued"/>
  </r>
  <r>
    <n v="20200070"/>
    <d v="2021-04-08T00:00:00"/>
    <s v="April"/>
    <n v="2021"/>
    <d v="2021-04-01T00:00:00"/>
    <s v="Sharon"/>
    <s v="101 MILLERTON RD"/>
    <n v="170200"/>
    <n v="287000"/>
    <n v="0.59299999999999997"/>
    <n v="1.6862514688601644"/>
    <x v="1"/>
    <s v="Undervalued"/>
  </r>
  <r>
    <n v="200042"/>
    <d v="2021-05-19T00:00:00"/>
    <s v="May"/>
    <n v="2021"/>
    <d v="2021-05-01T00:00:00"/>
    <s v="Canaan"/>
    <s v="93 MAIN ST"/>
    <n v="355800"/>
    <n v="599000"/>
    <n v="0.59389999999999998"/>
    <n v="1.6835300730747611"/>
    <x v="1"/>
    <s v="Undervalued"/>
  </r>
  <r>
    <n v="200377"/>
    <d v="2021-07-02T00:00:00"/>
    <s v="July"/>
    <n v="2021"/>
    <d v="2021-07-01T00:00:00"/>
    <s v="Avon"/>
    <s v="70 FAR HILLS DRIVE"/>
    <n v="862330"/>
    <n v="1447500"/>
    <n v="0.59570000000000001"/>
    <n v="1.6785917224264493"/>
    <x v="1"/>
    <s v="Undervalued"/>
  </r>
  <r>
    <n v="200078"/>
    <d v="2021-09-20T00:00:00"/>
    <s v="September"/>
    <n v="2021"/>
    <d v="2021-09-01T00:00:00"/>
    <s v="Chester"/>
    <s v="6 SUNSET AVE"/>
    <n v="250100"/>
    <n v="418800"/>
    <n v="0.59709999999999996"/>
    <n v="1.67453018792483"/>
    <x v="1"/>
    <s v="Undervalued"/>
  </r>
  <r>
    <n v="2001493"/>
    <d v="2021-05-03T00:00:00"/>
    <s v="May"/>
    <n v="2021"/>
    <d v="2021-05-01T00:00:00"/>
    <s v="Stamford"/>
    <s v="18 BUNGALOW PARK"/>
    <n v="238890"/>
    <n v="400000"/>
    <n v="0.59719999999999995"/>
    <n v="1.6744108166938758"/>
    <x v="1"/>
    <s v="Undervalued"/>
  </r>
  <r>
    <n v="20513"/>
    <d v="2021-03-11T00:00:00"/>
    <s v="March"/>
    <n v="2021"/>
    <d v="2021-03-01T00:00:00"/>
    <s v="New Britain"/>
    <s v="32 HIGHLAND TERR"/>
    <n v="97580"/>
    <n v="163300"/>
    <n v="0.59750000000000003"/>
    <n v="1.673498667759787"/>
    <x v="1"/>
    <s v="Undervalued"/>
  </r>
  <r>
    <n v="200149"/>
    <d v="2021-07-12T00:00:00"/>
    <s v="July"/>
    <n v="2021"/>
    <d v="2021-07-01T00:00:00"/>
    <s v="Thomaston"/>
    <s v="97 TWIN POND RD"/>
    <n v="204000"/>
    <n v="337500"/>
    <n v="0.60440000000000005"/>
    <n v="1.6544117647058822"/>
    <x v="1"/>
    <s v="Undervalued"/>
  </r>
  <r>
    <n v="201592"/>
    <d v="2021-05-12T00:00:00"/>
    <s v="May"/>
    <n v="2021"/>
    <d v="2021-05-01T00:00:00"/>
    <s v="Waterbury"/>
    <s v="26 COOPER ST"/>
    <n v="73860"/>
    <n v="122000"/>
    <n v="0.60540000000000005"/>
    <n v="1.6517736257784998"/>
    <x v="1"/>
    <s v="Undervalued"/>
  </r>
  <r>
    <n v="200226"/>
    <d v="2020-12-18T00:00:00"/>
    <s v="December"/>
    <n v="2020"/>
    <d v="2020-12-01T00:00:00"/>
    <s v="Enfield"/>
    <s v="106 RAFFIA RD"/>
    <n v="145570"/>
    <n v="240000"/>
    <n v="0.60650000000000004"/>
    <n v="1.6486913512399533"/>
    <x v="1"/>
    <s v="Undervalued"/>
  </r>
  <r>
    <n v="2020313"/>
    <d v="2021-07-01T00:00:00"/>
    <s v="July"/>
    <n v="2021"/>
    <d v="2021-07-01T00:00:00"/>
    <s v="Berlin"/>
    <s v="216 WATCH HILL RD"/>
    <n v="412000"/>
    <n v="677500"/>
    <n v="0.60809999999999997"/>
    <n v="1.6444174757281553"/>
    <x v="1"/>
    <s v="Undervalued"/>
  </r>
  <r>
    <n v="200025"/>
    <d v="2020-10-20T00:00:00"/>
    <s v="October"/>
    <n v="2020"/>
    <d v="2020-10-01T00:00:00"/>
    <s v="Suffield"/>
    <s v="930 BRANCH RD"/>
    <n v="159180"/>
    <n v="261000"/>
    <n v="0.60980000000000001"/>
    <n v="1.6396532227666791"/>
    <x v="1"/>
    <s v="Undervalued"/>
  </r>
  <r>
    <n v="200032"/>
    <d v="2020-10-08T00:00:00"/>
    <s v="October"/>
    <n v="2020"/>
    <d v="2020-10-01T00:00:00"/>
    <s v="Bristol"/>
    <s v="9 LESLIE COURT"/>
    <n v="94920"/>
    <n v="155000"/>
    <n v="0.61229999999999996"/>
    <n v="1.6329540665823852"/>
    <x v="1"/>
    <s v="Undervalued"/>
  </r>
  <r>
    <n v="200179"/>
    <d v="2021-06-22T00:00:00"/>
    <s v="June"/>
    <n v="2021"/>
    <d v="2021-06-01T00:00:00"/>
    <s v="Portland"/>
    <s v="724 GLASTONBURY TPKE"/>
    <n v="134750"/>
    <n v="220000"/>
    <n v="0.61250000000000004"/>
    <n v="1.6326530612244898"/>
    <x v="1"/>
    <s v="Undervalued"/>
  </r>
  <r>
    <n v="2020065"/>
    <d v="2020-12-20T00:00:00"/>
    <s v="December"/>
    <n v="2020"/>
    <d v="2020-12-01T00:00:00"/>
    <s v="Tolland"/>
    <s v="H2 TOLLAND MEADOWS"/>
    <n v="55200"/>
    <n v="90000"/>
    <n v="0.61329999999999996"/>
    <n v="1.6304347826086956"/>
    <x v="1"/>
    <s v="Undervalued"/>
  </r>
  <r>
    <n v="200953"/>
    <d v="2021-05-28T00:00:00"/>
    <s v="May"/>
    <n v="2021"/>
    <d v="2021-05-01T00:00:00"/>
    <s v="New Haven"/>
    <s v="44 FRONT ST"/>
    <n v="64470"/>
    <n v="105000"/>
    <n v="0.61399999999999999"/>
    <n v="1.6286644951140066"/>
    <x v="1"/>
    <s v="Undervalued"/>
  </r>
  <r>
    <n v="2020256"/>
    <d v="2021-06-23T00:00:00"/>
    <s v="June"/>
    <n v="2021"/>
    <d v="2021-06-01T00:00:00"/>
    <s v="Tolland"/>
    <s v="D3 TOLLAND MEADOWS"/>
    <n v="55200"/>
    <n v="89900"/>
    <n v="0.61401557299999998"/>
    <n v="1.6286231884057971"/>
    <x v="1"/>
    <s v="Undervalued"/>
  </r>
  <r>
    <n v="200377"/>
    <d v="2021-05-28T00:00:00"/>
    <s v="May"/>
    <n v="2021"/>
    <d v="2021-05-01T00:00:00"/>
    <s v="Simsbury"/>
    <s v="108 LIBRARY LANE"/>
    <n v="80010"/>
    <n v="130000"/>
    <n v="0.61539999999999995"/>
    <n v="1.6247969003874516"/>
    <x v="1"/>
    <s v="Undervalued"/>
  </r>
  <r>
    <n v="200742"/>
    <d v="2021-03-29T00:00:00"/>
    <s v="March"/>
    <n v="2021"/>
    <d v="2021-03-01T00:00:00"/>
    <s v="Danbury"/>
    <s v="17 OHEHYAHTAH PL"/>
    <n v="339100"/>
    <n v="550000"/>
    <n v="0.61650000000000005"/>
    <n v="1.6219404305514598"/>
    <x v="1"/>
    <s v="Undervalued"/>
  </r>
  <r>
    <n v="20014"/>
    <d v="2020-10-06T00:00:00"/>
    <s v="October"/>
    <n v="2020"/>
    <d v="2020-10-01T00:00:00"/>
    <s v="Monroe"/>
    <s v="22 MEADOWVIEW TER"/>
    <n v="189100"/>
    <n v="305000"/>
    <n v="0.62"/>
    <n v="1.6129032258064515"/>
    <x v="1"/>
    <s v="Undervalued"/>
  </r>
  <r>
    <n v="202281"/>
    <d v="2021-09-07T00:00:00"/>
    <s v="September"/>
    <n v="2021"/>
    <d v="2021-09-01T00:00:00"/>
    <s v="North Haven"/>
    <s v="108 MULHOLLAND WAY"/>
    <n v="276010"/>
    <n v="443165"/>
    <n v="0.62280000000000002"/>
    <n v="1.6056121155030614"/>
    <x v="1"/>
    <s v="Undervalued"/>
  </r>
  <r>
    <n v="200427"/>
    <d v="2021-02-05T00:00:00"/>
    <s v="February"/>
    <n v="2021"/>
    <d v="2021-02-01T00:00:00"/>
    <s v="Norwich"/>
    <s v="287-291 MAIN ST"/>
    <n v="587600"/>
    <n v="939000"/>
    <n v="0.62570000000000003"/>
    <n v="1.5980258679373724"/>
    <x v="0"/>
    <s v="Undervalued"/>
  </r>
  <r>
    <n v="2001101"/>
    <d v="2021-03-04T00:00:00"/>
    <s v="March"/>
    <n v="2021"/>
    <d v="2021-03-01T00:00:00"/>
    <s v="Stamford"/>
    <s v="385 ERSKINE ROAD"/>
    <n v="599810"/>
    <n v="950000"/>
    <n v="0.63129999999999997"/>
    <n v="1.5838348810456644"/>
    <x v="1"/>
    <s v="Undervalued"/>
  </r>
  <r>
    <n v="2000344"/>
    <d v="2020-11-10T00:00:00"/>
    <s v="November"/>
    <n v="2020"/>
    <d v="2020-11-01T00:00:00"/>
    <s v="Stamford"/>
    <s v="11 LYNAM ROAD"/>
    <n v="539700"/>
    <n v="850000"/>
    <n v="0.63490000000000002"/>
    <n v="1.5749490457661663"/>
    <x v="1"/>
    <s v="Undervalued"/>
  </r>
  <r>
    <n v="200827"/>
    <d v="2021-09-07T00:00:00"/>
    <s v="September"/>
    <n v="2021"/>
    <d v="2021-09-01T00:00:00"/>
    <s v="Glastonbury"/>
    <s v="38 MONTAUK WAY"/>
    <n v="332000"/>
    <n v="520000"/>
    <n v="0.63839999999999997"/>
    <n v="1.5662650602409638"/>
    <x v="1"/>
    <s v="Undervalued"/>
  </r>
  <r>
    <n v="200074"/>
    <d v="2021-09-01T00:00:00"/>
    <s v="September"/>
    <n v="2021"/>
    <d v="2021-09-01T00:00:00"/>
    <s v="Cornwall"/>
    <s v="131 KENT RD"/>
    <n v="246100"/>
    <n v="385000"/>
    <n v="0.63919999999999999"/>
    <n v="1.564404713531085"/>
    <x v="0"/>
    <s v="Undervalued"/>
  </r>
  <r>
    <n v="20742"/>
    <d v="2021-08-30T00:00:00"/>
    <s v="August"/>
    <n v="2021"/>
    <d v="2021-08-01T00:00:00"/>
    <s v="Newtown"/>
    <s v="157 HANOVER ROAD"/>
    <n v="325640"/>
    <n v="508000"/>
    <n v="0.64100000000000001"/>
    <n v="1.5600049134013021"/>
    <x v="1"/>
    <s v="Undervalued"/>
  </r>
  <r>
    <n v="200097"/>
    <d v="2021-06-04T00:00:00"/>
    <s v="June"/>
    <n v="2021"/>
    <d v="2021-06-01T00:00:00"/>
    <s v="Bethany"/>
    <s v="23 AMITY RD"/>
    <n v="511000"/>
    <n v="795000"/>
    <n v="0.64270000000000005"/>
    <n v="1.5557729941291585"/>
    <x v="0"/>
    <s v="Undervalued"/>
  </r>
  <r>
    <n v="200014"/>
    <d v="2020-10-13T00:00:00"/>
    <s v="October"/>
    <n v="2020"/>
    <d v="2020-10-01T00:00:00"/>
    <s v="Westbrook"/>
    <s v="233 KENROSE TER"/>
    <n v="245790"/>
    <n v="382000"/>
    <n v="0.64339999999999997"/>
    <n v="1.554172260873103"/>
    <x v="1"/>
    <s v="Undervalued"/>
  </r>
  <r>
    <n v="200195"/>
    <d v="2021-04-26T00:00:00"/>
    <s v="April"/>
    <n v="2021"/>
    <d v="2021-04-01T00:00:00"/>
    <s v="Cromwell"/>
    <s v="34      SHUNPIKE      ROAD"/>
    <n v="3360000"/>
    <n v="5214750"/>
    <n v="0.64429999999999998"/>
    <n v="1.5520089285714285"/>
    <x v="0"/>
    <s v="Undervalued"/>
  </r>
  <r>
    <n v="200140"/>
    <d v="2021-04-28T00:00:00"/>
    <s v="April"/>
    <n v="2021"/>
    <d v="2021-04-01T00:00:00"/>
    <s v="Essex"/>
    <s v="14 ESSEX GLEN DR #12"/>
    <n v="335800"/>
    <n v="520000"/>
    <n v="0.64570000000000005"/>
    <n v="1.5485407980941037"/>
    <x v="1"/>
    <s v="Undervalued"/>
  </r>
  <r>
    <n v="201027"/>
    <d v="2021-07-19T00:00:00"/>
    <s v="July"/>
    <n v="2021"/>
    <d v="2021-07-01T00:00:00"/>
    <s v="Manchester"/>
    <s v="200 SHELDON ROAD"/>
    <n v="517700"/>
    <n v="800000"/>
    <n v="0.64710000000000001"/>
    <n v="1.5452965037666602"/>
    <x v="0"/>
    <s v="Undervalued"/>
  </r>
  <r>
    <n v="200151"/>
    <d v="2020-12-14T00:00:00"/>
    <s v="December"/>
    <n v="2020"/>
    <d v="2020-12-01T00:00:00"/>
    <s v="Farmington"/>
    <s v="15 MALS WAY"/>
    <n v="356410"/>
    <n v="550000"/>
    <n v="0.64800000000000002"/>
    <n v="1.543166577817682"/>
    <x v="1"/>
    <s v="Undervalued"/>
  </r>
  <r>
    <n v="200007"/>
    <d v="2020-10-02T00:00:00"/>
    <s v="October"/>
    <n v="2020"/>
    <d v="2020-10-01T00:00:00"/>
    <s v="South Windsor"/>
    <s v="23-D AMATO DR"/>
    <n v="68300"/>
    <n v="105000"/>
    <n v="0.65039999999999998"/>
    <n v="1.5373352855051245"/>
    <x v="1"/>
    <s v="Undervalued"/>
  </r>
  <r>
    <n v="200991"/>
    <d v="2021-07-08T00:00:00"/>
    <s v="July"/>
    <n v="2021"/>
    <d v="2021-07-01T00:00:00"/>
    <s v="Manchester"/>
    <s v="64 MILFORD ROAD"/>
    <n v="104300"/>
    <n v="160000"/>
    <n v="0.65180000000000005"/>
    <n v="1.5340364333652925"/>
    <x v="1"/>
    <s v="Undervalued"/>
  </r>
  <r>
    <n v="2000381"/>
    <d v="2021-09-13T00:00:00"/>
    <s v="September"/>
    <n v="2021"/>
    <d v="2021-09-01T00:00:00"/>
    <s v="Bloomfield"/>
    <s v="9 SADDLE RIDGE"/>
    <n v="163730"/>
    <n v="250000"/>
    <n v="0.65490000000000004"/>
    <n v="1.5269040493495389"/>
    <x v="1"/>
    <s v="Undervalued"/>
  </r>
  <r>
    <n v="20000050"/>
    <d v="2020-11-05T00:00:00"/>
    <s v="November"/>
    <n v="2020"/>
    <d v="2020-11-01T00:00:00"/>
    <s v="Brookfield"/>
    <s v="4 CHELSEA CT"/>
    <n v="105110"/>
    <n v="160000"/>
    <n v="0.65693749999999995"/>
    <n v="1.5222148225668348"/>
    <x v="1"/>
    <s v="Undervalued"/>
  </r>
  <r>
    <n v="2000120"/>
    <d v="2020-10-16T00:00:00"/>
    <s v="October"/>
    <n v="2020"/>
    <d v="2020-10-01T00:00:00"/>
    <s v="Stamford"/>
    <s v="61 SEAVIEW AVENUE # 1"/>
    <n v="497000"/>
    <n v="755000"/>
    <n v="0.65820000000000001"/>
    <n v="1.5191146881287727"/>
    <x v="1"/>
    <s v="Undervalued"/>
  </r>
  <r>
    <n v="201057"/>
    <d v="2021-08-12T00:00:00"/>
    <s v="August"/>
    <n v="2021"/>
    <d v="2021-08-01T00:00:00"/>
    <s v="New Britain"/>
    <s v="5 ARCH ST"/>
    <n v="264390"/>
    <n v="400000"/>
    <n v="0.66090000000000004"/>
    <n v="1.5129165248307426"/>
    <x v="0"/>
    <s v="Undervalued"/>
  </r>
  <r>
    <n v="200020"/>
    <d v="2020-10-06T00:00:00"/>
    <s v="October"/>
    <n v="2020"/>
    <d v="2020-10-01T00:00:00"/>
    <s v="Groton"/>
    <s v="98 EAST SHORE AVE"/>
    <n v="654570"/>
    <n v="990000"/>
    <n v="0.66118181799999998"/>
    <n v="1.5124432833768733"/>
    <x v="1"/>
    <s v="Undervalued"/>
  </r>
  <r>
    <n v="20200578"/>
    <d v="2021-02-17T00:00:00"/>
    <s v="February"/>
    <n v="2021"/>
    <d v="2021-02-01T00:00:00"/>
    <s v="Stratford"/>
    <s v="2318 MAIN STREET"/>
    <n v="429800"/>
    <n v="650000"/>
    <n v="0.66120000000000001"/>
    <n v="1.5123313168915775"/>
    <x v="0"/>
    <s v="Undervalued"/>
  </r>
  <r>
    <n v="202611"/>
    <d v="2021-07-06T00:00:00"/>
    <s v="July"/>
    <n v="2021"/>
    <d v="2021-07-01T00:00:00"/>
    <s v="Norwalk"/>
    <s v="126 WASHINGTON ST UNIT R203"/>
    <n v="144380"/>
    <n v="217500"/>
    <n v="0.66379999999999995"/>
    <n v="1.506441335365009"/>
    <x v="1"/>
    <s v="Undervalued"/>
  </r>
  <r>
    <n v="200010"/>
    <d v="2020-10-22T00:00:00"/>
    <s v="October"/>
    <n v="2020"/>
    <d v="2020-10-01T00:00:00"/>
    <s v="Rocky Hill"/>
    <s v="59 HIGHCREST DRIVE"/>
    <n v="128870"/>
    <n v="193000"/>
    <n v="0.66769999999999996"/>
    <n v="1.4976332738418561"/>
    <x v="1"/>
    <s v="Undervalued"/>
  </r>
  <r>
    <n v="2001286"/>
    <d v="2021-03-30T00:00:00"/>
    <s v="March"/>
    <n v="2021"/>
    <d v="2021-03-01T00:00:00"/>
    <s v="Stamford"/>
    <s v="1156 STILLWATER ROAD"/>
    <n v="438860"/>
    <n v="652000"/>
    <n v="0.67300000000000004"/>
    <n v="1.4856674110194594"/>
    <x v="1"/>
    <s v="Undervalued"/>
  </r>
  <r>
    <n v="200109"/>
    <d v="2020-12-09T00:00:00"/>
    <s v="December"/>
    <n v="2020"/>
    <d v="2020-12-01T00:00:00"/>
    <s v="Avon"/>
    <s v="57 FAR HILLS DRIVE"/>
    <n v="847520"/>
    <n v="1250000"/>
    <n v="0.67800000000000005"/>
    <n v="1.474891447989428"/>
    <x v="1"/>
    <s v="Undervalued"/>
  </r>
  <r>
    <n v="200038"/>
    <d v="2020-10-09T00:00:00"/>
    <s v="October"/>
    <n v="2020"/>
    <d v="2020-10-01T00:00:00"/>
    <s v="Meriden"/>
    <s v="41 SUNNY LANE"/>
    <n v="209440"/>
    <n v="307000"/>
    <n v="0.68220000000000003"/>
    <n v="1.4658135981665394"/>
    <x v="1"/>
    <s v="Undervalued"/>
  </r>
  <r>
    <n v="2000720"/>
    <d v="2021-01-05T00:00:00"/>
    <s v="January"/>
    <n v="2021"/>
    <d v="2021-01-01T00:00:00"/>
    <s v="Stamford"/>
    <s v="57 HARBOR DRIVE GARAGE G-105B"/>
    <n v="19110"/>
    <n v="27500"/>
    <n v="0.69489999999999996"/>
    <n v="1.4390371533228676"/>
    <x v="1"/>
    <s v="Undervalued"/>
  </r>
  <r>
    <n v="200243"/>
    <d v="2021-04-13T00:00:00"/>
    <s v="April"/>
    <n v="2021"/>
    <d v="2021-04-01T00:00:00"/>
    <s v="Avon"/>
    <s v="111 NORTHINGTON DRIVE"/>
    <n v="619290"/>
    <n v="890000"/>
    <n v="0.69579999999999997"/>
    <n v="1.4371296161733598"/>
    <x v="1"/>
    <s v="Undervalued"/>
  </r>
  <r>
    <n v="20273"/>
    <d v="2021-01-11T00:00:00"/>
    <s v="January"/>
    <n v="2021"/>
    <d v="2021-01-01T00:00:00"/>
    <s v="Ridgefield"/>
    <s v="12 CARPENTER CLOSE"/>
    <n v="89810"/>
    <n v="128300"/>
    <n v="0.7"/>
    <n v="1.4285714285714286"/>
    <x v="1"/>
    <s v="Undervalued"/>
  </r>
  <r>
    <n v="200804"/>
    <d v="2021-09-28T00:00:00"/>
    <s v="September"/>
    <n v="2021"/>
    <d v="2021-09-01T00:00:00"/>
    <s v="Branford"/>
    <s v="119 MONTOWESE ST"/>
    <n v="455100"/>
    <n v="650000"/>
    <n v="0.70009999999999994"/>
    <n v="1.4282575258185015"/>
    <x v="0"/>
    <s v="Undervalued"/>
  </r>
  <r>
    <n v="20750"/>
    <d v="2021-05-06T00:00:00"/>
    <s v="May"/>
    <n v="2021"/>
    <d v="2021-05-01T00:00:00"/>
    <s v="Hartford"/>
    <s v="3371 MAIN ST"/>
    <n v="126560"/>
    <n v="180000"/>
    <n v="0.70309999999999995"/>
    <n v="1.4222503160556257"/>
    <x v="0"/>
    <s v="Undervalued"/>
  </r>
  <r>
    <n v="2000330"/>
    <d v="2021-05-20T00:00:00"/>
    <s v="May"/>
    <n v="2021"/>
    <d v="2021-05-01T00:00:00"/>
    <s v="Cheshire"/>
    <s v="844 HIGHLAND AVE"/>
    <n v="144220"/>
    <n v="204000"/>
    <n v="0.70689999999999997"/>
    <n v="1.4145056164193592"/>
    <x v="1"/>
    <s v="Undervalued"/>
  </r>
  <r>
    <n v="200376"/>
    <d v="2021-01-04T00:00:00"/>
    <s v="January"/>
    <n v="2021"/>
    <d v="2021-01-01T00:00:00"/>
    <s v="West Hartford"/>
    <s v="1838 ASYLUM AVENUE"/>
    <n v="216580"/>
    <n v="305000"/>
    <n v="0.71"/>
    <n v="1.4082556099362822"/>
    <x v="1"/>
    <s v="Undervalued"/>
  </r>
  <r>
    <n v="202000106"/>
    <d v="2021-01-28T00:00:00"/>
    <s v="January"/>
    <n v="2021"/>
    <d v="2021-01-01T00:00:00"/>
    <s v="Plymouth"/>
    <s v="325 MAIN ST"/>
    <n v="596470"/>
    <n v="833111"/>
    <n v="0.71589999999999998"/>
    <n v="1.3967357955974316"/>
    <x v="0"/>
    <s v="Undervalued"/>
  </r>
  <r>
    <n v="202876"/>
    <d v="2021-08-18T00:00:00"/>
    <s v="August"/>
    <n v="2021"/>
    <d v="2021-08-01T00:00:00"/>
    <s v="Norwalk"/>
    <s v="17 HADIK PKWY"/>
    <n v="256270"/>
    <n v="355000"/>
    <n v="0.7218"/>
    <n v="1.3852577359815819"/>
    <x v="1"/>
    <s v="Undervalued"/>
  </r>
  <r>
    <n v="200212"/>
    <d v="2021-03-09T00:00:00"/>
    <s v="March"/>
    <n v="2021"/>
    <d v="2021-03-01T00:00:00"/>
    <s v="Avon"/>
    <s v="5 CHESTNUT DRIVE"/>
    <n v="130400"/>
    <n v="179900"/>
    <n v="0.7248"/>
    <n v="1.3796012269938651"/>
    <x v="1"/>
    <s v="Undervalued"/>
  </r>
  <r>
    <n v="200081"/>
    <d v="2020-11-09T00:00:00"/>
    <s v="November"/>
    <n v="2020"/>
    <d v="2020-11-01T00:00:00"/>
    <s v="Simsbury"/>
    <s v="2C MILL PONDO LANE"/>
    <n v="270440"/>
    <n v="372000"/>
    <n v="0.72689999999999999"/>
    <n v="1.3755361632894543"/>
    <x v="1"/>
    <s v="Undervalued"/>
  </r>
  <r>
    <n v="200338"/>
    <d v="2021-04-23T00:00:00"/>
    <s v="April"/>
    <n v="2021"/>
    <d v="2021-04-01T00:00:00"/>
    <s v="New Canaan"/>
    <s v="116 ROCKY BROOK RD"/>
    <n v="620760"/>
    <n v="850000"/>
    <n v="0.73029999999999995"/>
    <n v="1.3692892583285006"/>
    <x v="1"/>
    <s v="Undervalued"/>
  </r>
  <r>
    <n v="200002"/>
    <d v="2020-10-01T00:00:00"/>
    <s v="October"/>
    <n v="2020"/>
    <d v="2020-10-01T00:00:00"/>
    <s v="Simsbury"/>
    <s v="24 BRETTONWOOD DRIVE"/>
    <n v="186610"/>
    <n v="252000"/>
    <n v="0.74050000000000005"/>
    <n v="1.3504099458764267"/>
    <x v="1"/>
    <s v="Undervalued"/>
  </r>
  <r>
    <n v="200656"/>
    <d v="2021-04-30T00:00:00"/>
    <s v="April"/>
    <n v="2021"/>
    <d v="2021-04-01T00:00:00"/>
    <s v="Norwich"/>
    <s v="112-116 MAIN ST"/>
    <n v="262300"/>
    <n v="352000"/>
    <n v="0.74509999999999998"/>
    <n v="1.341974837971788"/>
    <x v="0"/>
    <s v="Undervalued"/>
  </r>
  <r>
    <n v="2002453"/>
    <d v="2021-08-27T00:00:00"/>
    <s v="August"/>
    <n v="2021"/>
    <d v="2021-08-01T00:00:00"/>
    <s v="Stamford"/>
    <s v="34 FIFTH STREET"/>
    <n v="596290"/>
    <n v="800000"/>
    <n v="0.74529999999999996"/>
    <n v="1.3416290731020142"/>
    <x v="0"/>
    <s v="Undervalued"/>
  </r>
  <r>
    <n v="200052"/>
    <d v="2020-11-16T00:00:00"/>
    <s v="November"/>
    <n v="2020"/>
    <d v="2020-11-01T00:00:00"/>
    <s v="Litchfield"/>
    <s v="68 BEACH ST"/>
    <n v="149570"/>
    <n v="200000"/>
    <n v="0.74780000000000002"/>
    <n v="1.3371665440930669"/>
    <x v="1"/>
    <s v="Undervalued"/>
  </r>
  <r>
    <n v="200282"/>
    <d v="2021-07-15T00:00:00"/>
    <s v="July"/>
    <n v="2021"/>
    <d v="2021-07-01T00:00:00"/>
    <s v="Coventry"/>
    <s v="1467 SOUTH       ST"/>
    <n v="359800"/>
    <n v="480000"/>
    <n v="0.74950000000000006"/>
    <n v="1.3340744858254585"/>
    <x v="0"/>
    <s v="Undervalued"/>
  </r>
  <r>
    <n v="200258"/>
    <d v="2021-01-22T00:00:00"/>
    <s v="January"/>
    <n v="2021"/>
    <d v="2021-01-01T00:00:00"/>
    <s v="Branford"/>
    <s v="34 SUNRISE COVE CAMP"/>
    <n v="530500"/>
    <n v="700000"/>
    <n v="0.75780000000000003"/>
    <n v="1.3195098963242224"/>
    <x v="1"/>
    <s v="Undervalued"/>
  </r>
  <r>
    <n v="200002"/>
    <d v="2020-10-01T00:00:00"/>
    <s v="October"/>
    <n v="2020"/>
    <d v="2020-10-01T00:00:00"/>
    <s v="Roxbury"/>
    <s v="20 CHURCH ST"/>
    <n v="439290"/>
    <n v="575000"/>
    <n v="0.76398260900000003"/>
    <n v="1.3089303193789978"/>
    <x v="1"/>
    <s v="Undervalued"/>
  </r>
  <r>
    <n v="200759"/>
    <d v="2021-07-21T00:00:00"/>
    <s v="July"/>
    <n v="2021"/>
    <d v="2021-07-01T00:00:00"/>
    <s v="Shelton"/>
    <s v="104 MAPLE AVE"/>
    <n v="144410"/>
    <n v="185000"/>
    <n v="0.78049999999999997"/>
    <n v="1.2810747178173256"/>
    <x v="1"/>
    <s v="Undervalued"/>
  </r>
  <r>
    <n v="200886"/>
    <d v="2021-05-03T00:00:00"/>
    <s v="May"/>
    <n v="2021"/>
    <d v="2021-05-01T00:00:00"/>
    <s v="Danbury"/>
    <s v="86 MERRIMAC ST B"/>
    <n v="189800"/>
    <n v="240000"/>
    <n v="0.79079999999999995"/>
    <n v="1.2644889357218125"/>
    <x v="1"/>
    <s v="Undervalued"/>
  </r>
  <r>
    <n v="2001590"/>
    <d v="2021-05-17T00:00:00"/>
    <s v="May"/>
    <n v="2021"/>
    <d v="2021-05-01T00:00:00"/>
    <s v="Stamford"/>
    <s v="37 CROSS ROAD"/>
    <n v="423700"/>
    <n v="533350"/>
    <n v="0.7944"/>
    <n v="1.2587915978286524"/>
    <x v="1"/>
    <s v="Undervalued"/>
  </r>
  <r>
    <n v="200821"/>
    <d v="2021-05-27T00:00:00"/>
    <s v="May"/>
    <n v="2021"/>
    <d v="2021-05-01T00:00:00"/>
    <s v="Meriden"/>
    <s v="7 CARRIAGE CRSNG"/>
    <n v="67270"/>
    <n v="82000"/>
    <n v="0.82030000000000003"/>
    <n v="1.2189683365541846"/>
    <x v="1"/>
    <s v="Undervalued"/>
  </r>
  <r>
    <n v="200245"/>
    <d v="2021-01-06T00:00:00"/>
    <s v="January"/>
    <n v="2021"/>
    <d v="2021-01-01T00:00:00"/>
    <s v="Shelton"/>
    <s v="172-176 CORAM AVE"/>
    <n v="310660"/>
    <n v="375000"/>
    <n v="0.82840000000000003"/>
    <n v="1.2071074486576965"/>
    <x v="0"/>
    <s v="Undervalued"/>
  </r>
  <r>
    <n v="201023"/>
    <d v="2021-07-26T00:00:00"/>
    <s v="July"/>
    <n v="2021"/>
    <d v="2021-07-01T00:00:00"/>
    <s v="Hartford"/>
    <s v="410 MARKET ST"/>
    <n v="435610"/>
    <n v="525000"/>
    <n v="0.82969999999999999"/>
    <n v="1.2052064920456371"/>
    <x v="0"/>
    <s v="Undervalued"/>
  </r>
  <r>
    <n v="201176"/>
    <d v="2021-03-09T00:00:00"/>
    <s v="March"/>
    <n v="2021"/>
    <d v="2021-03-01T00:00:00"/>
    <s v="New London"/>
    <s v="400 BANK ST UNIT 201"/>
    <n v="165550"/>
    <n v="191000"/>
    <n v="0.86670000000000003"/>
    <n v="1.1537299909392933"/>
    <x v="1"/>
    <s v="Undervalued"/>
  </r>
  <r>
    <n v="200645"/>
    <d v="2021-02-17T00:00:00"/>
    <s v="February"/>
    <n v="2021"/>
    <d v="2021-02-01T00:00:00"/>
    <s v="Greenwich"/>
    <s v="123 VALLEY DRIVE"/>
    <n v="2661200"/>
    <n v="3000000"/>
    <n v="0.88700000000000001"/>
    <n v="1.1273109875244252"/>
    <x v="1"/>
    <s v="Undervalued"/>
  </r>
  <r>
    <n v="20064"/>
    <d v="2021-08-31T00:00:00"/>
    <s v="August"/>
    <n v="2021"/>
    <d v="2021-08-01T00:00:00"/>
    <s v="Franklin"/>
    <s v="888 ROUTE 32"/>
    <n v="186770"/>
    <n v="209000"/>
    <n v="0.89359999999999995"/>
    <n v="1.1190233977619533"/>
    <x v="0"/>
    <s v="Undervalued"/>
  </r>
  <r>
    <n v="201018"/>
    <d v="2021-06-03T00:00:00"/>
    <s v="June"/>
    <n v="2021"/>
    <d v="2021-06-01T00:00:00"/>
    <s v="Danbury"/>
    <s v="55 FOREST AV"/>
    <n v="136900"/>
    <n v="150000"/>
    <n v="0.91259999999999997"/>
    <n v="1.0956902848794741"/>
    <x v="1"/>
    <s v="Undervalued"/>
  </r>
  <r>
    <n v="201212"/>
    <d v="2021-08-23T00:00:00"/>
    <s v="August"/>
    <n v="2021"/>
    <d v="2021-08-01T00:00:00"/>
    <s v="Bristol"/>
    <s v="8 JENNINGS TERR"/>
    <n v="88060"/>
    <n v="91000"/>
    <n v="0.96760000000000002"/>
    <n v="1.0333863275039745"/>
    <x v="1"/>
    <s v="Undervalued"/>
  </r>
  <r>
    <n v="2016743"/>
    <d v="2021-07-19T00:00:00"/>
    <s v="July"/>
    <n v="2021"/>
    <d v="2021-07-01T00:00:00"/>
    <s v="Redding"/>
    <s v="241 ETHAN ALLEN HIGHWAY"/>
    <n v="1769800"/>
    <n v="1800000"/>
    <n v="0.98319999999999996"/>
    <n v="1.0170640750367272"/>
    <x v="0"/>
    <s v="Undervalued"/>
  </r>
  <r>
    <n v="201233"/>
    <d v="2021-06-22T00:00:00"/>
    <s v="June"/>
    <n v="2021"/>
    <d v="2021-06-01T00:00:00"/>
    <s v="Greenwich"/>
    <s v="11 BAYBERRY LANE"/>
    <n v="4259500"/>
    <n v="4300000"/>
    <n v="0.99050000000000005"/>
    <n v="1.0095081582345347"/>
    <x v="1"/>
    <s v="Undervalued"/>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2">
  <r>
    <n v="160092"/>
    <x v="0"/>
    <s v="December"/>
    <x v="0"/>
    <x v="0"/>
    <s v="Rocky Hill"/>
    <s v="13D ROBBINS LANE"/>
    <n v="45150"/>
    <n v="13650000"/>
    <n v="3.3076920000000001E-3"/>
    <n v="302.32558139534882"/>
    <s v="Condo"/>
    <s v="Overvalued"/>
  </r>
  <r>
    <n v="170261"/>
    <x v="1"/>
    <s v="May"/>
    <x v="1"/>
    <x v="1"/>
    <s v="New London"/>
    <s v="83 MANSFIELD RD 228"/>
    <n v="30660"/>
    <n v="3266250"/>
    <n v="9.3869120000000007E-3"/>
    <n v="106.53131115459882"/>
    <s v="Condo"/>
    <s v="Overvalued"/>
  </r>
  <r>
    <n v="170255"/>
    <x v="1"/>
    <s v="May"/>
    <x v="1"/>
    <x v="1"/>
    <s v="New London"/>
    <s v="83 MANSFIELD RD 220"/>
    <n v="30660"/>
    <n v="3266250"/>
    <n v="9.3869120000000007E-3"/>
    <n v="106.53131115459882"/>
    <s v="Condo"/>
    <s v="Overvalued"/>
  </r>
  <r>
    <n v="162063"/>
    <x v="2"/>
    <s v="September"/>
    <x v="2"/>
    <x v="2"/>
    <s v="Stamford"/>
    <s v="101 GROVE STREET G-17"/>
    <n v="8190"/>
    <n v="427500"/>
    <n v="1.9157895000000001E-2"/>
    <n v="52.197802197802197"/>
    <s v="Condo"/>
    <s v="Overvalued"/>
  </r>
  <r>
    <n v="161304"/>
    <x v="3"/>
    <s v="June"/>
    <x v="2"/>
    <x v="3"/>
    <s v="Stamford"/>
    <s v="12 DRYDEN STREET 1B"/>
    <n v="91980"/>
    <n v="1323338"/>
    <n v="6.9506051999999999E-2"/>
    <n v="14.387236355729506"/>
    <s v="Condo"/>
    <s v="Overvalued"/>
  </r>
  <r>
    <n v="60890"/>
    <x v="4"/>
    <s v="April"/>
    <x v="3"/>
    <x v="4"/>
    <s v="Norwalk"/>
    <s v="33 NORTH WATER ST"/>
    <n v="44653"/>
    <n v="429000"/>
    <n v="0.10408624700000001"/>
    <n v="9.6074171948133387"/>
    <s v="Condo"/>
    <s v="Overvalued"/>
  </r>
  <r>
    <n v="90695"/>
    <x v="5"/>
    <s v="June"/>
    <x v="4"/>
    <x v="5"/>
    <s v="Norwalk"/>
    <s v="310 ELY AVE H"/>
    <n v="45757"/>
    <n v="239900"/>
    <n v="0.19073363900000001"/>
    <n v="5.2429136525558935"/>
    <s v="Condo"/>
    <s v="Overvalued"/>
  </r>
  <r>
    <n v="200195"/>
    <x v="6"/>
    <s v="April"/>
    <x v="5"/>
    <x v="6"/>
    <s v="Cromwell"/>
    <s v="34      SHUNPIKE      ROAD"/>
    <n v="3360000"/>
    <n v="5214750"/>
    <n v="0.64429999999999998"/>
    <n v="1.5520089285714285"/>
    <s v="Commercial"/>
    <s v="Undervalued"/>
  </r>
  <r>
    <n v="201233"/>
    <x v="7"/>
    <s v="June"/>
    <x v="5"/>
    <x v="7"/>
    <s v="Greenwich"/>
    <s v="11 BAYBERRY LANE"/>
    <n v="4259500"/>
    <n v="4300000"/>
    <n v="0.99050000000000005"/>
    <n v="1.0095081582345347"/>
    <s v="Residential"/>
    <s v="Undervalued"/>
  </r>
  <r>
    <n v="201186"/>
    <x v="8"/>
    <s v="July"/>
    <x v="5"/>
    <x v="8"/>
    <s v="Danbury"/>
    <s v="28 MAIN ST"/>
    <n v="695500"/>
    <n v="3200000"/>
    <n v="0.21734375"/>
    <n v="4.6010064701653484"/>
    <s v="Commercial"/>
    <s v="Overvalued"/>
  </r>
  <r>
    <n v="200645"/>
    <x v="9"/>
    <s v="February"/>
    <x v="5"/>
    <x v="9"/>
    <s v="Greenwich"/>
    <s v="123 VALLEY DRIVE"/>
    <n v="2661200"/>
    <n v="3000000"/>
    <n v="0.88700000000000001"/>
    <n v="1.1273109875244252"/>
    <s v="Residential"/>
    <s v="Undervalued"/>
  </r>
  <r>
    <n v="200661"/>
    <x v="10"/>
    <s v="August"/>
    <x v="5"/>
    <x v="10"/>
    <s v="New Canaan"/>
    <s v="322 MAIN ST"/>
    <n v="1279460"/>
    <n v="2400000"/>
    <n v="0.53310000000000002"/>
    <n v="1.87579134947556"/>
    <s v="Residential"/>
    <s v="Undervalued"/>
  </r>
  <r>
    <n v="17568"/>
    <x v="11"/>
    <s v="May"/>
    <x v="1"/>
    <x v="1"/>
    <s v="Hartford"/>
    <s v="755 WETHERSFIELD AV UNIT B2"/>
    <n v="11620"/>
    <n v="38500"/>
    <n v="0.30180000000000001"/>
    <n v="3.3132530120481927"/>
    <s v="Condo"/>
    <s v="Overvalued"/>
  </r>
  <r>
    <n v="201437"/>
    <x v="12"/>
    <s v="July"/>
    <x v="5"/>
    <x v="8"/>
    <s v="Greenwich"/>
    <s v="552 RIVER ROAD"/>
    <n v="1337630"/>
    <n v="2300000"/>
    <n v="0.58150000000000002"/>
    <n v="1.7194590432331811"/>
    <s v="Residential"/>
    <s v="Undervalued"/>
  </r>
  <r>
    <n v="200055"/>
    <x v="13"/>
    <s v="January"/>
    <x v="5"/>
    <x v="11"/>
    <s v="Washington"/>
    <s v="136 OLD LITCHFIELD RD"/>
    <n v="1030330"/>
    <n v="2285000"/>
    <n v="0.45090000000000002"/>
    <n v="2.2177360651441771"/>
    <s v="Residential"/>
    <s v="Overvalued"/>
  </r>
  <r>
    <n v="2016743"/>
    <x v="14"/>
    <s v="July"/>
    <x v="5"/>
    <x v="8"/>
    <s v="Redding"/>
    <s v="241 ETHAN ALLEN HIGHWAY"/>
    <n v="1769800"/>
    <n v="1800000"/>
    <n v="0.98319999999999996"/>
    <n v="1.0170640750367272"/>
    <s v="Commercial"/>
    <s v="Undervalued"/>
  </r>
  <r>
    <n v="200320"/>
    <x v="15"/>
    <s v="May"/>
    <x v="5"/>
    <x v="12"/>
    <s v="East Lyme"/>
    <s v="9 FREEDOM WAY"/>
    <n v="776230"/>
    <n v="1525000"/>
    <n v="0.50900000000000001"/>
    <n v="1.9646238872499131"/>
    <s v="Commercial"/>
    <s v="Undervalued"/>
  </r>
  <r>
    <n v="200377"/>
    <x v="16"/>
    <s v="July"/>
    <x v="5"/>
    <x v="8"/>
    <s v="Avon"/>
    <s v="70 FAR HILLS DRIVE"/>
    <n v="862330"/>
    <n v="1447500"/>
    <n v="0.59570000000000001"/>
    <n v="1.6785917224264493"/>
    <s v="Residential"/>
    <s v="Undervalued"/>
  </r>
  <r>
    <n v="201494"/>
    <x v="17"/>
    <s v="July"/>
    <x v="5"/>
    <x v="8"/>
    <s v="Greenwich"/>
    <s v="20 EAST LYON FARM DRIVE"/>
    <n v="632170"/>
    <n v="1250000"/>
    <n v="0.50570000000000004"/>
    <n v="1.9773162282297483"/>
    <s v="Residential"/>
    <s v="Undervalued"/>
  </r>
  <r>
    <n v="2001101"/>
    <x v="18"/>
    <s v="March"/>
    <x v="5"/>
    <x v="13"/>
    <s v="Stamford"/>
    <s v="385 ERSKINE ROAD"/>
    <n v="599810"/>
    <n v="950000"/>
    <n v="0.63129999999999997"/>
    <n v="1.5838348810456644"/>
    <s v="Residential"/>
    <s v="Undervalued"/>
  </r>
  <r>
    <n v="200427"/>
    <x v="19"/>
    <s v="February"/>
    <x v="5"/>
    <x v="9"/>
    <s v="Norwich"/>
    <s v="287-291 MAIN ST"/>
    <n v="587600"/>
    <n v="939000"/>
    <n v="0.62570000000000003"/>
    <n v="1.5980258679373724"/>
    <s v="Commercial"/>
    <s v="Undervalued"/>
  </r>
  <r>
    <n v="2001570"/>
    <x v="20"/>
    <s v="May"/>
    <x v="5"/>
    <x v="12"/>
    <s v="Stamford"/>
    <s v="52 ORCHARD STREET"/>
    <n v="486230"/>
    <n v="930000"/>
    <n v="0.52280000000000004"/>
    <n v="1.9126750714682352"/>
    <s v="Commercial"/>
    <s v="Undervalued"/>
  </r>
  <r>
    <n v="20771"/>
    <x v="21"/>
    <s v="September"/>
    <x v="5"/>
    <x v="14"/>
    <s v="Newtown"/>
    <s v="3 SHORT HILL ROAD"/>
    <n v="451770"/>
    <n v="910000"/>
    <n v="0.49645054900000002"/>
    <n v="2.0142993115966088"/>
    <s v="Residential"/>
    <s v="Overvalued"/>
  </r>
  <r>
    <n v="200627"/>
    <x v="12"/>
    <s v="July"/>
    <x v="5"/>
    <x v="8"/>
    <s v="Trumbull"/>
    <s v="12 ROSEVIEW COURT"/>
    <n v="475160"/>
    <n v="905000"/>
    <n v="0.52500000000000002"/>
    <n v="1.9046216011448776"/>
    <s v="Residential"/>
    <s v="Undervalued"/>
  </r>
  <r>
    <n v="200421"/>
    <x v="22"/>
    <s v="December"/>
    <x v="6"/>
    <x v="15"/>
    <s v="Greenwich"/>
    <s v="130 NORTH WATER STREET"/>
    <n v="288190"/>
    <n v="705000"/>
    <n v="0.40870000000000001"/>
    <n v="2.4463027863562234"/>
    <s v="Residential"/>
    <s v="Overvalued"/>
  </r>
  <r>
    <n v="200192"/>
    <x v="23"/>
    <s v="November"/>
    <x v="6"/>
    <x v="16"/>
    <s v="New Haven"/>
    <s v="459 BLATCHLEY AV"/>
    <n v="71150"/>
    <n v="170000"/>
    <n v="0.41849999999999998"/>
    <n v="2.3893183415319745"/>
    <s v="Residential"/>
    <s v="Overvalued"/>
  </r>
  <r>
    <n v="200243"/>
    <x v="24"/>
    <s v="April"/>
    <x v="5"/>
    <x v="6"/>
    <s v="Avon"/>
    <s v="111 NORTHINGTON DRIVE"/>
    <n v="619290"/>
    <n v="890000"/>
    <n v="0.69579999999999997"/>
    <n v="1.4371296161733598"/>
    <s v="Residential"/>
    <s v="Undervalued"/>
  </r>
  <r>
    <n v="160539"/>
    <x v="25"/>
    <s v="January"/>
    <x v="2"/>
    <x v="17"/>
    <s v="Stamford"/>
    <s v="186 SEATON ROAD # 22-C3"/>
    <n v="74670"/>
    <n v="176500"/>
    <n v="0.42305948999999998"/>
    <n v="2.36373376188563"/>
    <s v="Condo"/>
    <s v="Overvalued"/>
  </r>
  <r>
    <n v="20129"/>
    <x v="26"/>
    <s v="March"/>
    <x v="5"/>
    <x v="13"/>
    <s v="Derby"/>
    <s v="196 ELIZABETH ST"/>
    <n v="351260"/>
    <n v="873000"/>
    <n v="0.40229999999999999"/>
    <n v="2.4853384957011899"/>
    <s v="Commercial"/>
    <s v="Overvalued"/>
  </r>
  <r>
    <n v="200338"/>
    <x v="27"/>
    <s v="April"/>
    <x v="5"/>
    <x v="6"/>
    <s v="New Canaan"/>
    <s v="116 ROCKY BROOK RD"/>
    <n v="620760"/>
    <n v="850000"/>
    <n v="0.73029999999999995"/>
    <n v="1.3692892583285006"/>
    <s v="Residential"/>
    <s v="Undervalued"/>
  </r>
  <r>
    <n v="201207"/>
    <x v="28"/>
    <s v="July"/>
    <x v="5"/>
    <x v="8"/>
    <s v="New Haven"/>
    <s v="40 TEMPLE CT # 40"/>
    <n v="368130"/>
    <n v="850000"/>
    <n v="0.433"/>
    <n v="2.3089669410262679"/>
    <s v="Residential"/>
    <s v="Overvalued"/>
  </r>
  <r>
    <n v="61464"/>
    <x v="29"/>
    <s v="May"/>
    <x v="3"/>
    <x v="18"/>
    <s v="Waterbury"/>
    <s v="21 THIRD ST UT 6B"/>
    <n v="14770"/>
    <n v="33000"/>
    <n v="0.44757575799999999"/>
    <n v="2.2342586323628977"/>
    <s v="Condo"/>
    <s v="Overvalued"/>
  </r>
  <r>
    <n v="202000106"/>
    <x v="30"/>
    <s v="January"/>
    <x v="5"/>
    <x v="11"/>
    <s v="Plymouth"/>
    <s v="325 MAIN ST"/>
    <n v="596470"/>
    <n v="833111"/>
    <n v="0.71589999999999998"/>
    <n v="1.3967357955974316"/>
    <s v="Commercial"/>
    <s v="Undervalued"/>
  </r>
  <r>
    <n v="2001250"/>
    <x v="31"/>
    <s v="March"/>
    <x v="5"/>
    <x v="13"/>
    <s v="Stamford"/>
    <s v="28 VERNON PLACE"/>
    <n v="403190"/>
    <n v="810000"/>
    <n v="0.49769999999999998"/>
    <n v="2.0089783972816786"/>
    <s v="Residential"/>
    <s v="Overvalued"/>
  </r>
  <r>
    <n v="2002453"/>
    <x v="32"/>
    <s v="August"/>
    <x v="5"/>
    <x v="10"/>
    <s v="Stamford"/>
    <s v="34 FIFTH STREET"/>
    <n v="596290"/>
    <n v="800000"/>
    <n v="0.74529999999999996"/>
    <n v="1.3416290731020142"/>
    <s v="Commercial"/>
    <s v="Undervalued"/>
  </r>
  <r>
    <n v="201027"/>
    <x v="14"/>
    <s v="July"/>
    <x v="5"/>
    <x v="8"/>
    <s v="Manchester"/>
    <s v="200 SHELDON ROAD"/>
    <n v="517700"/>
    <n v="800000"/>
    <n v="0.64710000000000001"/>
    <n v="1.5452965037666602"/>
    <s v="Commercial"/>
    <s v="Undervalued"/>
  </r>
  <r>
    <n v="200097"/>
    <x v="33"/>
    <s v="June"/>
    <x v="5"/>
    <x v="7"/>
    <s v="Bethany"/>
    <s v="23 AMITY RD"/>
    <n v="511000"/>
    <n v="795000"/>
    <n v="0.64270000000000005"/>
    <n v="1.5557729941291585"/>
    <s v="Commercial"/>
    <s v="Undervalued"/>
  </r>
  <r>
    <n v="200046"/>
    <x v="34"/>
    <s v="December"/>
    <x v="6"/>
    <x v="15"/>
    <s v="Thomaston"/>
    <s v="3 BRADLEY WAY"/>
    <n v="133210"/>
    <n v="289900"/>
    <n v="0.45950000000000002"/>
    <n v="2.1762630433150663"/>
    <s v="Residential"/>
    <s v="Overvalued"/>
  </r>
  <r>
    <n v="2002537"/>
    <x v="35"/>
    <s v="September"/>
    <x v="5"/>
    <x v="14"/>
    <s v="Stamford"/>
    <s v="56 ETHAN ALLEN LANE"/>
    <n v="441560"/>
    <n v="785000"/>
    <n v="0.56240000000000001"/>
    <n v="1.7777878431017302"/>
    <s v="Residential"/>
    <s v="Undervalued"/>
  </r>
  <r>
    <n v="20274"/>
    <x v="36"/>
    <s v="January"/>
    <x v="5"/>
    <x v="11"/>
    <s v="Newtown"/>
    <s v="16 SILVER BROOK LANE"/>
    <n v="419590"/>
    <n v="779000"/>
    <n v="0.53859999999999997"/>
    <n v="1.8565742748873901"/>
    <s v="Residential"/>
    <s v="Undervalued"/>
  </r>
  <r>
    <n v="201328"/>
    <x v="37"/>
    <s v="August"/>
    <x v="5"/>
    <x v="10"/>
    <s v="Cromwell"/>
    <s v="6 BELHAVEN"/>
    <n v="410670"/>
    <n v="740000"/>
    <n v="0.55489999999999995"/>
    <n v="1.8019334258650499"/>
    <s v="Residential"/>
    <s v="Undervalued"/>
  </r>
  <r>
    <n v="90073"/>
    <x v="38"/>
    <s v="November"/>
    <x v="7"/>
    <x v="19"/>
    <s v="Windsor"/>
    <s v="13 LAST LEAF CIR"/>
    <n v="111300"/>
    <n v="238521"/>
    <n v="0.46662557999999998"/>
    <n v="2.143045822102426"/>
    <s v="Condo"/>
    <s v="Overvalued"/>
  </r>
  <r>
    <n v="190767"/>
    <x v="39"/>
    <s v="March"/>
    <x v="6"/>
    <x v="20"/>
    <s v="Waterbury"/>
    <s v="1424 THOMASTON AVE #2"/>
    <n v="28490"/>
    <n v="61000"/>
    <n v="0.46700000000000003"/>
    <n v="2.1411021411021411"/>
    <s v="Condo"/>
    <s v="Overvalued"/>
  </r>
  <r>
    <n v="170668"/>
    <x v="40"/>
    <s v="January"/>
    <x v="1"/>
    <x v="21"/>
    <s v="Bridgeport"/>
    <s v="120 HUNTINGTON TPKE UNIT 708"/>
    <n v="27570"/>
    <n v="59000"/>
    <n v="0.4672"/>
    <n v="2.1400072542618789"/>
    <s v="Condo"/>
    <s v="Overvalued"/>
  </r>
  <r>
    <n v="200170"/>
    <x v="41"/>
    <s v="June"/>
    <x v="5"/>
    <x v="7"/>
    <s v="Westbrook"/>
    <s v="104 CHAPMAN BEACH RD"/>
    <n v="271120"/>
    <n v="725000"/>
    <n v="0.37390000000000001"/>
    <n v="2.6740926526999114"/>
    <s v="Residential"/>
    <s v="Overvalued"/>
  </r>
  <r>
    <n v="20458"/>
    <x v="42"/>
    <s v="June"/>
    <x v="5"/>
    <x v="7"/>
    <s v="Waterford"/>
    <s v="4 DONNA ST"/>
    <n v="271240"/>
    <n v="710000"/>
    <n v="0.38200000000000001"/>
    <n v="2.6176080224155731"/>
    <s v="Residential"/>
    <s v="Overvalued"/>
  </r>
  <r>
    <n v="200174"/>
    <x v="23"/>
    <s v="November"/>
    <x v="6"/>
    <x v="16"/>
    <s v="Torrington"/>
    <s v="194 LEDGE DR"/>
    <n v="58020"/>
    <n v="122500"/>
    <n v="0.47360000000000002"/>
    <n v="2.1113409169251982"/>
    <s v="Residential"/>
    <s v="Overvalued"/>
  </r>
  <r>
    <n v="200258"/>
    <x v="43"/>
    <s v="January"/>
    <x v="5"/>
    <x v="11"/>
    <s v="Branford"/>
    <s v="34 SUNRISE COVE CAMP"/>
    <n v="530500"/>
    <n v="700000"/>
    <n v="0.75780000000000003"/>
    <n v="1.3195098963242224"/>
    <s v="Residential"/>
    <s v="Undervalued"/>
  </r>
  <r>
    <n v="200098"/>
    <x v="44"/>
    <s v="November"/>
    <x v="6"/>
    <x v="16"/>
    <s v="Groton"/>
    <s v="70 ATLANTIC AVE"/>
    <n v="354550"/>
    <n v="742500"/>
    <n v="0.47749999999999998"/>
    <n v="2.094203920462558"/>
    <s v="Residential"/>
    <s v="Overvalued"/>
  </r>
  <r>
    <n v="2020313"/>
    <x v="45"/>
    <s v="July"/>
    <x v="5"/>
    <x v="8"/>
    <s v="Berlin"/>
    <s v="216 WATCH HILL RD"/>
    <n v="412000"/>
    <n v="677500"/>
    <n v="0.60809999999999997"/>
    <n v="1.6444174757281553"/>
    <s v="Residential"/>
    <s v="Undervalued"/>
  </r>
  <r>
    <n v="70280"/>
    <x v="46"/>
    <s v="July"/>
    <x v="8"/>
    <x v="22"/>
    <s v="Cheshire"/>
    <s v="12 FAIRWAY DR"/>
    <n v="98180"/>
    <n v="204900"/>
    <n v="0.47916056600000001"/>
    <n v="2.0869830922794868"/>
    <s v="Condo"/>
    <s v="Overvalued"/>
  </r>
  <r>
    <n v="2001286"/>
    <x v="26"/>
    <s v="March"/>
    <x v="5"/>
    <x v="13"/>
    <s v="Stamford"/>
    <s v="1156 STILLWATER ROAD"/>
    <n v="438860"/>
    <n v="652000"/>
    <n v="0.67300000000000004"/>
    <n v="1.4856674110194594"/>
    <s v="Residential"/>
    <s v="Undervalued"/>
  </r>
  <r>
    <n v="70535"/>
    <x v="47"/>
    <s v="May"/>
    <x v="8"/>
    <x v="23"/>
    <s v="West Hartford"/>
    <s v="25 CASSANDRA BLVD #304"/>
    <n v="235800"/>
    <n v="487710"/>
    <n v="0.483484038"/>
    <n v="2.0683206106870231"/>
    <s v="Condo"/>
    <s v="Overvalued"/>
  </r>
  <r>
    <n v="20200578"/>
    <x v="9"/>
    <s v="February"/>
    <x v="5"/>
    <x v="9"/>
    <s v="Stratford"/>
    <s v="2318 MAIN STREET"/>
    <n v="429800"/>
    <n v="650000"/>
    <n v="0.66120000000000001"/>
    <n v="1.5123313168915775"/>
    <s v="Commercial"/>
    <s v="Undervalued"/>
  </r>
  <r>
    <n v="200639"/>
    <x v="17"/>
    <s v="July"/>
    <x v="5"/>
    <x v="8"/>
    <s v="Groton"/>
    <s v="4 TYLER AVE"/>
    <n v="259770"/>
    <n v="650000"/>
    <n v="0.39964615399999998"/>
    <n v="2.5022134965546443"/>
    <s v="Residential"/>
    <s v="Overvalued"/>
  </r>
  <r>
    <n v="200804"/>
    <x v="48"/>
    <s v="September"/>
    <x v="5"/>
    <x v="14"/>
    <s v="Branford"/>
    <s v="119 MONTOWESE ST"/>
    <n v="455100"/>
    <n v="650000"/>
    <n v="0.70009999999999994"/>
    <n v="1.4282575258185015"/>
    <s v="Commercial"/>
    <s v="Undervalued"/>
  </r>
  <r>
    <n v="200042"/>
    <x v="49"/>
    <s v="May"/>
    <x v="5"/>
    <x v="12"/>
    <s v="Canaan"/>
    <s v="93 MAIN ST"/>
    <n v="355800"/>
    <n v="599000"/>
    <n v="0.59389999999999998"/>
    <n v="1.6835300730747611"/>
    <s v="Residential"/>
    <s v="Undervalued"/>
  </r>
  <r>
    <n v="200742"/>
    <x v="50"/>
    <s v="March"/>
    <x v="5"/>
    <x v="13"/>
    <s v="Danbury"/>
    <s v="17 OHEHYAHTAH PL"/>
    <n v="339100"/>
    <n v="550000"/>
    <n v="0.61650000000000005"/>
    <n v="1.6219404305514598"/>
    <s v="Residential"/>
    <s v="Undervalued"/>
  </r>
  <r>
    <n v="20249"/>
    <x v="51"/>
    <s v="September"/>
    <x v="5"/>
    <x v="14"/>
    <s v="Orange"/>
    <s v="387 TIMBERLANE DR"/>
    <n v="297700"/>
    <n v="550000"/>
    <n v="0.54120000000000001"/>
    <n v="1.8474974806852535"/>
    <s v="Residential"/>
    <s v="Undervalued"/>
  </r>
  <r>
    <n v="2001590"/>
    <x v="52"/>
    <s v="May"/>
    <x v="5"/>
    <x v="12"/>
    <s v="Stamford"/>
    <s v="37 CROSS ROAD"/>
    <n v="423700"/>
    <n v="533350"/>
    <n v="0.7944"/>
    <n v="1.2587915978286524"/>
    <s v="Residential"/>
    <s v="Undervalued"/>
  </r>
  <r>
    <n v="201023"/>
    <x v="53"/>
    <s v="July"/>
    <x v="5"/>
    <x v="8"/>
    <s v="Hartford"/>
    <s v="410 MARKET ST"/>
    <n v="435610"/>
    <n v="525000"/>
    <n v="0.82969999999999999"/>
    <n v="1.2052064920456371"/>
    <s v="Commercial"/>
    <s v="Undervalued"/>
  </r>
  <r>
    <n v="200011"/>
    <x v="54"/>
    <s v="October"/>
    <x v="6"/>
    <x v="24"/>
    <s v="Trumbull"/>
    <s v="14 WOODLAWN DR"/>
    <n v="183190"/>
    <n v="370000"/>
    <n v="0.49509999999999998"/>
    <n v="2.0197609039794751"/>
    <s v="Residential"/>
    <s v="Overvalued"/>
  </r>
  <r>
    <n v="200374"/>
    <x v="55"/>
    <s v="March"/>
    <x v="5"/>
    <x v="13"/>
    <s v="Shelton"/>
    <s v="1103 RENAISSANCE"/>
    <n v="227500"/>
    <n v="525000"/>
    <n v="0.43330000000000002"/>
    <n v="2.3076923076923075"/>
    <s v="Residential"/>
    <s v="Overvalued"/>
  </r>
  <r>
    <n v="201580"/>
    <x v="56"/>
    <s v="September"/>
    <x v="5"/>
    <x v="14"/>
    <s v="Danbury"/>
    <s v="25 CROWN ST"/>
    <n v="192300"/>
    <n v="525000"/>
    <n v="0.36628571399999998"/>
    <n v="2.7301092043681749"/>
    <s v="Residential"/>
    <s v="Overvalued"/>
  </r>
  <r>
    <n v="200140"/>
    <x v="57"/>
    <s v="April"/>
    <x v="5"/>
    <x v="6"/>
    <s v="Essex"/>
    <s v="14 ESSEX GLEN DR #12"/>
    <n v="335800"/>
    <n v="520000"/>
    <n v="0.64570000000000005"/>
    <n v="1.5485407980941037"/>
    <s v="Residential"/>
    <s v="Undervalued"/>
  </r>
  <r>
    <n v="200080"/>
    <x v="58"/>
    <s v="November"/>
    <x v="6"/>
    <x v="16"/>
    <s v="Guilford"/>
    <s v="2 WINTERBERRY RD"/>
    <n v="239550"/>
    <n v="480000"/>
    <n v="0.499"/>
    <n v="2.0037570444583594"/>
    <s v="Residential"/>
    <s v="Overvalued"/>
  </r>
  <r>
    <n v="200408"/>
    <x v="22"/>
    <s v="December"/>
    <x v="6"/>
    <x v="15"/>
    <s v="Danbury"/>
    <s v="15 SCUPPO RD 1503"/>
    <n v="130800"/>
    <n v="260000"/>
    <n v="0.503"/>
    <n v="1.9877675840978593"/>
    <s v="Residential"/>
    <s v="Undervalued"/>
  </r>
  <r>
    <n v="70125"/>
    <x v="59"/>
    <s v="January"/>
    <x v="8"/>
    <x v="25"/>
    <s v="Wethersfield"/>
    <s v="191 SPRING ST"/>
    <n v="87500"/>
    <n v="173700"/>
    <n v="0.50374208399999998"/>
    <n v="1.9851428571428571"/>
    <s v="Condo"/>
    <s v="Undervalued"/>
  </r>
  <r>
    <n v="200827"/>
    <x v="35"/>
    <s v="September"/>
    <x v="5"/>
    <x v="14"/>
    <s v="Glastonbury"/>
    <s v="38 MONTAUK WAY"/>
    <n v="332000"/>
    <n v="520000"/>
    <n v="0.63839999999999997"/>
    <n v="1.5662650602409638"/>
    <s v="Residential"/>
    <s v="Undervalued"/>
  </r>
  <r>
    <n v="200499"/>
    <x v="60"/>
    <s v="September"/>
    <x v="5"/>
    <x v="14"/>
    <s v="East Lyme"/>
    <s v="27 SEA CREST AVE"/>
    <n v="233660"/>
    <n v="517000"/>
    <n v="0.45190000000000002"/>
    <n v="2.2126166224428658"/>
    <s v="Residential"/>
    <s v="Overvalued"/>
  </r>
  <r>
    <n v="20588"/>
    <x v="61"/>
    <s v="July"/>
    <x v="5"/>
    <x v="8"/>
    <s v="Southbury"/>
    <s v="2005 PURCHASE BROOK RD"/>
    <n v="235950"/>
    <n v="510000"/>
    <n v="0.46260000000000001"/>
    <n v="2.1614748887476161"/>
    <s v="Residential"/>
    <s v="Overvalued"/>
  </r>
  <r>
    <n v="20139"/>
    <x v="62"/>
    <s v="December"/>
    <x v="6"/>
    <x v="15"/>
    <s v="Bethel"/>
    <s v="16 DEEPWOOD DRIVE"/>
    <n v="171360"/>
    <n v="335000"/>
    <n v="0.51149999999999995"/>
    <n v="1.9549486461251167"/>
    <s v="Residential"/>
    <s v="Undervalued"/>
  </r>
  <r>
    <n v="20742"/>
    <x v="10"/>
    <s v="August"/>
    <x v="5"/>
    <x v="10"/>
    <s v="Newtown"/>
    <s v="157 HANOVER ROAD"/>
    <n v="325640"/>
    <n v="508000"/>
    <n v="0.64100000000000001"/>
    <n v="1.5600049134013021"/>
    <s v="Residential"/>
    <s v="Undervalued"/>
  </r>
  <r>
    <n v="160197"/>
    <x v="63"/>
    <s v="November"/>
    <x v="0"/>
    <x v="26"/>
    <s v="Stamford"/>
    <s v="300 BROAD STREET # 502"/>
    <n v="143650"/>
    <n v="278000"/>
    <n v="0.51672661900000005"/>
    <n v="1.9352593108249216"/>
    <s v="Condo"/>
    <s v="Undervalued"/>
  </r>
  <r>
    <n v="200282"/>
    <x v="64"/>
    <s v="July"/>
    <x v="5"/>
    <x v="8"/>
    <s v="Coventry"/>
    <s v="1467 SOUTH       ST"/>
    <n v="359800"/>
    <n v="480000"/>
    <n v="0.74950000000000006"/>
    <n v="1.3340744858254585"/>
    <s v="Commercial"/>
    <s v="Undervalued"/>
  </r>
  <r>
    <n v="200145"/>
    <x v="65"/>
    <s v="August"/>
    <x v="5"/>
    <x v="10"/>
    <s v="New Hartford"/>
    <s v="82 NILES ROAD"/>
    <n v="238980"/>
    <n v="460000"/>
    <n v="0.51949999999999996"/>
    <n v="1.9248472675537702"/>
    <s v="Residential"/>
    <s v="Undervalued"/>
  </r>
  <r>
    <n v="200359"/>
    <x v="66"/>
    <s v="March"/>
    <x v="5"/>
    <x v="13"/>
    <s v="Trumbull"/>
    <s v="94 NORTH STOWE PLACE"/>
    <n v="256550"/>
    <n v="451000"/>
    <n v="0.56879999999999997"/>
    <n v="1.7579419216526992"/>
    <s v="Residential"/>
    <s v="Undervalued"/>
  </r>
  <r>
    <n v="201007"/>
    <x v="67"/>
    <s v="March"/>
    <x v="5"/>
    <x v="13"/>
    <s v="Norwalk"/>
    <s v="29 GREGORY BLVD"/>
    <n v="261800"/>
    <n v="450000"/>
    <n v="0.58169999999999999"/>
    <n v="1.7188693659281895"/>
    <s v="Residential"/>
    <s v="Undervalued"/>
  </r>
  <r>
    <n v="20761"/>
    <x v="68"/>
    <s v="May"/>
    <x v="5"/>
    <x v="12"/>
    <s v="New Britain"/>
    <s v="150 GOLD ST"/>
    <n v="212310"/>
    <n v="450000"/>
    <n v="0.4718"/>
    <n v="2.1195421788893598"/>
    <s v="Apartments"/>
    <s v="Overvalued"/>
  </r>
  <r>
    <n v="62389"/>
    <x v="69"/>
    <s v="August"/>
    <x v="3"/>
    <x v="27"/>
    <s v="Bridgeport"/>
    <s v="166 KENNEDY DR"/>
    <n v="80521"/>
    <n v="154500"/>
    <n v="0.52117152099999997"/>
    <n v="1.9187541138336583"/>
    <s v="Condo"/>
    <s v="Undervalued"/>
  </r>
  <r>
    <n v="202281"/>
    <x v="35"/>
    <s v="September"/>
    <x v="5"/>
    <x v="14"/>
    <s v="North Haven"/>
    <s v="108 MULHOLLAND WAY"/>
    <n v="276010"/>
    <n v="443165"/>
    <n v="0.62280000000000002"/>
    <n v="1.6056121155030614"/>
    <s v="Residential"/>
    <s v="Undervalued"/>
  </r>
  <r>
    <n v="20360"/>
    <x v="43"/>
    <s v="January"/>
    <x v="5"/>
    <x v="11"/>
    <s v="Hartford"/>
    <s v="1301 MAIN ST"/>
    <n v="173670"/>
    <n v="439900"/>
    <n v="0.3947"/>
    <n v="2.5329648183336211"/>
    <s v="Commercial"/>
    <s v="Overvalued"/>
  </r>
  <r>
    <n v="200289"/>
    <x v="70"/>
    <s v="November"/>
    <x v="6"/>
    <x v="16"/>
    <s v="Norwalk"/>
    <s v="188 FLAX HILL RD UNIT B/6"/>
    <n v="173040"/>
    <n v="330000"/>
    <n v="0.52429999999999999"/>
    <n v="1.9070735090152566"/>
    <s v="Residential"/>
    <s v="Undervalued"/>
  </r>
  <r>
    <n v="200552"/>
    <x v="71"/>
    <s v="September"/>
    <x v="5"/>
    <x v="14"/>
    <s v="Stonington"/>
    <s v="12 CUTTER DR"/>
    <n v="213100"/>
    <n v="435000"/>
    <n v="0.48980000000000001"/>
    <n v="2.0412951665884562"/>
    <s v="Residential"/>
    <s v="Overvalued"/>
  </r>
  <r>
    <n v="200125"/>
    <x v="72"/>
    <s v="March"/>
    <x v="5"/>
    <x v="13"/>
    <s v="Essex"/>
    <s v="35 DEER LA"/>
    <n v="220500"/>
    <n v="425000"/>
    <n v="0.51880000000000004"/>
    <n v="1.9274376417233561"/>
    <s v="Residential"/>
    <s v="Undervalued"/>
  </r>
  <r>
    <n v="200236"/>
    <x v="73"/>
    <s v="March"/>
    <x v="5"/>
    <x v="13"/>
    <s v="East Lyme"/>
    <s v="8 N EDGEWOOD RD"/>
    <n v="238140"/>
    <n v="421000"/>
    <n v="0.56559999999999999"/>
    <n v="1.7678676408835139"/>
    <s v="Residential"/>
    <s v="Undervalued"/>
  </r>
  <r>
    <n v="160444"/>
    <x v="74"/>
    <s v="July"/>
    <x v="2"/>
    <x v="28"/>
    <s v="Southbury"/>
    <s v="73 B HERITAGE VILLAGE"/>
    <n v="58510"/>
    <n v="110000"/>
    <n v="0.53190909099999995"/>
    <n v="1.8800205093146471"/>
    <s v="Condo"/>
    <s v="Undervalued"/>
  </r>
  <r>
    <n v="200599"/>
    <x v="16"/>
    <s v="July"/>
    <x v="5"/>
    <x v="8"/>
    <s v="Trumbull"/>
    <s v="29 WALNUT AVE"/>
    <n v="237440"/>
    <n v="420000"/>
    <n v="0.56530000000000002"/>
    <n v="1.7688679245283019"/>
    <s v="Residential"/>
    <s v="Undervalued"/>
  </r>
  <r>
    <n v="200078"/>
    <x v="75"/>
    <s v="September"/>
    <x v="5"/>
    <x v="14"/>
    <s v="Chester"/>
    <s v="6 SUNSET AVE"/>
    <n v="250100"/>
    <n v="418800"/>
    <n v="0.59709999999999996"/>
    <n v="1.67453018792483"/>
    <s v="Residential"/>
    <s v="Undervalued"/>
  </r>
  <r>
    <n v="200305"/>
    <x v="76"/>
    <s v="January"/>
    <x v="5"/>
    <x v="11"/>
    <s v="Enfield"/>
    <s v="15 SALERNO DR"/>
    <n v="233660"/>
    <n v="410000"/>
    <n v="0.56989999999999996"/>
    <n v="1.7546862963279979"/>
    <s v="Residential"/>
    <s v="Undervalued"/>
  </r>
  <r>
    <n v="201057"/>
    <x v="77"/>
    <s v="August"/>
    <x v="5"/>
    <x v="10"/>
    <s v="New Britain"/>
    <s v="5 ARCH ST"/>
    <n v="264390"/>
    <n v="400000"/>
    <n v="0.66090000000000004"/>
    <n v="1.5129165248307426"/>
    <s v="Commercial"/>
    <s v="Undervalued"/>
  </r>
  <r>
    <n v="2001493"/>
    <x v="78"/>
    <s v="May"/>
    <x v="5"/>
    <x v="12"/>
    <s v="Stamford"/>
    <s v="18 BUNGALOW PARK"/>
    <n v="238890"/>
    <n v="400000"/>
    <n v="0.59719999999999995"/>
    <n v="1.6744108166938758"/>
    <s v="Residential"/>
    <s v="Undervalued"/>
  </r>
  <r>
    <n v="20200824"/>
    <x v="78"/>
    <s v="May"/>
    <x v="5"/>
    <x v="12"/>
    <s v="Stratford"/>
    <s v="758A QUINNIPIAC LANE"/>
    <n v="193340"/>
    <n v="395000"/>
    <n v="0.4894"/>
    <n v="2.0430329988621083"/>
    <s v="Residential"/>
    <s v="Overvalued"/>
  </r>
  <r>
    <n v="200510"/>
    <x v="79"/>
    <s v="September"/>
    <x v="5"/>
    <x v="14"/>
    <s v="East Lyme"/>
    <s v="3 CARLISE LN"/>
    <n v="212100"/>
    <n v="390500"/>
    <n v="0.54310000000000003"/>
    <n v="1.8411126826968411"/>
    <s v="Residential"/>
    <s v="Undervalued"/>
  </r>
  <r>
    <n v="200074"/>
    <x v="80"/>
    <s v="September"/>
    <x v="5"/>
    <x v="14"/>
    <s v="Cornwall"/>
    <s v="131 KENT RD"/>
    <n v="246100"/>
    <n v="385000"/>
    <n v="0.63919999999999999"/>
    <n v="1.564404713531085"/>
    <s v="Commercial"/>
    <s v="Undervalued"/>
  </r>
  <r>
    <n v="60190"/>
    <x v="81"/>
    <s v="December"/>
    <x v="9"/>
    <x v="29"/>
    <s v="Wallingford"/>
    <s v="19 TERRACE GDNS"/>
    <n v="78260"/>
    <n v="143000"/>
    <n v="0.54727272699999996"/>
    <n v="1.8272425249169435"/>
    <s v="Condo"/>
    <s v="Undervalued"/>
  </r>
  <r>
    <n v="20086"/>
    <x v="82"/>
    <s v="October"/>
    <x v="6"/>
    <x v="24"/>
    <s v="New Britain"/>
    <s v="23 PARKMORE ST"/>
    <n v="122220"/>
    <n v="223000"/>
    <n v="0.54800000000000004"/>
    <n v="1.82457862870234"/>
    <s v="Residential"/>
    <s v="Undervalued"/>
  </r>
  <r>
    <n v="200043"/>
    <x v="83"/>
    <s v="December"/>
    <x v="6"/>
    <x v="15"/>
    <s v="Killingworth"/>
    <s v="46 TITUS COAN ROAD"/>
    <n v="354040"/>
    <n v="645000"/>
    <n v="0.54879999999999995"/>
    <n v="1.8218280420291493"/>
    <s v="Residential"/>
    <s v="Undervalued"/>
  </r>
  <r>
    <n v="17128"/>
    <x v="84"/>
    <s v="April"/>
    <x v="1"/>
    <x v="30"/>
    <s v="Darien"/>
    <s v="54 GIDEON LANE"/>
    <n v="132650"/>
    <n v="241368"/>
    <n v="0.54949999999999999"/>
    <n v="1.8195853750471165"/>
    <s v="Condo"/>
    <s v="Undervalued"/>
  </r>
  <r>
    <n v="200245"/>
    <x v="85"/>
    <s v="January"/>
    <x v="5"/>
    <x v="11"/>
    <s v="Shelton"/>
    <s v="172-176 CORAM AVE"/>
    <n v="310660"/>
    <n v="375000"/>
    <n v="0.82840000000000003"/>
    <n v="1.2071074486576965"/>
    <s v="Commercial"/>
    <s v="Undervalued"/>
  </r>
  <r>
    <n v="2000230"/>
    <x v="86"/>
    <s v="March"/>
    <x v="5"/>
    <x v="13"/>
    <s v="Cheshire"/>
    <s v="50 ABBEY CT"/>
    <n v="210940"/>
    <n v="365000"/>
    <n v="0.57789999999999997"/>
    <n v="1.7303498625201479"/>
    <s v="Residential"/>
    <s v="Undervalued"/>
  </r>
  <r>
    <n v="201129"/>
    <x v="87"/>
    <s v="August"/>
    <x v="5"/>
    <x v="10"/>
    <s v="Hartford"/>
    <s v="20 GIDDINGS ST"/>
    <n v="114954"/>
    <n v="360000"/>
    <n v="0.31929999999999997"/>
    <n v="3.1316874575917324"/>
    <s v="Residential"/>
    <s v="Overvalued"/>
  </r>
  <r>
    <n v="200233"/>
    <x v="88"/>
    <s v="December"/>
    <x v="6"/>
    <x v="15"/>
    <s v="Trumbull"/>
    <s v="8 TURNER AVE"/>
    <n v="202160"/>
    <n v="365000"/>
    <n v="0.55379999999999996"/>
    <n v="1.8055005935892363"/>
    <s v="Residential"/>
    <s v="Undervalued"/>
  </r>
  <r>
    <n v="20293"/>
    <x v="89"/>
    <s v="June"/>
    <x v="5"/>
    <x v="7"/>
    <s v="Plainfield"/>
    <s v="404 PLAINFIELD PIKE RD"/>
    <n v="193560"/>
    <n v="360000"/>
    <n v="0.53759999999999997"/>
    <n v="1.8598884066955983"/>
    <s v="Residential"/>
    <s v="Undervalued"/>
  </r>
  <r>
    <n v="200652"/>
    <x v="90"/>
    <s v="June"/>
    <x v="5"/>
    <x v="7"/>
    <s v="Enfield"/>
    <s v="12 KELLY DR"/>
    <n v="203470"/>
    <n v="360000"/>
    <n v="0.56510000000000005"/>
    <n v="1.7693025998918759"/>
    <s v="Residential"/>
    <s v="Undervalued"/>
  </r>
  <r>
    <n v="200175"/>
    <x v="91"/>
    <s v="October"/>
    <x v="6"/>
    <x v="24"/>
    <s v="Milford"/>
    <s v="16 SEABREEZE AVE"/>
    <n v="180950"/>
    <n v="325000"/>
    <n v="0.55669999999999997"/>
    <n v="1.7960762641613706"/>
    <s v="Residential"/>
    <s v="Undervalued"/>
  </r>
  <r>
    <n v="200125"/>
    <x v="35"/>
    <s v="September"/>
    <x v="5"/>
    <x v="14"/>
    <s v="Harwinton"/>
    <s v="167 BIRGE PARK RD"/>
    <n v="194790"/>
    <n v="360000"/>
    <n v="0.54100000000000004"/>
    <n v="1.8481441552441091"/>
    <s v="Residential"/>
    <s v="Undervalued"/>
  </r>
  <r>
    <n v="171321"/>
    <x v="92"/>
    <s v="May"/>
    <x v="1"/>
    <x v="1"/>
    <s v="Bridgeport"/>
    <s v="50 GREENHOUSE RD UNIT 57C"/>
    <n v="59750"/>
    <n v="107000"/>
    <n v="0.55840000000000001"/>
    <n v="1.7907949790794979"/>
    <s v="Condo"/>
    <s v="Undervalued"/>
  </r>
  <r>
    <n v="2000022"/>
    <x v="54"/>
    <s v="October"/>
    <x v="6"/>
    <x v="24"/>
    <s v="Naugatuck"/>
    <s v="41 ANDERSON ST"/>
    <n v="108070"/>
    <n v="193500"/>
    <n v="0.5585"/>
    <n v="1.7905061534190803"/>
    <s v="Residential"/>
    <s v="Undervalued"/>
  </r>
  <r>
    <n v="2002299"/>
    <x v="93"/>
    <s v="August"/>
    <x v="5"/>
    <x v="10"/>
    <s v="Stamford"/>
    <s v="1400 BEDFORD STREET #4"/>
    <n v="169050"/>
    <n v="355000"/>
    <n v="0.47610000000000002"/>
    <n v="2.0999704229517895"/>
    <s v="Residential"/>
    <s v="Overvalued"/>
  </r>
  <r>
    <n v="202876"/>
    <x v="94"/>
    <s v="August"/>
    <x v="5"/>
    <x v="10"/>
    <s v="Norwalk"/>
    <s v="17 HADIK PKWY"/>
    <n v="256270"/>
    <n v="355000"/>
    <n v="0.7218"/>
    <n v="1.3852577359815819"/>
    <s v="Residential"/>
    <s v="Undervalued"/>
  </r>
  <r>
    <n v="200656"/>
    <x v="95"/>
    <s v="April"/>
    <x v="5"/>
    <x v="6"/>
    <s v="Norwich"/>
    <s v="112-116 MAIN ST"/>
    <n v="262300"/>
    <n v="352000"/>
    <n v="0.74509999999999998"/>
    <n v="1.341974837971788"/>
    <s v="Commercial"/>
    <s v="Undervalued"/>
  </r>
  <r>
    <n v="200106"/>
    <x v="96"/>
    <s v="November"/>
    <x v="6"/>
    <x v="16"/>
    <s v="Torrington"/>
    <s v="2651 TORRINGFORD W ST"/>
    <n v="126570"/>
    <n v="225005"/>
    <n v="0.5625"/>
    <n v="1.7777119380579915"/>
    <s v="Residential"/>
    <s v="Undervalued"/>
  </r>
  <r>
    <n v="160697"/>
    <x v="97"/>
    <s v="February"/>
    <x v="2"/>
    <x v="31"/>
    <s v="Stamford"/>
    <s v="22 GLENBROOK ROAD # 103"/>
    <n v="47960"/>
    <n v="85000"/>
    <n v="0.56423529400000005"/>
    <n v="1.7723102585487907"/>
    <s v="Condo"/>
    <s v="Undervalued"/>
  </r>
  <r>
    <n v="200086"/>
    <x v="98"/>
    <s v="August"/>
    <x v="5"/>
    <x v="10"/>
    <s v="Bethlehem"/>
    <s v="39 WOODLAND RD"/>
    <n v="168900"/>
    <n v="352000"/>
    <n v="0.4798"/>
    <n v="2.0840734162226169"/>
    <s v="Residential"/>
    <s v="Overvalued"/>
  </r>
  <r>
    <n v="200210"/>
    <x v="8"/>
    <s v="July"/>
    <x v="5"/>
    <x v="8"/>
    <s v="Mansfield"/>
    <s v="156 HILLYNDALE RD"/>
    <n v="169400"/>
    <n v="345000"/>
    <n v="0.49099999999999999"/>
    <n v="2.0365997638724913"/>
    <s v="Residential"/>
    <s v="Overvalued"/>
  </r>
  <r>
    <n v="200149"/>
    <x v="8"/>
    <s v="July"/>
    <x v="5"/>
    <x v="8"/>
    <s v="Thomaston"/>
    <s v="97 TWIN POND RD"/>
    <n v="204000"/>
    <n v="337500"/>
    <n v="0.60440000000000005"/>
    <n v="1.6544117647058822"/>
    <s v="Residential"/>
    <s v="Undervalued"/>
  </r>
  <r>
    <n v="20200059"/>
    <x v="54"/>
    <s v="October"/>
    <x v="6"/>
    <x v="24"/>
    <s v="Stratford"/>
    <s v="653B OSAGE LANE"/>
    <n v="156380"/>
    <n v="276000"/>
    <n v="0.5665"/>
    <n v="1.7649315769279958"/>
    <s v="Residential"/>
    <s v="Undervalued"/>
  </r>
  <r>
    <n v="161740"/>
    <x v="99"/>
    <s v="August"/>
    <x v="2"/>
    <x v="32"/>
    <s v="Stamford"/>
    <s v="44 STRAWBERRY HILL AVE #3P"/>
    <n v="102440"/>
    <n v="180450"/>
    <n v="0.56769188100000001"/>
    <n v="1.761518937914877"/>
    <s v="Condo"/>
    <s v="Undervalued"/>
  </r>
  <r>
    <n v="200522"/>
    <x v="18"/>
    <s v="March"/>
    <x v="5"/>
    <x v="13"/>
    <s v="Norwich"/>
    <s v="49 WHITE PLAINS RD"/>
    <n v="174400"/>
    <n v="335000"/>
    <n v="0.52049999999999996"/>
    <n v="1.9208715596330275"/>
    <s v="Residential"/>
    <s v="Undervalued"/>
  </r>
  <r>
    <n v="20102"/>
    <x v="83"/>
    <s v="December"/>
    <x v="6"/>
    <x v="15"/>
    <s v="Watertown"/>
    <s v="12 CHARLES ST"/>
    <n v="127000"/>
    <n v="223000"/>
    <n v="0.56950000000000001"/>
    <n v="1.7559055118110236"/>
    <s v="Residential"/>
    <s v="Undervalued"/>
  </r>
  <r>
    <n v="200494"/>
    <x v="100"/>
    <s v="February"/>
    <x v="5"/>
    <x v="9"/>
    <s v="West Hartford"/>
    <s v="82 WHITE AVENUE"/>
    <n v="181720"/>
    <n v="327900"/>
    <n v="0.55410000000000004"/>
    <n v="1.8044243891701519"/>
    <s v="Residential"/>
    <s v="Undervalued"/>
  </r>
  <r>
    <n v="2020348"/>
    <x v="101"/>
    <s v="September"/>
    <x v="5"/>
    <x v="14"/>
    <s v="Ansonia"/>
    <s v="230 WAKELEE AVE"/>
    <n v="150500"/>
    <n v="325000"/>
    <n v="0.46300000000000002"/>
    <n v="2.1594684385382061"/>
    <s v="Commercial"/>
    <s v="Overvalued"/>
  </r>
  <r>
    <n v="201443"/>
    <x v="80"/>
    <s v="September"/>
    <x v="5"/>
    <x v="14"/>
    <s v="Danbury"/>
    <s v="4 COOPER RD"/>
    <n v="158700"/>
    <n v="325000"/>
    <n v="0.48830000000000001"/>
    <n v="2.0478890989287963"/>
    <s v="Residential"/>
    <s v="Overvalued"/>
  </r>
  <r>
    <n v="200035"/>
    <x v="91"/>
    <s v="October"/>
    <x v="6"/>
    <x v="24"/>
    <s v="Colchester"/>
    <s v="160 SHADBUSH DR"/>
    <n v="223900"/>
    <n v="392000"/>
    <n v="0.57110000000000005"/>
    <n v="1.7507815989280928"/>
    <s v="Residential"/>
    <s v="Undervalued"/>
  </r>
  <r>
    <n v="201078"/>
    <x v="102"/>
    <s v="December"/>
    <x v="6"/>
    <x v="15"/>
    <s v="Griswold"/>
    <s v="22 CROSS RD"/>
    <n v="173040"/>
    <n v="302000"/>
    <n v="0.57289999999999996"/>
    <n v="1.7452612112806287"/>
    <s v="Residential"/>
    <s v="Undervalued"/>
  </r>
  <r>
    <n v="2000448"/>
    <x v="103"/>
    <s v="June"/>
    <x v="5"/>
    <x v="7"/>
    <s v="Wethersfield"/>
    <s v="938 RIDGE RD"/>
    <n v="158870"/>
    <n v="315000"/>
    <n v="0.50429999999999997"/>
    <n v="1.9827531944357022"/>
    <s v="Residential"/>
    <s v="Undervalued"/>
  </r>
  <r>
    <n v="20492"/>
    <x v="87"/>
    <s v="August"/>
    <x v="5"/>
    <x v="10"/>
    <s v="Plainfield"/>
    <s v="22 FERNWOOD ST"/>
    <n v="142910"/>
    <n v="310000"/>
    <n v="0.46100000000000002"/>
    <n v="2.1691973969631237"/>
    <s v="Residential"/>
    <s v="Overvalued"/>
  </r>
  <r>
    <n v="200700"/>
    <x v="104"/>
    <s v="July"/>
    <x v="5"/>
    <x v="8"/>
    <s v="Enfield"/>
    <s v="8 SHANNON DR"/>
    <n v="161590"/>
    <n v="310000"/>
    <n v="0.5212"/>
    <n v="1.9184355467541307"/>
    <s v="Residential"/>
    <s v="Undervalued"/>
  </r>
  <r>
    <n v="200376"/>
    <x v="105"/>
    <s v="January"/>
    <x v="5"/>
    <x v="11"/>
    <s v="West Hartford"/>
    <s v="1838 ASYLUM AVENUE"/>
    <n v="216580"/>
    <n v="305000"/>
    <n v="0.71"/>
    <n v="1.4082556099362822"/>
    <s v="Residential"/>
    <s v="Undervalued"/>
  </r>
  <r>
    <n v="70073"/>
    <x v="106"/>
    <s v="March"/>
    <x v="8"/>
    <x v="33"/>
    <s v="Canton"/>
    <s v="8 BROOKVIEW CIRCLE"/>
    <n v="126000"/>
    <n v="217500"/>
    <n v="0.579310345"/>
    <n v="1.7261904761904763"/>
    <s v="Condo"/>
    <s v="Undervalued"/>
  </r>
  <r>
    <n v="200354"/>
    <x v="107"/>
    <s v="December"/>
    <x v="6"/>
    <x v="15"/>
    <s v="Bristol"/>
    <s v="391 TIFFANY LA"/>
    <n v="173740"/>
    <n v="299000"/>
    <n v="0.58099999999999996"/>
    <n v="1.720962357545758"/>
    <s v="Residential"/>
    <s v="Undervalued"/>
  </r>
  <r>
    <n v="200961"/>
    <x v="45"/>
    <s v="July"/>
    <x v="5"/>
    <x v="8"/>
    <s v="Meriden"/>
    <s v="5                    2 ROYAL OAK CIR"/>
    <n v="130340"/>
    <n v="305000"/>
    <n v="0.42730000000000001"/>
    <n v="2.340033757864048"/>
    <s v="Residential"/>
    <s v="Overvalued"/>
  </r>
  <r>
    <n v="200557"/>
    <x v="108"/>
    <s v="March"/>
    <x v="5"/>
    <x v="13"/>
    <s v="West Hartford"/>
    <s v="23 TIMBERWOOD ROAD"/>
    <n v="166670"/>
    <n v="305000"/>
    <n v="0.5464"/>
    <n v="1.8299634007319854"/>
    <s v="Residential"/>
    <s v="Undervalued"/>
  </r>
  <r>
    <n v="2000212"/>
    <x v="109"/>
    <s v="October"/>
    <x v="6"/>
    <x v="24"/>
    <s v="Stamford"/>
    <s v="197 BRIDGE STREET # 3"/>
    <n v="199330"/>
    <n v="342500"/>
    <n v="0.58189999999999997"/>
    <n v="1.7182561581297346"/>
    <s v="Residential"/>
    <s v="Undervalued"/>
  </r>
  <r>
    <n v="200484"/>
    <x v="8"/>
    <s v="July"/>
    <x v="5"/>
    <x v="8"/>
    <s v="Vernon"/>
    <s v="90 MONTAUK DR"/>
    <n v="126800"/>
    <n v="300000"/>
    <n v="0.42259999999999998"/>
    <n v="2.3659305993690851"/>
    <s v="Residential"/>
    <s v="Overvalued"/>
  </r>
  <r>
    <n v="70130"/>
    <x v="110"/>
    <s v="August"/>
    <x v="8"/>
    <x v="34"/>
    <s v="Putnam"/>
    <s v="257 SABIN ST #18"/>
    <n v="91700"/>
    <n v="157000"/>
    <n v="0.58407643300000001"/>
    <n v="1.7121046892039258"/>
    <s v="Condo"/>
    <s v="Undervalued"/>
  </r>
  <r>
    <n v="130962"/>
    <x v="111"/>
    <s v="September"/>
    <x v="10"/>
    <x v="35"/>
    <s v="Fairfield"/>
    <s v="48 GATE RIDGE ROAD"/>
    <n v="301070"/>
    <n v="515000"/>
    <n v="0.58460194200000004"/>
    <n v="1.7105656491845751"/>
    <s v="Condo"/>
    <s v="Undervalued"/>
  </r>
  <r>
    <n v="90347"/>
    <x v="112"/>
    <s v="December"/>
    <x v="7"/>
    <x v="36"/>
    <s v="Waterbury"/>
    <s v="210 STONEFIELD DR #48"/>
    <n v="87700"/>
    <n v="149850"/>
    <n v="0.58525191899999995"/>
    <n v="1.7086659064994298"/>
    <s v="Condo"/>
    <s v="Undervalued"/>
  </r>
  <r>
    <n v="20200070"/>
    <x v="113"/>
    <s v="April"/>
    <x v="5"/>
    <x v="6"/>
    <s v="Sharon"/>
    <s v="101 MILLERTON RD"/>
    <n v="170200"/>
    <n v="287000"/>
    <n v="0.59299999999999997"/>
    <n v="1.6862514688601644"/>
    <s v="Residential"/>
    <s v="Undervalued"/>
  </r>
  <r>
    <n v="20002"/>
    <x v="114"/>
    <s v="October"/>
    <x v="6"/>
    <x v="24"/>
    <s v="Ashford"/>
    <s v="390 TURNPIKE RD"/>
    <n v="253000"/>
    <n v="430000"/>
    <n v="0.58830000000000005"/>
    <n v="1.6996047430830039"/>
    <s v="Residential"/>
    <s v="Undervalued"/>
  </r>
  <r>
    <n v="200709"/>
    <x v="115"/>
    <s v="April"/>
    <x v="5"/>
    <x v="6"/>
    <s v="Manchester"/>
    <s v="152 GREEN ROAD"/>
    <n v="138100"/>
    <n v="282500"/>
    <n v="0.48884955800000002"/>
    <n v="2.0456191165821869"/>
    <s v="Residential"/>
    <s v="Overvalued"/>
  </r>
  <r>
    <n v="200117"/>
    <x v="116"/>
    <s v="April"/>
    <x v="5"/>
    <x v="6"/>
    <s v="Canton"/>
    <s v="52 COUNTRY LANE"/>
    <n v="160850"/>
    <n v="280000"/>
    <n v="0.57440000000000002"/>
    <n v="1.7407522536524713"/>
    <s v="Residential"/>
    <s v="Undervalued"/>
  </r>
  <r>
    <n v="20899"/>
    <x v="117"/>
    <s v="June"/>
    <x v="5"/>
    <x v="7"/>
    <s v="Hartford"/>
    <s v="159 RUSS ST"/>
    <n v="137270"/>
    <n v="278500"/>
    <n v="0.49280000000000002"/>
    <n v="2.0288482552633496"/>
    <s v="Apartments"/>
    <s v="Overvalued"/>
  </r>
  <r>
    <n v="70101"/>
    <x v="118"/>
    <s v="March"/>
    <x v="8"/>
    <x v="33"/>
    <s v="Monroe"/>
    <s v="17 PEQUOT CT"/>
    <n v="342230"/>
    <n v="575000"/>
    <n v="0.59518260899999997"/>
    <n v="1.6801566198170821"/>
    <s v="Condo"/>
    <s v="Undervalued"/>
  </r>
  <r>
    <n v="2000327"/>
    <x v="119"/>
    <s v="March"/>
    <x v="5"/>
    <x v="13"/>
    <s v="Naugatuck"/>
    <s v="31 PILGRIM LN"/>
    <n v="157810"/>
    <n v="276500"/>
    <n v="0.57069999999999999"/>
    <n v="1.7521069640707179"/>
    <s v="Residential"/>
    <s v="Undervalued"/>
  </r>
  <r>
    <n v="201245"/>
    <x v="120"/>
    <s v="September"/>
    <x v="5"/>
    <x v="14"/>
    <s v="Meriden"/>
    <s v="223 REYNOLDS DR"/>
    <n v="128170"/>
    <n v="260000"/>
    <n v="0.4929"/>
    <n v="2.0285558242958572"/>
    <s v="Residential"/>
    <s v="Overvalued"/>
  </r>
  <r>
    <n v="2000513"/>
    <x v="12"/>
    <s v="July"/>
    <x v="5"/>
    <x v="8"/>
    <s v="Wethersfield"/>
    <s v="215 NOTT ST"/>
    <n v="144050"/>
    <n v="257500"/>
    <n v="0.55940000000000001"/>
    <n v="1.7875737591114196"/>
    <s v="Residential"/>
    <s v="Undervalued"/>
  </r>
  <r>
    <n v="141056"/>
    <x v="121"/>
    <s v="June"/>
    <x v="11"/>
    <x v="37"/>
    <s v="Stamford"/>
    <s v="1707 SUMMER STREET UT 3"/>
    <n v="314280"/>
    <n v="526000"/>
    <n v="0.59749049399999998"/>
    <n v="1.673666793941708"/>
    <s v="Condo"/>
    <s v="Undervalued"/>
  </r>
  <r>
    <n v="20118"/>
    <x v="51"/>
    <s v="September"/>
    <x v="5"/>
    <x v="14"/>
    <s v="Sterling"/>
    <s v="174 CHURCH ST"/>
    <n v="92890"/>
    <n v="255000"/>
    <n v="0.36420000000000002"/>
    <n v="2.7451824738938528"/>
    <s v="Residential"/>
    <s v="Overvalued"/>
  </r>
  <r>
    <n v="180650"/>
    <x v="122"/>
    <s v="January"/>
    <x v="12"/>
    <x v="38"/>
    <s v="Bridgeport"/>
    <s v="333 VINCELLETTE ST UNIT 82"/>
    <n v="64720"/>
    <n v="108000"/>
    <n v="0.59919999999999995"/>
    <n v="1.6687268232385661"/>
    <s v="Condo"/>
    <s v="Undervalued"/>
  </r>
  <r>
    <n v="190443"/>
    <x v="123"/>
    <s v="April"/>
    <x v="6"/>
    <x v="39"/>
    <s v="Middletown"/>
    <s v="94 CYNTHIA LA #B-6"/>
    <n v="92280"/>
    <n v="153000"/>
    <n v="0.60309999999999997"/>
    <n v="1.6579973992197659"/>
    <s v="Condo"/>
    <s v="Undervalued"/>
  </r>
  <r>
    <n v="161101"/>
    <x v="124"/>
    <s v="May"/>
    <x v="2"/>
    <x v="40"/>
    <s v="Stamford"/>
    <s v="511 WEST MAIN STREET # 11"/>
    <n v="180350"/>
    <n v="299000"/>
    <n v="0.60317725799999999"/>
    <n v="1.6578874410867757"/>
    <s v="Condo"/>
    <s v="Undervalued"/>
  </r>
  <r>
    <n v="70491"/>
    <x v="125"/>
    <s v="May"/>
    <x v="8"/>
    <x v="23"/>
    <s v="Hamden"/>
    <s v="74 SHEPARD AVE."/>
    <n v="101990"/>
    <n v="169000"/>
    <n v="0.60349112400000005"/>
    <n v="1.6570251985488773"/>
    <s v="Condo"/>
    <s v="Undervalued"/>
  </r>
  <r>
    <n v="2000381"/>
    <x v="101"/>
    <s v="September"/>
    <x v="5"/>
    <x v="14"/>
    <s v="Bloomfield"/>
    <s v="9 SADDLE RIDGE"/>
    <n v="163730"/>
    <n v="250000"/>
    <n v="0.65490000000000004"/>
    <n v="1.5269040493495389"/>
    <s v="Residential"/>
    <s v="Undervalued"/>
  </r>
  <r>
    <n v="160293"/>
    <x v="126"/>
    <s v="April"/>
    <x v="2"/>
    <x v="41"/>
    <s v="Southbury"/>
    <s v="329 A HERITAGE VILLAGE"/>
    <n v="102830"/>
    <n v="170000"/>
    <n v="0.60488235300000004"/>
    <n v="1.6532140425945736"/>
    <s v="Condo"/>
    <s v="Undervalued"/>
  </r>
  <r>
    <n v="201295"/>
    <x v="127"/>
    <s v="September"/>
    <x v="5"/>
    <x v="14"/>
    <s v="Bristol"/>
    <s v="609 CAMP ST"/>
    <n v="144340"/>
    <n v="249900"/>
    <n v="0.57750000000000001"/>
    <n v="1.7313288069835111"/>
    <s v="Residential"/>
    <s v="Undervalued"/>
  </r>
  <r>
    <n v="160943"/>
    <x v="128"/>
    <s v="May"/>
    <x v="2"/>
    <x v="40"/>
    <s v="Norwalk"/>
    <s v="71 AIKEN ST"/>
    <n v="189500"/>
    <n v="313000"/>
    <n v="0.60543130999999994"/>
    <n v="1.6517150395778364"/>
    <s v="Condo"/>
    <s v="Undervalued"/>
  </r>
  <r>
    <n v="200226"/>
    <x v="129"/>
    <s v="December"/>
    <x v="6"/>
    <x v="15"/>
    <s v="Enfield"/>
    <s v="106 RAFFIA RD"/>
    <n v="145570"/>
    <n v="240000"/>
    <n v="0.60650000000000004"/>
    <n v="1.6486913512399533"/>
    <s v="Residential"/>
    <s v="Undervalued"/>
  </r>
  <r>
    <n v="20565"/>
    <x v="50"/>
    <s v="March"/>
    <x v="5"/>
    <x v="13"/>
    <s v="Hartford"/>
    <s v="31 EATON ST"/>
    <n v="61915"/>
    <n v="249000"/>
    <n v="0.24859999999999999"/>
    <n v="4.021642574497295"/>
    <s v="Residential"/>
    <s v="Overvalued"/>
  </r>
  <r>
    <n v="200025"/>
    <x v="130"/>
    <s v="October"/>
    <x v="6"/>
    <x v="24"/>
    <s v="Suffield"/>
    <s v="930 BRANCH RD"/>
    <n v="159180"/>
    <n v="261000"/>
    <n v="0.60980000000000001"/>
    <n v="1.6396532227666791"/>
    <s v="Residential"/>
    <s v="Undervalued"/>
  </r>
  <r>
    <n v="200032"/>
    <x v="131"/>
    <s v="October"/>
    <x v="6"/>
    <x v="24"/>
    <s v="Bristol"/>
    <s v="9 LESLIE COURT"/>
    <n v="94920"/>
    <n v="155000"/>
    <n v="0.61229999999999996"/>
    <n v="1.6329540665823852"/>
    <s v="Residential"/>
    <s v="Undervalued"/>
  </r>
  <r>
    <n v="200101"/>
    <x v="132"/>
    <s v="January"/>
    <x v="5"/>
    <x v="11"/>
    <s v="Coventry"/>
    <s v="74 LAKEVIEW DR"/>
    <n v="142800"/>
    <n v="245000"/>
    <n v="0.58279999999999998"/>
    <n v="1.7156862745098038"/>
    <s v="Residential"/>
    <s v="Undervalued"/>
  </r>
  <r>
    <n v="161240"/>
    <x v="133"/>
    <s v="July"/>
    <x v="2"/>
    <x v="28"/>
    <s v="Norwalk"/>
    <s v="18 PROSPECT ST"/>
    <n v="95050"/>
    <n v="155000"/>
    <n v="0.61322580599999998"/>
    <n v="1.6307206733298265"/>
    <s v="Condo"/>
    <s v="Undervalued"/>
  </r>
  <r>
    <n v="2020065"/>
    <x v="134"/>
    <s v="December"/>
    <x v="6"/>
    <x v="15"/>
    <s v="Tolland"/>
    <s v="H2 TOLLAND MEADOWS"/>
    <n v="55200"/>
    <n v="90000"/>
    <n v="0.61329999999999996"/>
    <n v="1.6304347826086956"/>
    <s v="Residential"/>
    <s v="Undervalued"/>
  </r>
  <r>
    <n v="150034"/>
    <x v="135"/>
    <s v="May"/>
    <x v="0"/>
    <x v="42"/>
    <s v="Sharon"/>
    <s v="9 GREAT ELM DR #1"/>
    <n v="309800"/>
    <n v="505000"/>
    <n v="0.61346534699999999"/>
    <n v="1.6300839251129762"/>
    <s v="Condo"/>
    <s v="Undervalued"/>
  </r>
  <r>
    <n v="200537"/>
    <x v="136"/>
    <s v="May"/>
    <x v="5"/>
    <x v="12"/>
    <s v="Enfield"/>
    <s v="104 BREWSTER RD"/>
    <n v="117380"/>
    <n v="245000"/>
    <n v="0.47910000000000003"/>
    <n v="2.0872380303288467"/>
    <s v="Residential"/>
    <s v="Overvalued"/>
  </r>
  <r>
    <n v="200264"/>
    <x v="137"/>
    <s v="June"/>
    <x v="5"/>
    <x v="7"/>
    <s v="New Fairfield"/>
    <s v="10 BROOK DR"/>
    <n v="107500"/>
    <n v="240000"/>
    <n v="0.44790000000000002"/>
    <n v="2.2325581395348837"/>
    <s v="Residential"/>
    <s v="Overvalued"/>
  </r>
  <r>
    <n v="70355"/>
    <x v="138"/>
    <s v="May"/>
    <x v="8"/>
    <x v="23"/>
    <s v="Wallingford"/>
    <s v="25 ANGELA DR"/>
    <n v="179830"/>
    <n v="292500"/>
    <n v="0.61480341900000002"/>
    <n v="1.6265361730523271"/>
    <s v="Condo"/>
    <s v="Undervalued"/>
  </r>
  <r>
    <n v="200886"/>
    <x v="78"/>
    <s v="May"/>
    <x v="5"/>
    <x v="12"/>
    <s v="Danbury"/>
    <s v="86 MERRIMAC ST B"/>
    <n v="189800"/>
    <n v="240000"/>
    <n v="0.79079999999999995"/>
    <n v="1.2644889357218125"/>
    <s v="Residential"/>
    <s v="Undervalued"/>
  </r>
  <r>
    <n v="201133"/>
    <x v="139"/>
    <s v="September"/>
    <x v="5"/>
    <x v="14"/>
    <s v="New Britain"/>
    <s v="103 LEWIS RD"/>
    <n v="123480"/>
    <n v="235000"/>
    <n v="0.52539999999999998"/>
    <n v="1.9031422092646582"/>
    <s v="Residential"/>
    <s v="Undervalued"/>
  </r>
  <r>
    <n v="160010"/>
    <x v="140"/>
    <s v="October"/>
    <x v="0"/>
    <x v="43"/>
    <s v="Rocky Hill"/>
    <s v="29A CARILLON DRIVE"/>
    <n v="76930"/>
    <n v="124500"/>
    <n v="0.61791164700000001"/>
    <n v="1.6183543481086702"/>
    <s v="Condo"/>
    <s v="Undervalued"/>
  </r>
  <r>
    <n v="20014"/>
    <x v="141"/>
    <s v="October"/>
    <x v="6"/>
    <x v="24"/>
    <s v="Monroe"/>
    <s v="22 MEADOWVIEW TER"/>
    <n v="189100"/>
    <n v="305000"/>
    <n v="0.62"/>
    <n v="1.6129032258064515"/>
    <s v="Residential"/>
    <s v="Undervalued"/>
  </r>
  <r>
    <n v="200207"/>
    <x v="137"/>
    <s v="June"/>
    <x v="5"/>
    <x v="7"/>
    <s v="Rocky Hill"/>
    <s v="402 THE MEWS"/>
    <n v="120890"/>
    <n v="234900"/>
    <n v="0.51459999999999995"/>
    <n v="1.9430887583753826"/>
    <s v="Residential"/>
    <s v="Undervalued"/>
  </r>
  <r>
    <n v="160717"/>
    <x v="142"/>
    <s v="September"/>
    <x v="2"/>
    <x v="2"/>
    <s v="Wallingford"/>
    <s v="47 OLDE VILLAGE CIR"/>
    <n v="199400"/>
    <n v="320000"/>
    <n v="0.62312500000000004"/>
    <n v="1.60481444332999"/>
    <s v="Condo"/>
    <s v="Undervalued"/>
  </r>
  <r>
    <n v="200938"/>
    <x v="143"/>
    <s v="May"/>
    <x v="5"/>
    <x v="12"/>
    <s v="Danbury"/>
    <s v="15-17 BOUGHTON ST #1-5"/>
    <n v="118900"/>
    <n v="230000"/>
    <n v="0.51690000000000003"/>
    <n v="1.9343986543313709"/>
    <s v="Residential"/>
    <s v="Undervalued"/>
  </r>
  <r>
    <n v="20059"/>
    <x v="144"/>
    <s v="February"/>
    <x v="5"/>
    <x v="9"/>
    <s v="Lebanon"/>
    <s v="54 FIRST ST"/>
    <n v="121510"/>
    <n v="229900"/>
    <n v="0.52849999999999997"/>
    <n v="1.8920253477080076"/>
    <s v="Residential"/>
    <s v="Undervalued"/>
  </r>
  <r>
    <n v="70561"/>
    <x v="145"/>
    <s v="September"/>
    <x v="8"/>
    <x v="44"/>
    <s v="Shelton"/>
    <s v="11 RUSHBROOKE LN"/>
    <n v="342650"/>
    <n v="542500"/>
    <n v="0.63161290299999995"/>
    <n v="1.5832482124616956"/>
    <s v="Condo"/>
    <s v="Undervalued"/>
  </r>
  <r>
    <n v="2000344"/>
    <x v="146"/>
    <s v="November"/>
    <x v="6"/>
    <x v="16"/>
    <s v="Stamford"/>
    <s v="11 LYNAM ROAD"/>
    <n v="539700"/>
    <n v="850000"/>
    <n v="0.63490000000000002"/>
    <n v="1.5749490457661663"/>
    <s v="Residential"/>
    <s v="Undervalued"/>
  </r>
  <r>
    <n v="160178"/>
    <x v="147"/>
    <s v="June"/>
    <x v="2"/>
    <x v="3"/>
    <s v="Old Saybrook"/>
    <s v="81 COULTER ST #14"/>
    <n v="363600"/>
    <n v="572500"/>
    <n v="0.63510917"/>
    <n v="1.5745324532453244"/>
    <s v="Condo"/>
    <s v="Undervalued"/>
  </r>
  <r>
    <n v="170327"/>
    <x v="148"/>
    <s v="April"/>
    <x v="1"/>
    <x v="30"/>
    <s v="Enfield"/>
    <s v="95 LAURELS B20UD"/>
    <n v="124660"/>
    <n v="196000"/>
    <n v="0.63600000000000001"/>
    <n v="1.5722765923311408"/>
    <s v="Condo"/>
    <s v="Undervalued"/>
  </r>
  <r>
    <n v="200374"/>
    <x v="149"/>
    <s v="May"/>
    <x v="5"/>
    <x v="12"/>
    <s v="Vernon"/>
    <s v="27 TRACY DRIVE"/>
    <n v="129190"/>
    <n v="226800"/>
    <n v="0.5696"/>
    <n v="1.7555538354361793"/>
    <s v="Residential"/>
    <s v="Undervalued"/>
  </r>
  <r>
    <n v="20614"/>
    <x v="113"/>
    <s v="April"/>
    <x v="5"/>
    <x v="6"/>
    <s v="Hartford"/>
    <s v="55 STERLING ST"/>
    <n v="52500"/>
    <n v="220000"/>
    <n v="0.23860000000000001"/>
    <n v="4.1904761904761907"/>
    <s v="Residential"/>
    <s v="Overvalued"/>
  </r>
  <r>
    <n v="200179"/>
    <x v="7"/>
    <s v="June"/>
    <x v="5"/>
    <x v="7"/>
    <s v="Portland"/>
    <s v="724 GLASTONBURY TPKE"/>
    <n v="134750"/>
    <n v="220000"/>
    <n v="0.61250000000000004"/>
    <n v="1.6326530612244898"/>
    <s v="Residential"/>
    <s v="Undervalued"/>
  </r>
  <r>
    <n v="908206"/>
    <x v="150"/>
    <s v="September"/>
    <x v="4"/>
    <x v="45"/>
    <s v="West Haven"/>
    <s v="155 BULL HILL LA #S2"/>
    <n v="69020"/>
    <n v="107500"/>
    <n v="0.64204651199999996"/>
    <n v="1.5575195595479572"/>
    <s v="Condo"/>
    <s v="Undervalued"/>
  </r>
  <r>
    <n v="202611"/>
    <x v="151"/>
    <s v="July"/>
    <x v="5"/>
    <x v="8"/>
    <s v="Norwalk"/>
    <s v="126 WASHINGTON ST UNIT R203"/>
    <n v="144380"/>
    <n v="217500"/>
    <n v="0.66379999999999995"/>
    <n v="1.506441335365009"/>
    <s v="Residential"/>
    <s v="Undervalued"/>
  </r>
  <r>
    <n v="200014"/>
    <x v="54"/>
    <s v="October"/>
    <x v="6"/>
    <x v="24"/>
    <s v="Westbrook"/>
    <s v="233 KENROSE TER"/>
    <n v="245790"/>
    <n v="382000"/>
    <n v="0.64339999999999997"/>
    <n v="1.554172260873103"/>
    <s v="Residential"/>
    <s v="Undervalued"/>
  </r>
  <r>
    <n v="162511"/>
    <x v="152"/>
    <s v="September"/>
    <x v="2"/>
    <x v="2"/>
    <s v="Shelton"/>
    <s v="9 SYLVESTERS WAY"/>
    <n v="306950"/>
    <n v="476549"/>
    <n v="0.64411004999999999"/>
    <n v="1.5525297279687245"/>
    <s v="Condo"/>
    <s v="Undervalued"/>
  </r>
  <r>
    <n v="201440"/>
    <x v="79"/>
    <s v="September"/>
    <x v="5"/>
    <x v="14"/>
    <s v="New Haven"/>
    <s v="889 CONGRESS AV"/>
    <n v="80150"/>
    <n v="214000"/>
    <n v="0.3745"/>
    <n v="2.6699937616968183"/>
    <s v="Residential"/>
    <s v="Overvalued"/>
  </r>
  <r>
    <n v="20064"/>
    <x v="153"/>
    <s v="August"/>
    <x v="5"/>
    <x v="10"/>
    <s v="Franklin"/>
    <s v="888 ROUTE 32"/>
    <n v="186770"/>
    <n v="209000"/>
    <n v="0.89359999999999995"/>
    <n v="1.1190233977619533"/>
    <s v="Commercial"/>
    <s v="Undervalued"/>
  </r>
  <r>
    <n v="180207"/>
    <x v="154"/>
    <s v="February"/>
    <x v="12"/>
    <x v="46"/>
    <s v="Branford"/>
    <s v="406 THOREAU ST"/>
    <n v="100800"/>
    <n v="156000"/>
    <n v="0.64615384600000003"/>
    <n v="1.5476190476190477"/>
    <s v="Condo"/>
    <s v="Undervalued"/>
  </r>
  <r>
    <n v="2000330"/>
    <x v="155"/>
    <s v="May"/>
    <x v="5"/>
    <x v="12"/>
    <s v="Cheshire"/>
    <s v="844 HIGHLAND AVE"/>
    <n v="144220"/>
    <n v="204000"/>
    <n v="0.70689999999999997"/>
    <n v="1.4145056164193592"/>
    <s v="Residential"/>
    <s v="Undervalued"/>
  </r>
  <r>
    <n v="200151"/>
    <x v="34"/>
    <s v="December"/>
    <x v="6"/>
    <x v="15"/>
    <s v="Farmington"/>
    <s v="15 MALS WAY"/>
    <n v="356410"/>
    <n v="550000"/>
    <n v="0.64800000000000002"/>
    <n v="1.543166577817682"/>
    <s v="Residential"/>
    <s v="Undervalued"/>
  </r>
  <r>
    <n v="160452"/>
    <x v="156"/>
    <s v="September"/>
    <x v="2"/>
    <x v="2"/>
    <s v="Rocky Hill"/>
    <s v="37 ROSE COURT"/>
    <n v="145950"/>
    <n v="225000"/>
    <n v="0.64866666699999997"/>
    <n v="1.5416238437821173"/>
    <s v="Condo"/>
    <s v="Undervalued"/>
  </r>
  <r>
    <n v="200007"/>
    <x v="114"/>
    <s v="October"/>
    <x v="6"/>
    <x v="24"/>
    <s v="South Windsor"/>
    <s v="23-D AMATO DR"/>
    <n v="68300"/>
    <n v="105000"/>
    <n v="0.65039999999999998"/>
    <n v="1.5373352855051245"/>
    <s v="Residential"/>
    <s v="Undervalued"/>
  </r>
  <r>
    <n v="9347"/>
    <x v="157"/>
    <s v="February"/>
    <x v="4"/>
    <x v="47"/>
    <s v="Meriden"/>
    <s v="28 STERLING VLG"/>
    <n v="93050"/>
    <n v="143000"/>
    <n v="0.65069930099999995"/>
    <n v="1.5368081676518002"/>
    <s v="Condo"/>
    <s v="Undervalued"/>
  </r>
  <r>
    <n v="20135"/>
    <x v="158"/>
    <s v="January"/>
    <x v="5"/>
    <x v="11"/>
    <s v="Plainfield"/>
    <s v="30-32 GREENE AVE"/>
    <n v="98580"/>
    <n v="200000"/>
    <n v="0.4929"/>
    <n v="2.028809089064719"/>
    <s v="Residential"/>
    <s v="Overvalued"/>
  </r>
  <r>
    <n v="90163"/>
    <x v="159"/>
    <s v="November"/>
    <x v="7"/>
    <x v="19"/>
    <s v="West Hartford"/>
    <s v="893 FARMINGTON AVE 2-2E"/>
    <n v="105000"/>
    <n v="161000"/>
    <n v="0.65217391300000005"/>
    <n v="1.5333333333333334"/>
    <s v="Condo"/>
    <s v="Undervalued"/>
  </r>
  <r>
    <n v="90113"/>
    <x v="160"/>
    <s v="December"/>
    <x v="7"/>
    <x v="36"/>
    <s v="Vernon"/>
    <s v="13 LANTERN LN"/>
    <n v="176220"/>
    <n v="270000"/>
    <n v="0.65266666699999998"/>
    <n v="1.5321756894790604"/>
    <s v="Condo"/>
    <s v="Undervalued"/>
  </r>
  <r>
    <n v="2000296"/>
    <x v="161"/>
    <s v="February"/>
    <x v="5"/>
    <x v="9"/>
    <s v="Naugatuck"/>
    <s v="464 MULBERRY ST"/>
    <n v="114660"/>
    <n v="195000"/>
    <n v="0.58799999999999997"/>
    <n v="1.7006802721088434"/>
    <s v="Residential"/>
    <s v="Undervalued"/>
  </r>
  <r>
    <n v="20000050"/>
    <x v="58"/>
    <s v="November"/>
    <x v="6"/>
    <x v="16"/>
    <s v="Brookfield"/>
    <s v="4 CHELSEA CT"/>
    <n v="105110"/>
    <n v="160000"/>
    <n v="0.65693749999999995"/>
    <n v="1.5222148225668348"/>
    <s v="Residential"/>
    <s v="Undervalued"/>
  </r>
  <r>
    <n v="2000120"/>
    <x v="162"/>
    <s v="October"/>
    <x v="6"/>
    <x v="24"/>
    <s v="Stamford"/>
    <s v="61 SEAVIEW AVENUE # 1"/>
    <n v="497000"/>
    <n v="755000"/>
    <n v="0.65820000000000001"/>
    <n v="1.5191146881287727"/>
    <s v="Residential"/>
    <s v="Undervalued"/>
  </r>
  <r>
    <n v="70149"/>
    <x v="163"/>
    <s v="February"/>
    <x v="8"/>
    <x v="48"/>
    <s v="East Haven"/>
    <s v="140 THOMPSON ST #9C"/>
    <n v="125300"/>
    <n v="190000"/>
    <n v="0.65947368399999995"/>
    <n v="1.5163607342378291"/>
    <s v="Condo"/>
    <s v="Undervalued"/>
  </r>
  <r>
    <n v="2000857"/>
    <x v="158"/>
    <s v="January"/>
    <x v="5"/>
    <x v="11"/>
    <s v="Stamford"/>
    <s v="0 SUMMER STREET #116-2A"/>
    <n v="109420"/>
    <n v="195000"/>
    <n v="0.56110000000000004"/>
    <n v="1.7821239261560957"/>
    <s v="Residential"/>
    <s v="Undervalued"/>
  </r>
  <r>
    <n v="200020"/>
    <x v="141"/>
    <s v="October"/>
    <x v="6"/>
    <x v="24"/>
    <s v="Groton"/>
    <s v="98 EAST SHORE AVE"/>
    <n v="654570"/>
    <n v="990000"/>
    <n v="0.66118181799999998"/>
    <n v="1.5124432833768733"/>
    <s v="Residential"/>
    <s v="Undervalued"/>
  </r>
  <r>
    <n v="201176"/>
    <x v="164"/>
    <s v="March"/>
    <x v="5"/>
    <x v="13"/>
    <s v="New London"/>
    <s v="400 BANK ST UNIT 201"/>
    <n v="165550"/>
    <n v="191000"/>
    <n v="0.86670000000000003"/>
    <n v="1.1537299909392933"/>
    <s v="Residential"/>
    <s v="Undervalued"/>
  </r>
  <r>
    <n v="10470"/>
    <x v="165"/>
    <s v="June"/>
    <x v="13"/>
    <x v="49"/>
    <s v="Hartford"/>
    <s v="29 MORRIS ST. UNIT M29C"/>
    <n v="27874"/>
    <n v="42000"/>
    <n v="0.66366666699999999"/>
    <n v="1.5067805123053741"/>
    <s v="Condo"/>
    <s v="Undervalued"/>
  </r>
  <r>
    <n v="200419"/>
    <x v="166"/>
    <s v="February"/>
    <x v="5"/>
    <x v="9"/>
    <s v="New Haven"/>
    <s v="769 DIXWELL AV"/>
    <n v="74200"/>
    <n v="190000"/>
    <n v="0.39050000000000001"/>
    <n v="2.5606469002695418"/>
    <s v="Residential"/>
    <s v="Overvalued"/>
  </r>
  <r>
    <n v="200010"/>
    <x v="82"/>
    <s v="October"/>
    <x v="6"/>
    <x v="24"/>
    <s v="Rocky Hill"/>
    <s v="59 HIGHCREST DRIVE"/>
    <n v="128870"/>
    <n v="193000"/>
    <n v="0.66769999999999996"/>
    <n v="1.4976332738418561"/>
    <s v="Residential"/>
    <s v="Undervalued"/>
  </r>
  <r>
    <n v="170178"/>
    <x v="167"/>
    <s v="December"/>
    <x v="2"/>
    <x v="50"/>
    <s v="New Haven"/>
    <s v="95 AUDUBON ST UNIT 38"/>
    <n v="169400"/>
    <n v="252500"/>
    <n v="0.67089108900000005"/>
    <n v="1.4905548996458087"/>
    <s v="Condo"/>
    <s v="Undervalued"/>
  </r>
  <r>
    <n v="200759"/>
    <x v="28"/>
    <s v="July"/>
    <x v="5"/>
    <x v="8"/>
    <s v="Shelton"/>
    <s v="104 MAPLE AVE"/>
    <n v="144410"/>
    <n v="185000"/>
    <n v="0.78049999999999997"/>
    <n v="1.2810747178173256"/>
    <s v="Residential"/>
    <s v="Undervalued"/>
  </r>
  <r>
    <n v="160427"/>
    <x v="168"/>
    <s v="August"/>
    <x v="2"/>
    <x v="32"/>
    <s v="Wethersfield"/>
    <s v="9B BARRINGTON DR"/>
    <n v="113800"/>
    <n v="169000"/>
    <n v="0.67337278099999998"/>
    <n v="1.4850615114235501"/>
    <s v="Condo"/>
    <s v="Undervalued"/>
  </r>
  <r>
    <n v="170091"/>
    <x v="169"/>
    <s v="November"/>
    <x v="2"/>
    <x v="51"/>
    <s v="Branford"/>
    <s v="103 CEDAR KNOLLS"/>
    <n v="112800"/>
    <n v="167450"/>
    <n v="0.67363392099999997"/>
    <n v="1.4844858156028369"/>
    <s v="Condo"/>
    <s v="Undervalued"/>
  </r>
  <r>
    <n v="200109"/>
    <x v="83"/>
    <s v="December"/>
    <x v="6"/>
    <x v="15"/>
    <s v="Avon"/>
    <s v="57 FAR HILLS DRIVE"/>
    <n v="847520"/>
    <n v="1250000"/>
    <n v="0.67800000000000005"/>
    <n v="1.474891447989428"/>
    <s v="Residential"/>
    <s v="Undervalued"/>
  </r>
  <r>
    <n v="160400"/>
    <x v="170"/>
    <s v="June"/>
    <x v="2"/>
    <x v="3"/>
    <s v="Southbury"/>
    <s v="270 D HERITAGE VILLAGE"/>
    <n v="57720"/>
    <n v="85000"/>
    <n v="0.67905882399999995"/>
    <n v="1.4726264726264726"/>
    <s v="Condo"/>
    <s v="Undervalued"/>
  </r>
  <r>
    <n v="900251"/>
    <x v="171"/>
    <s v="May"/>
    <x v="4"/>
    <x v="52"/>
    <s v="Farmington"/>
    <s v="251 NEW BRITAIN AVE"/>
    <n v="118860"/>
    <n v="175000"/>
    <n v="0.67920000000000003"/>
    <n v="1.4723203769140165"/>
    <s v="Condo"/>
    <s v="Undervalued"/>
  </r>
  <r>
    <n v="200038"/>
    <x v="172"/>
    <s v="October"/>
    <x v="6"/>
    <x v="24"/>
    <s v="Meriden"/>
    <s v="41 SUNNY LANE"/>
    <n v="209440"/>
    <n v="307000"/>
    <n v="0.68220000000000003"/>
    <n v="1.4658135981665394"/>
    <s v="Residential"/>
    <s v="Undervalued"/>
  </r>
  <r>
    <n v="140129"/>
    <x v="173"/>
    <s v="July"/>
    <x v="11"/>
    <x v="53"/>
    <s v="North Branford"/>
    <s v="229 BRANFORD RD #222"/>
    <n v="88000"/>
    <n v="128866"/>
    <n v="0.68287989100000002"/>
    <n v="1.4643863636363637"/>
    <s v="Condo"/>
    <s v="Undervalued"/>
  </r>
  <r>
    <n v="90832"/>
    <x v="5"/>
    <s v="June"/>
    <x v="4"/>
    <x v="5"/>
    <s v="New Haven"/>
    <s v="418 WOODWARD AVE UNIT 16"/>
    <n v="99960"/>
    <n v="146000"/>
    <n v="0.68465753399999996"/>
    <n v="1.4605842336934773"/>
    <s v="Condo"/>
    <s v="Undervalued"/>
  </r>
  <r>
    <n v="20486"/>
    <x v="174"/>
    <s v="June"/>
    <x v="5"/>
    <x v="7"/>
    <s v="Southbury"/>
    <s v="808 A HERITAGE VILLAGE"/>
    <n v="92080"/>
    <n v="185000"/>
    <n v="0.49769999999999998"/>
    <n v="2.0091225021720245"/>
    <s v="Residential"/>
    <s v="Overvalued"/>
  </r>
  <r>
    <n v="2000473"/>
    <x v="149"/>
    <s v="May"/>
    <x v="5"/>
    <x v="12"/>
    <s v="Naugatuck"/>
    <s v="33 FAIRCHILD ST"/>
    <n v="98900"/>
    <n v="184500"/>
    <n v="0.53600000000000003"/>
    <n v="1.865520728008089"/>
    <s v="Residential"/>
    <s v="Undervalued"/>
  </r>
  <r>
    <n v="150007"/>
    <x v="175"/>
    <s v="October"/>
    <x v="11"/>
    <x v="54"/>
    <s v="East Granby"/>
    <s v="32 CHELSEA LANE"/>
    <n v="100900"/>
    <n v="144900"/>
    <n v="0.69634230500000005"/>
    <n v="1.4360753221010902"/>
    <s v="Condo"/>
    <s v="Undervalued"/>
  </r>
  <r>
    <n v="900152"/>
    <x v="171"/>
    <s v="May"/>
    <x v="4"/>
    <x v="52"/>
    <s v="Rocky Hill"/>
    <s v="5D CARILLON DRIVE"/>
    <n v="88620"/>
    <n v="127000"/>
    <n v="0.69779527600000002"/>
    <n v="1.4330850823741819"/>
    <s v="Condo"/>
    <s v="Undervalued"/>
  </r>
  <r>
    <n v="200527"/>
    <x v="55"/>
    <s v="March"/>
    <x v="5"/>
    <x v="13"/>
    <s v="Bristol"/>
    <s v="25 WARD ST"/>
    <n v="85680"/>
    <n v="183000"/>
    <n v="0.46810000000000002"/>
    <n v="2.1358543417366946"/>
    <s v="Residential"/>
    <s v="Overvalued"/>
  </r>
  <r>
    <n v="200362"/>
    <x v="176"/>
    <s v="May"/>
    <x v="5"/>
    <x v="12"/>
    <s v="Simsbury"/>
    <s v="75 HILLTOP DRIVE"/>
    <n v="99660"/>
    <n v="180000"/>
    <n v="0.55359999999999998"/>
    <n v="1.8061408789885611"/>
    <s v="Residential"/>
    <s v="Undervalued"/>
  </r>
  <r>
    <n v="150498"/>
    <x v="177"/>
    <s v="May"/>
    <x v="0"/>
    <x v="42"/>
    <s v="Meriden"/>
    <s v="160 SUFFOLK CT"/>
    <n v="94570"/>
    <n v="135000"/>
    <n v="0.70051851899999995"/>
    <n v="1.4275140107856614"/>
    <s v="Condo"/>
    <s v="Undervalued"/>
  </r>
  <r>
    <n v="20750"/>
    <x v="178"/>
    <s v="May"/>
    <x v="5"/>
    <x v="12"/>
    <s v="Hartford"/>
    <s v="3371 MAIN ST"/>
    <n v="126560"/>
    <n v="180000"/>
    <n v="0.70309999999999995"/>
    <n v="1.4222503160556257"/>
    <s v="Commercial"/>
    <s v="Undervalued"/>
  </r>
  <r>
    <n v="70258"/>
    <x v="179"/>
    <s v="December"/>
    <x v="3"/>
    <x v="55"/>
    <s v="W Hartford"/>
    <s v="24 WOODBURY LN"/>
    <n v="171700"/>
    <n v="244000"/>
    <n v="0.70368852500000001"/>
    <n v="1.4210832847990682"/>
    <s v="Condo"/>
    <s v="Undervalued"/>
  </r>
  <r>
    <n v="160521"/>
    <x v="180"/>
    <s v="June"/>
    <x v="2"/>
    <x v="3"/>
    <s v="Torrington"/>
    <s v="442 EVERGREEN RD"/>
    <n v="88000"/>
    <n v="125000"/>
    <n v="0.70399999999999996"/>
    <n v="1.4204545454545454"/>
    <s v="Condo"/>
    <s v="Undervalued"/>
  </r>
  <r>
    <n v="80097"/>
    <x v="181"/>
    <s v="March"/>
    <x v="7"/>
    <x v="56"/>
    <s v="East Hampton"/>
    <s v="37 FOREST GLEN DR"/>
    <n v="210600"/>
    <n v="299000"/>
    <n v="0.70434782600000001"/>
    <n v="1.4197530864197532"/>
    <s v="Condo"/>
    <s v="Undervalued"/>
  </r>
  <r>
    <n v="200212"/>
    <x v="164"/>
    <s v="March"/>
    <x v="5"/>
    <x v="13"/>
    <s v="Avon"/>
    <s v="5 CHESTNUT DRIVE"/>
    <n v="130400"/>
    <n v="179900"/>
    <n v="0.7248"/>
    <n v="1.3796012269938651"/>
    <s v="Residential"/>
    <s v="Undervalued"/>
  </r>
  <r>
    <n v="70113"/>
    <x v="182"/>
    <s v="December"/>
    <x v="3"/>
    <x v="55"/>
    <s v="Newington"/>
    <s v="6 MALLARD LN"/>
    <n v="175770"/>
    <n v="248000"/>
    <n v="0.70874999999999999"/>
    <n v="1.4109347442680775"/>
    <s v="Condo"/>
    <s v="Undervalued"/>
  </r>
  <r>
    <n v="162000"/>
    <x v="183"/>
    <s v="September"/>
    <x v="2"/>
    <x v="2"/>
    <s v="Stamford"/>
    <s v="61 SEAVIEW AVENUE D-39"/>
    <n v="264700"/>
    <n v="373000"/>
    <n v="0.70965147500000003"/>
    <n v="1.4091424253872309"/>
    <s v="Condo"/>
    <s v="Undervalued"/>
  </r>
  <r>
    <n v="60610"/>
    <x v="184"/>
    <s v="June"/>
    <x v="3"/>
    <x v="57"/>
    <s v="West Haven"/>
    <s v="225 BEACH ST UT 1G"/>
    <n v="124250"/>
    <n v="175000"/>
    <n v="0.71"/>
    <n v="1.408450704225352"/>
    <s v="Condo"/>
    <s v="Undervalued"/>
  </r>
  <r>
    <n v="20000179"/>
    <x v="185"/>
    <s v="February"/>
    <x v="5"/>
    <x v="9"/>
    <s v="Brookfield"/>
    <s v="72 HOMESTEAD LN"/>
    <n v="94770"/>
    <n v="170000"/>
    <n v="0.55740000000000001"/>
    <n v="1.7938166086314233"/>
    <s v="Residential"/>
    <s v="Undervalued"/>
  </r>
  <r>
    <n v="181369"/>
    <x v="186"/>
    <s v="June"/>
    <x v="12"/>
    <x v="58"/>
    <s v="Bridgeport"/>
    <s v="265-A TEXAS AVE"/>
    <n v="36950"/>
    <n v="52000"/>
    <n v="0.71050000000000002"/>
    <n v="1.4073071718538566"/>
    <s v="Condo"/>
    <s v="Undervalued"/>
  </r>
  <r>
    <n v="70052"/>
    <x v="187"/>
    <s v="October"/>
    <x v="3"/>
    <x v="59"/>
    <s v="New Haven"/>
    <s v="916 QUINNIPIAC AVE #31"/>
    <n v="161700"/>
    <n v="227000"/>
    <n v="0.71233480199999999"/>
    <n v="1.4038342609771182"/>
    <s v="Condo"/>
    <s v="Undervalued"/>
  </r>
  <r>
    <n v="900039"/>
    <x v="188"/>
    <s v="November"/>
    <x v="7"/>
    <x v="19"/>
    <s v="Rocky Hill"/>
    <s v="8 BUTTERNIUT LANE"/>
    <n v="138950"/>
    <n v="195000"/>
    <n v="0.71256410299999995"/>
    <n v="1.4033825116948542"/>
    <s v="Condo"/>
    <s v="Undervalued"/>
  </r>
  <r>
    <n v="160773"/>
    <x v="189"/>
    <s v="June"/>
    <x v="2"/>
    <x v="3"/>
    <s v="Stratford"/>
    <s v="30A HAPPY HOLLOW CIR"/>
    <n v="153230"/>
    <n v="215000"/>
    <n v="0.71269767399999995"/>
    <n v="1.4031194935717548"/>
    <s v="Condo"/>
    <s v="Undervalued"/>
  </r>
  <r>
    <n v="200468"/>
    <x v="161"/>
    <s v="February"/>
    <x v="5"/>
    <x v="9"/>
    <s v="Meriden"/>
    <s v="28 STANLEY ST"/>
    <n v="100520"/>
    <n v="170000"/>
    <n v="0.59119999999999995"/>
    <n v="1.6912057302029446"/>
    <s v="Residential"/>
    <s v="Undervalued"/>
  </r>
  <r>
    <n v="161187"/>
    <x v="190"/>
    <s v="July"/>
    <x v="2"/>
    <x v="28"/>
    <s v="Norwalk"/>
    <s v="25 GRAND ST"/>
    <n v="143240"/>
    <n v="200000"/>
    <n v="0.71619999999999995"/>
    <n v="1.3962580284836639"/>
    <s v="Condo"/>
    <s v="Undervalued"/>
  </r>
  <r>
    <n v="90002"/>
    <x v="191"/>
    <s v="October"/>
    <x v="7"/>
    <x v="60"/>
    <s v="Torrington"/>
    <s v="144 MILL LN #144"/>
    <n v="150710"/>
    <n v="210000"/>
    <n v="0.71766666700000004"/>
    <n v="1.3934045517882026"/>
    <s v="Condo"/>
    <s v="Undervalued"/>
  </r>
  <r>
    <n v="900420"/>
    <x v="192"/>
    <s v="September"/>
    <x v="4"/>
    <x v="45"/>
    <s v="Farmington"/>
    <s v="98 BRADFORD WALK"/>
    <n v="265580"/>
    <n v="369900"/>
    <n v="0.71797783199999998"/>
    <n v="1.3928006627005045"/>
    <s v="Condo"/>
    <s v="Undervalued"/>
  </r>
  <r>
    <n v="200113"/>
    <x v="193"/>
    <s v="January"/>
    <x v="5"/>
    <x v="11"/>
    <s v="Suffield"/>
    <s v="4 CHELTENHAM CT"/>
    <n v="98280"/>
    <n v="169900"/>
    <n v="0.57840000000000003"/>
    <n v="1.7287342287342287"/>
    <s v="Residential"/>
    <s v="Undervalued"/>
  </r>
  <r>
    <n v="160606"/>
    <x v="194"/>
    <s v="July"/>
    <x v="2"/>
    <x v="28"/>
    <s v="Southington"/>
    <s v="22 VILLAGE RD"/>
    <n v="68800"/>
    <n v="95000"/>
    <n v="0.72421052600000002"/>
    <n v="1.3808139534883721"/>
    <s v="Condo"/>
    <s v="Undervalued"/>
  </r>
  <r>
    <n v="20522"/>
    <x v="195"/>
    <s v="March"/>
    <x v="5"/>
    <x v="13"/>
    <s v="Hartford"/>
    <s v="26 BRANFORD ST"/>
    <n v="35875"/>
    <n v="165000"/>
    <n v="0.21740000000000001"/>
    <n v="4.5993031358885021"/>
    <s v="Residential"/>
    <s v="Overvalued"/>
  </r>
  <r>
    <n v="120151"/>
    <x v="196"/>
    <s v="September"/>
    <x v="14"/>
    <x v="61"/>
    <s v="Plymouth"/>
    <s v="30 SEYMOUR RD UNIT C-2"/>
    <n v="76270"/>
    <n v="105000"/>
    <n v="0.72638095199999997"/>
    <n v="1.3766880818146061"/>
    <s v="Condo"/>
    <s v="Undervalued"/>
  </r>
  <r>
    <n v="200081"/>
    <x v="197"/>
    <s v="November"/>
    <x v="6"/>
    <x v="16"/>
    <s v="Simsbury"/>
    <s v="2C MILL PONDO LANE"/>
    <n v="270440"/>
    <n v="372000"/>
    <n v="0.72689999999999999"/>
    <n v="1.3755361632894543"/>
    <s v="Residential"/>
    <s v="Undervalued"/>
  </r>
  <r>
    <n v="130311"/>
    <x v="198"/>
    <s v="June"/>
    <x v="10"/>
    <x v="62"/>
    <s v="Enfield"/>
    <s v="71 CANDLEWOOD DR"/>
    <n v="125840"/>
    <n v="173000"/>
    <n v="0.72739884399999999"/>
    <n v="1.3747616020343294"/>
    <s v="Condo"/>
    <s v="Undervalued"/>
  </r>
  <r>
    <n v="20513"/>
    <x v="195"/>
    <s v="March"/>
    <x v="5"/>
    <x v="13"/>
    <s v="New Britain"/>
    <s v="32 HIGHLAND TERR"/>
    <n v="97580"/>
    <n v="163300"/>
    <n v="0.59750000000000003"/>
    <n v="1.673498667759787"/>
    <s v="Residential"/>
    <s v="Undervalued"/>
  </r>
  <r>
    <n v="800234"/>
    <x v="199"/>
    <s v="June"/>
    <x v="7"/>
    <x v="63"/>
    <s v="Farmington"/>
    <s v="1622 FARMINGTON AV UNIT 11"/>
    <n v="82250"/>
    <n v="112500"/>
    <n v="0.73111111100000004"/>
    <n v="1.3677811550151975"/>
    <s v="Condo"/>
    <s v="Undervalued"/>
  </r>
  <r>
    <n v="90035"/>
    <x v="200"/>
    <s v="December"/>
    <x v="7"/>
    <x v="36"/>
    <s v="Woodstock"/>
    <s v="2 WOODSTOCK HILLS"/>
    <n v="110700"/>
    <n v="151000"/>
    <n v="0.73311258300000004"/>
    <n v="1.3640469738030714"/>
    <s v="Condo"/>
    <s v="Undervalued"/>
  </r>
  <r>
    <n v="160065"/>
    <x v="201"/>
    <s v="December"/>
    <x v="0"/>
    <x v="0"/>
    <s v="Rocky Hill"/>
    <s v="4 COPPER BEECH DRIVE"/>
    <n v="89950"/>
    <n v="122500"/>
    <n v="0.73428571399999998"/>
    <n v="1.3618677042801557"/>
    <s v="Condo"/>
    <s v="Undervalued"/>
  </r>
  <r>
    <n v="200002"/>
    <x v="202"/>
    <s v="October"/>
    <x v="6"/>
    <x v="24"/>
    <s v="Simsbury"/>
    <s v="24 BRETTONWOOD DRIVE"/>
    <n v="186610"/>
    <n v="252000"/>
    <n v="0.74050000000000005"/>
    <n v="1.3504099458764267"/>
    <s v="Residential"/>
    <s v="Undervalued"/>
  </r>
  <r>
    <n v="10113"/>
    <x v="203"/>
    <s v="December"/>
    <x v="4"/>
    <x v="64"/>
    <s v="Glastonbury"/>
    <s v="70 SPRINGBROOK RD"/>
    <n v="119400"/>
    <n v="161000"/>
    <n v="0.74161490699999999"/>
    <n v="1.3484087102177555"/>
    <s v="Condo"/>
    <s v="Undervalued"/>
  </r>
  <r>
    <n v="200991"/>
    <x v="204"/>
    <s v="July"/>
    <x v="5"/>
    <x v="8"/>
    <s v="Manchester"/>
    <s v="64 MILFORD ROAD"/>
    <n v="104300"/>
    <n v="160000"/>
    <n v="0.65180000000000005"/>
    <n v="1.5340364333652925"/>
    <s v="Residential"/>
    <s v="Undervalued"/>
  </r>
  <r>
    <n v="200285"/>
    <x v="116"/>
    <s v="April"/>
    <x v="5"/>
    <x v="6"/>
    <s v="Guilford"/>
    <s v="30 GRANITE RD"/>
    <n v="77840"/>
    <n v="150000"/>
    <n v="0.51890000000000003"/>
    <n v="1.9270298047276464"/>
    <s v="Residential"/>
    <s v="Undervalued"/>
  </r>
  <r>
    <n v="160606"/>
    <x v="205"/>
    <s v="August"/>
    <x v="2"/>
    <x v="32"/>
    <s v="Norwich"/>
    <s v="1913 OLD POND LN"/>
    <n v="41000"/>
    <n v="55000"/>
    <n v="0.74545454499999997"/>
    <n v="1.3414634146341464"/>
    <s v="Condo"/>
    <s v="Undervalued"/>
  </r>
  <r>
    <n v="200052"/>
    <x v="206"/>
    <s v="November"/>
    <x v="6"/>
    <x v="16"/>
    <s v="Litchfield"/>
    <s v="68 BEACH ST"/>
    <n v="149570"/>
    <n v="200000"/>
    <n v="0.74780000000000002"/>
    <n v="1.3371665440930669"/>
    <s v="Residential"/>
    <s v="Undervalued"/>
  </r>
  <r>
    <n v="70133"/>
    <x v="207"/>
    <s v="March"/>
    <x v="8"/>
    <x v="33"/>
    <s v="Ledyard"/>
    <s v="3N LAKESIDE DR"/>
    <n v="92820"/>
    <n v="124000"/>
    <n v="0.74854838700000004"/>
    <n v="1.3359189829778064"/>
    <s v="Condo"/>
    <s v="Undervalued"/>
  </r>
  <r>
    <n v="200230"/>
    <x v="6"/>
    <s v="April"/>
    <x v="5"/>
    <x v="6"/>
    <s v="Killingly"/>
    <s v="152 NORTH ST"/>
    <n v="143220"/>
    <n v="150000"/>
    <n v="0.95479999999999998"/>
    <n v="1.0473397570171763"/>
    <s v="Apartments"/>
    <s v="Undervalued"/>
  </r>
  <r>
    <n v="201777"/>
    <x v="208"/>
    <s v="June"/>
    <x v="5"/>
    <x v="7"/>
    <s v="Waterbury"/>
    <s v="18 CAMP ST"/>
    <n v="36770"/>
    <n v="150000"/>
    <n v="0.24510000000000001"/>
    <n v="4.0794125645906991"/>
    <s v="Residential"/>
    <s v="Overvalued"/>
  </r>
  <r>
    <n v="200002"/>
    <x v="202"/>
    <s v="October"/>
    <x v="6"/>
    <x v="24"/>
    <s v="Roxbury"/>
    <s v="20 CHURCH ST"/>
    <n v="439290"/>
    <n v="575000"/>
    <n v="0.76398260900000003"/>
    <n v="1.3089303193789978"/>
    <s v="Residential"/>
    <s v="Undervalued"/>
  </r>
  <r>
    <n v="160624"/>
    <x v="209"/>
    <s v="August"/>
    <x v="2"/>
    <x v="32"/>
    <s v="Norwich"/>
    <s v="306 SALEM TPKE UNIT#4"/>
    <n v="96100"/>
    <n v="125500"/>
    <n v="0.76573705199999997"/>
    <n v="1.3059313215400625"/>
    <s v="Condo"/>
    <s v="Undervalued"/>
  </r>
  <r>
    <n v="14332"/>
    <x v="210"/>
    <s v="June"/>
    <x v="11"/>
    <x v="37"/>
    <s v="Newington"/>
    <s v="154 COTTONWOOD ROAD"/>
    <n v="107520"/>
    <n v="140000"/>
    <n v="0.76800000000000002"/>
    <n v="1.3020833333333333"/>
    <s v="Condo"/>
    <s v="Undervalued"/>
  </r>
  <r>
    <n v="100418"/>
    <x v="211"/>
    <s v="August"/>
    <x v="13"/>
    <x v="65"/>
    <s v="East Hartford"/>
    <s v="233 ELLINGTON RD #312"/>
    <n v="38500"/>
    <n v="50000"/>
    <n v="0.77"/>
    <n v="1.2987012987012987"/>
    <s v="Condo"/>
    <s v="Undervalued"/>
  </r>
  <r>
    <n v="100226"/>
    <x v="212"/>
    <s v="February"/>
    <x v="13"/>
    <x v="66"/>
    <s v="Bristol"/>
    <s v="35 RUTH ST #60"/>
    <n v="93450"/>
    <n v="120000"/>
    <n v="0.77875000000000005"/>
    <n v="1.2841091492776886"/>
    <s v="Condo"/>
    <s v="Undervalued"/>
  </r>
  <r>
    <n v="100035"/>
    <x v="213"/>
    <s v="November"/>
    <x v="4"/>
    <x v="67"/>
    <s v="Guilford"/>
    <s v="8 PADDOCK LN"/>
    <n v="257040"/>
    <n v="330000"/>
    <n v="0.77890909100000005"/>
    <n v="1.2838468720821663"/>
    <s v="Condo"/>
    <s v="Undervalued"/>
  </r>
  <r>
    <n v="201018"/>
    <x v="214"/>
    <s v="June"/>
    <x v="5"/>
    <x v="7"/>
    <s v="Danbury"/>
    <s v="55 FOREST AV"/>
    <n v="136900"/>
    <n v="150000"/>
    <n v="0.91259999999999997"/>
    <n v="1.0956902848794741"/>
    <s v="Residential"/>
    <s v="Undervalued"/>
  </r>
  <r>
    <n v="10037"/>
    <x v="215"/>
    <s v="November"/>
    <x v="4"/>
    <x v="67"/>
    <s v="Madison"/>
    <s v="5B YANKEE GLEN DRIVE"/>
    <n v="203600"/>
    <n v="260000"/>
    <n v="0.78307692299999998"/>
    <n v="1.2770137524557956"/>
    <s v="Condo"/>
    <s v="Undervalued"/>
  </r>
  <r>
    <n v="130523"/>
    <x v="216"/>
    <s v="September"/>
    <x v="10"/>
    <x v="35"/>
    <s v="Enfield"/>
    <s v="156 WYNWOOD DR"/>
    <n v="97940"/>
    <n v="125000"/>
    <n v="0.78351999999999999"/>
    <n v="1.2762916071063917"/>
    <s v="Condo"/>
    <s v="Undervalued"/>
  </r>
  <r>
    <n v="100052"/>
    <x v="217"/>
    <s v="February"/>
    <x v="13"/>
    <x v="66"/>
    <s v="Ansonia"/>
    <s v="15 APPLEWOOD CONDO"/>
    <n v="137300"/>
    <n v="175000"/>
    <n v="0.78457142899999999"/>
    <n v="1.2745812090313182"/>
    <s v="Condo"/>
    <s v="Undervalued"/>
  </r>
  <r>
    <n v="80588"/>
    <x v="218"/>
    <s v="July"/>
    <x v="7"/>
    <x v="68"/>
    <s v="Danbury"/>
    <s v="55 MILL PLAIN RD #33-3"/>
    <n v="125900"/>
    <n v="160000"/>
    <n v="0.78687499999999999"/>
    <n v="1.2708498808578237"/>
    <s v="Condo"/>
    <s v="Undervalued"/>
  </r>
  <r>
    <n v="90472"/>
    <x v="219"/>
    <s v="June"/>
    <x v="4"/>
    <x v="5"/>
    <s v="Fairfield"/>
    <s v="245 SUNNYRIDGE AVENUE UNIT#16"/>
    <n v="220920"/>
    <n v="280000"/>
    <n v="0.78900000000000003"/>
    <n v="1.267427122940431"/>
    <s v="Condo"/>
    <s v="Undervalued"/>
  </r>
  <r>
    <n v="200375"/>
    <x v="220"/>
    <s v="April"/>
    <x v="5"/>
    <x v="6"/>
    <s v="East Haven"/>
    <s v="55      THOMPSON ST #5A"/>
    <n v="76960"/>
    <n v="140000"/>
    <n v="0.54969999999999997"/>
    <n v="1.8191268191268191"/>
    <s v="Residential"/>
    <s v="Undervalued"/>
  </r>
  <r>
    <n v="100254"/>
    <x v="221"/>
    <s v="July"/>
    <x v="13"/>
    <x v="69"/>
    <s v="Farmington"/>
    <s v="11-A4 BYRNE COURT"/>
    <n v="91000"/>
    <n v="115000"/>
    <n v="0.79130434800000005"/>
    <n v="1.2637362637362637"/>
    <s v="Condo"/>
    <s v="Undervalued"/>
  </r>
  <r>
    <n v="160052"/>
    <x v="222"/>
    <s v="February"/>
    <x v="2"/>
    <x v="31"/>
    <s v="Winchester"/>
    <s v="230 E WAKEFIELD BLVD"/>
    <n v="79310"/>
    <n v="100000"/>
    <n v="0.79310000000000003"/>
    <n v="1.2608750472828143"/>
    <s v="Condo"/>
    <s v="Undervalued"/>
  </r>
  <r>
    <n v="202250"/>
    <x v="65"/>
    <s v="August"/>
    <x v="5"/>
    <x v="10"/>
    <s v="Waterbury"/>
    <s v="94 SOUTHMAYD RD #3"/>
    <n v="63100"/>
    <n v="139900"/>
    <n v="0.45100000000000001"/>
    <n v="2.2171156893819335"/>
    <s v="Residential"/>
    <s v="Overvalued"/>
  </r>
  <r>
    <n v="90042"/>
    <x v="223"/>
    <s v="October"/>
    <x v="7"/>
    <x v="60"/>
    <s v="Hamden"/>
    <s v="1151 WHITNEY AVE UB4"/>
    <n v="219870"/>
    <n v="275000"/>
    <n v="0.79952727300000004"/>
    <n v="1.2507390730886432"/>
    <s v="Condo"/>
    <s v="Undervalued"/>
  </r>
  <r>
    <n v="100002"/>
    <x v="224"/>
    <s v="October"/>
    <x v="4"/>
    <x v="70"/>
    <s v="Branford"/>
    <s v="4C EDGEWATER"/>
    <n v="184500"/>
    <n v="230000"/>
    <n v="0.80217391299999996"/>
    <n v="1.2466124661246611"/>
    <s v="Condo"/>
    <s v="Undervalued"/>
  </r>
  <r>
    <n v="91123"/>
    <x v="225"/>
    <s v="July"/>
    <x v="4"/>
    <x v="71"/>
    <s v="Waterbury"/>
    <s v="192 MAYBURY CIRCLE #5"/>
    <n v="52580"/>
    <n v="65000"/>
    <n v="0.80892307699999999"/>
    <n v="1.2362114872575123"/>
    <s v="Condo"/>
    <s v="Undervalued"/>
  </r>
  <r>
    <n v="90010"/>
    <x v="226"/>
    <s v="October"/>
    <x v="7"/>
    <x v="60"/>
    <s v="Plymouth"/>
    <s v="13 HOLT ST #4"/>
    <n v="94260"/>
    <n v="115000"/>
    <n v="0.81965217400000001"/>
    <n v="1.22002970507108"/>
    <s v="Condo"/>
    <s v="Undervalued"/>
  </r>
  <r>
    <n v="200436"/>
    <x v="227"/>
    <s v="May"/>
    <x v="5"/>
    <x v="12"/>
    <s v="Groton"/>
    <s v="67 LEAFWOOD LN S250"/>
    <n v="71960"/>
    <n v="130000"/>
    <n v="0.55349999999999999"/>
    <n v="1.8065591995553085"/>
    <s v="Residential"/>
    <s v="Undervalued"/>
  </r>
  <r>
    <n v="12323"/>
    <x v="228"/>
    <s v="July"/>
    <x v="14"/>
    <x v="72"/>
    <s v="West Haven"/>
    <s v="45 SAVIN PARK"/>
    <n v="126280"/>
    <n v="153500"/>
    <n v="0.82267100999999998"/>
    <n v="1.2155527399429837"/>
    <s v="Condo"/>
    <s v="Undervalued"/>
  </r>
  <r>
    <n v="200377"/>
    <x v="68"/>
    <s v="May"/>
    <x v="5"/>
    <x v="12"/>
    <s v="Simsbury"/>
    <s v="108 LIBRARY LANE"/>
    <n v="80010"/>
    <n v="130000"/>
    <n v="0.61539999999999995"/>
    <n v="1.6247969003874516"/>
    <s v="Residential"/>
    <s v="Undervalued"/>
  </r>
  <r>
    <n v="20273"/>
    <x v="229"/>
    <s v="January"/>
    <x v="5"/>
    <x v="11"/>
    <s v="Ridgefield"/>
    <s v="12 CARPENTER CLOSE"/>
    <n v="89810"/>
    <n v="128300"/>
    <n v="0.7"/>
    <n v="1.4285714285714286"/>
    <s v="Residential"/>
    <s v="Undervalued"/>
  </r>
  <r>
    <n v="17141"/>
    <x v="230"/>
    <s v="November"/>
    <x v="2"/>
    <x v="51"/>
    <s v="West Haven"/>
    <s v="375 CAPT THOMAS BLVD #14"/>
    <n v="119630"/>
    <n v="142650"/>
    <n v="0.83860000000000001"/>
    <n v="1.1924266488339046"/>
    <s v="Condo"/>
    <s v="Undervalued"/>
  </r>
  <r>
    <n v="90111"/>
    <x v="231"/>
    <s v="December"/>
    <x v="7"/>
    <x v="36"/>
    <s v="Vernon"/>
    <s v="165-53 SOUTH ST"/>
    <n v="62630"/>
    <n v="74000"/>
    <n v="0.84635135100000003"/>
    <n v="1.1815423918250041"/>
    <s v="Condo"/>
    <s v="Undervalued"/>
  </r>
  <r>
    <n v="100020"/>
    <x v="232"/>
    <s v="October"/>
    <x v="4"/>
    <x v="70"/>
    <s v="Branford"/>
    <s v="6B ROCKLEDGE"/>
    <n v="123700"/>
    <n v="143800"/>
    <n v="0.86022253100000001"/>
    <n v="1.1624898949070332"/>
    <s v="Condo"/>
    <s v="Undervalued"/>
  </r>
  <r>
    <n v="201592"/>
    <x v="233"/>
    <s v="May"/>
    <x v="5"/>
    <x v="12"/>
    <s v="Waterbury"/>
    <s v="26 COOPER ST"/>
    <n v="73860"/>
    <n v="122000"/>
    <n v="0.60540000000000005"/>
    <n v="1.6517736257784998"/>
    <s v="Residential"/>
    <s v="Undervalued"/>
  </r>
  <r>
    <n v="200953"/>
    <x v="68"/>
    <s v="May"/>
    <x v="5"/>
    <x v="12"/>
    <s v="New Haven"/>
    <s v="44 FRONT ST"/>
    <n v="64470"/>
    <n v="105000"/>
    <n v="0.61399999999999999"/>
    <n v="1.6286644951140066"/>
    <s v="Residential"/>
    <s v="Undervalued"/>
  </r>
  <r>
    <n v="90706"/>
    <x v="234"/>
    <s v="July"/>
    <x v="4"/>
    <x v="71"/>
    <s v="West Hartford"/>
    <s v="140 KANE ST B1"/>
    <n v="76500"/>
    <n v="86000"/>
    <n v="0.88953488400000003"/>
    <n v="1.1241830065359477"/>
    <s v="Condo"/>
    <s v="Undervalued"/>
  </r>
  <r>
    <n v="201212"/>
    <x v="235"/>
    <s v="August"/>
    <x v="5"/>
    <x v="10"/>
    <s v="Bristol"/>
    <s v="8 JENNINGS TERR"/>
    <n v="88060"/>
    <n v="91000"/>
    <n v="0.96760000000000002"/>
    <n v="1.0333863275039745"/>
    <s v="Residential"/>
    <s v="Undervalued"/>
  </r>
  <r>
    <n v="100533"/>
    <x v="236"/>
    <s v="June"/>
    <x v="13"/>
    <x v="49"/>
    <s v="Danbury"/>
    <s v="166 OLD BROOKFIELD RD #27B1"/>
    <n v="146800"/>
    <n v="162800"/>
    <n v="0.90171990199999996"/>
    <n v="1.1089918256130791"/>
    <s v="Condo"/>
    <s v="Undervalued"/>
  </r>
  <r>
    <n v="200377"/>
    <x v="237"/>
    <s v="August"/>
    <x v="5"/>
    <x v="10"/>
    <s v="Plainville"/>
    <s v="492 EAST ST B-36"/>
    <n v="41090"/>
    <n v="89900"/>
    <n v="0.45700000000000002"/>
    <n v="2.1878802628376732"/>
    <s v="Residential"/>
    <s v="Overvalued"/>
  </r>
  <r>
    <n v="13105"/>
    <x v="238"/>
    <s v="March"/>
    <x v="10"/>
    <x v="73"/>
    <s v="Bloomfield"/>
    <s v="42 SILO WAY"/>
    <n v="124460"/>
    <n v="133000"/>
    <n v="0.93578947400000001"/>
    <n v="1.0686164229471316"/>
    <s v="Condo"/>
    <s v="Undervalued"/>
  </r>
  <r>
    <n v="2020256"/>
    <x v="239"/>
    <s v="June"/>
    <x v="5"/>
    <x v="7"/>
    <s v="Tolland"/>
    <s v="D3 TOLLAND MEADOWS"/>
    <n v="55200"/>
    <n v="89900"/>
    <n v="0.61401557299999998"/>
    <n v="1.6286231884057971"/>
    <s v="Residential"/>
    <s v="Undervalued"/>
  </r>
  <r>
    <n v="180558"/>
    <x v="240"/>
    <s v="May"/>
    <x v="12"/>
    <x v="74"/>
    <s v="New Haven"/>
    <s v="1203 ELLA T GRASSO BLVD # B"/>
    <n v="28910"/>
    <n v="30000"/>
    <n v="0.96360000000000001"/>
    <n v="1.0377032168799722"/>
    <s v="Condo"/>
    <s v="Undervalued"/>
  </r>
  <r>
    <n v="200821"/>
    <x v="241"/>
    <s v="May"/>
    <x v="5"/>
    <x v="12"/>
    <s v="Meriden"/>
    <s v="7 CARRIAGE CRSNG"/>
    <n v="67270"/>
    <n v="82000"/>
    <n v="0.82030000000000003"/>
    <n v="1.2189683365541846"/>
    <s v="Residential"/>
    <s v="Undervalued"/>
  </r>
  <r>
    <n v="90097"/>
    <x v="242"/>
    <s v="June"/>
    <x v="4"/>
    <x v="5"/>
    <s v="Woodstock"/>
    <s v="5 WOODSTOCK MEADOWS"/>
    <n v="126200"/>
    <n v="130000"/>
    <n v="0.97076923100000001"/>
    <n v="1.0301109350237718"/>
    <s v="Condo"/>
    <s v="Undervalued"/>
  </r>
  <r>
    <n v="200242"/>
    <x v="243"/>
    <s v="January"/>
    <x v="5"/>
    <x v="11"/>
    <s v="East Haven"/>
    <s v="130 COE AVE #51"/>
    <n v="28240"/>
    <n v="73000"/>
    <n v="0.38684931500000003"/>
    <n v="2.5849858356940509"/>
    <s v="Residential"/>
    <s v="Overvalued"/>
  </r>
  <r>
    <n v="2000720"/>
    <x v="244"/>
    <s v="January"/>
    <x v="5"/>
    <x v="11"/>
    <s v="Stamford"/>
    <s v="57 HARBOR DRIVE GARAGE G-105B"/>
    <n v="19110"/>
    <n v="27500"/>
    <n v="0.69489999999999996"/>
    <n v="1.4390371533228676"/>
    <s v="Residential"/>
    <s v="Undervalued"/>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n v="160092"/>
    <x v="0"/>
    <x v="0"/>
    <n v="45150"/>
    <n v="302.32558139534882"/>
  </r>
  <r>
    <n v="200195"/>
    <x v="1"/>
    <x v="1"/>
    <n v="3360000"/>
    <n v="1.5520089285714285"/>
  </r>
  <r>
    <n v="201233"/>
    <x v="2"/>
    <x v="2"/>
    <n v="4259500"/>
    <n v="1.0095081582345347"/>
  </r>
  <r>
    <n v="170261"/>
    <x v="3"/>
    <x v="3"/>
    <n v="30660"/>
    <n v="106.53131115459882"/>
  </r>
  <r>
    <n v="170255"/>
    <x v="3"/>
    <x v="3"/>
    <n v="30660"/>
    <n v="106.53131115459882"/>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2">
  <r>
    <n v="160092"/>
    <x v="0"/>
    <x v="0"/>
    <x v="0"/>
    <s v="December,2016"/>
    <x v="0"/>
    <x v="0"/>
    <x v="0"/>
    <n v="45150"/>
    <x v="0"/>
    <n v="3.3076920000000001E-3"/>
    <n v="302.32558139534882"/>
    <x v="0"/>
    <x v="0"/>
    <m/>
  </r>
  <r>
    <n v="200195"/>
    <x v="1"/>
    <x v="1"/>
    <x v="1"/>
    <s v="April,2021"/>
    <x v="1"/>
    <x v="1"/>
    <x v="1"/>
    <n v="3360000"/>
    <x v="1"/>
    <n v="0.64429999999999998"/>
    <n v="1.5520089285714285"/>
    <x v="1"/>
    <x v="1"/>
    <m/>
  </r>
  <r>
    <n v="201233"/>
    <x v="2"/>
    <x v="2"/>
    <x v="1"/>
    <s v="June,2021"/>
    <x v="2"/>
    <x v="2"/>
    <x v="2"/>
    <n v="4259500"/>
    <x v="2"/>
    <n v="0.99050000000000005"/>
    <n v="1.0095081582345347"/>
    <x v="2"/>
    <x v="1"/>
    <m/>
  </r>
  <r>
    <n v="170261"/>
    <x v="3"/>
    <x v="3"/>
    <x v="2"/>
    <s v="May,2018"/>
    <x v="3"/>
    <x v="3"/>
    <x v="3"/>
    <n v="30660"/>
    <x v="3"/>
    <n v="9.3869120000000007E-3"/>
    <n v="106.53131115459882"/>
    <x v="0"/>
    <x v="0"/>
    <m/>
  </r>
  <r>
    <n v="170255"/>
    <x v="3"/>
    <x v="3"/>
    <x v="2"/>
    <s v="May,2018"/>
    <x v="3"/>
    <x v="3"/>
    <x v="4"/>
    <n v="30660"/>
    <x v="3"/>
    <n v="9.3869120000000007E-3"/>
    <n v="106.53131115459882"/>
    <x v="0"/>
    <x v="0"/>
    <m/>
  </r>
  <r>
    <n v="201186"/>
    <x v="4"/>
    <x v="4"/>
    <x v="1"/>
    <s v="July,2021"/>
    <x v="4"/>
    <x v="4"/>
    <x v="5"/>
    <n v="695500"/>
    <x v="4"/>
    <n v="0.21734375"/>
    <n v="4.6010064701653484"/>
    <x v="1"/>
    <x v="0"/>
    <m/>
  </r>
  <r>
    <n v="200645"/>
    <x v="5"/>
    <x v="5"/>
    <x v="1"/>
    <s v="February,2021"/>
    <x v="2"/>
    <x v="2"/>
    <x v="6"/>
    <n v="2661200"/>
    <x v="5"/>
    <n v="0.88700000000000001"/>
    <n v="1.1273109875244252"/>
    <x v="2"/>
    <x v="1"/>
    <m/>
  </r>
  <r>
    <n v="200661"/>
    <x v="6"/>
    <x v="6"/>
    <x v="1"/>
    <s v="August,2021"/>
    <x v="5"/>
    <x v="3"/>
    <x v="7"/>
    <n v="1279460"/>
    <x v="6"/>
    <n v="0.53310000000000002"/>
    <n v="1.87579134947556"/>
    <x v="2"/>
    <x v="1"/>
    <m/>
  </r>
  <r>
    <n v="201437"/>
    <x v="7"/>
    <x v="4"/>
    <x v="1"/>
    <s v="July,2021"/>
    <x v="2"/>
    <x v="2"/>
    <x v="8"/>
    <n v="1337630"/>
    <x v="7"/>
    <n v="0.58150000000000002"/>
    <n v="1.7194590432331811"/>
    <x v="2"/>
    <x v="1"/>
    <m/>
  </r>
  <r>
    <n v="200055"/>
    <x v="8"/>
    <x v="7"/>
    <x v="1"/>
    <s v="January,2021"/>
    <x v="6"/>
    <x v="5"/>
    <x v="9"/>
    <n v="1030330"/>
    <x v="8"/>
    <n v="0.45090000000000002"/>
    <n v="2.2177360651441771"/>
    <x v="2"/>
    <x v="0"/>
    <m/>
  </r>
  <r>
    <n v="2016743"/>
    <x v="9"/>
    <x v="4"/>
    <x v="1"/>
    <s v="July,2021"/>
    <x v="7"/>
    <x v="0"/>
    <x v="10"/>
    <n v="1769800"/>
    <x v="9"/>
    <n v="0.98319999999999996"/>
    <n v="1.0170640750367272"/>
    <x v="1"/>
    <x v="1"/>
    <m/>
  </r>
  <r>
    <n v="200320"/>
    <x v="10"/>
    <x v="3"/>
    <x v="1"/>
    <s v="May,2021"/>
    <x v="8"/>
    <x v="6"/>
    <x v="11"/>
    <n v="776230"/>
    <x v="10"/>
    <n v="0.50900000000000001"/>
    <n v="1.9646238872499131"/>
    <x v="1"/>
    <x v="1"/>
    <m/>
  </r>
  <r>
    <n v="200377"/>
    <x v="11"/>
    <x v="4"/>
    <x v="1"/>
    <s v="July,2021"/>
    <x v="9"/>
    <x v="7"/>
    <x v="12"/>
    <n v="862330"/>
    <x v="11"/>
    <n v="0.59570000000000001"/>
    <n v="1.6785917224264493"/>
    <x v="2"/>
    <x v="1"/>
    <m/>
  </r>
  <r>
    <n v="161304"/>
    <x v="12"/>
    <x v="2"/>
    <x v="3"/>
    <s v="June,2017"/>
    <x v="10"/>
    <x v="8"/>
    <x v="13"/>
    <n v="91980"/>
    <x v="12"/>
    <n v="6.9506051999999999E-2"/>
    <n v="14.387236355729506"/>
    <x v="0"/>
    <x v="0"/>
    <m/>
  </r>
  <r>
    <n v="201494"/>
    <x v="13"/>
    <x v="4"/>
    <x v="1"/>
    <s v="July,2021"/>
    <x v="2"/>
    <x v="2"/>
    <x v="14"/>
    <n v="632170"/>
    <x v="13"/>
    <n v="0.50570000000000004"/>
    <n v="1.9773162282297483"/>
    <x v="2"/>
    <x v="1"/>
    <m/>
  </r>
  <r>
    <n v="200109"/>
    <x v="14"/>
    <x v="0"/>
    <x v="4"/>
    <s v="December,2020"/>
    <x v="9"/>
    <x v="7"/>
    <x v="15"/>
    <n v="847520"/>
    <x v="13"/>
    <n v="0.67800000000000005"/>
    <n v="1.474891447989428"/>
    <x v="2"/>
    <x v="1"/>
    <m/>
  </r>
  <r>
    <n v="200020"/>
    <x v="15"/>
    <x v="8"/>
    <x v="4"/>
    <s v="October,2020"/>
    <x v="11"/>
    <x v="2"/>
    <x v="16"/>
    <n v="654570"/>
    <x v="14"/>
    <n v="0.66118181799999998"/>
    <n v="1.5124432833768733"/>
    <x v="2"/>
    <x v="1"/>
    <m/>
  </r>
  <r>
    <n v="2001101"/>
    <x v="16"/>
    <x v="9"/>
    <x v="1"/>
    <s v="March,2021"/>
    <x v="10"/>
    <x v="8"/>
    <x v="17"/>
    <n v="599810"/>
    <x v="15"/>
    <n v="0.63129999999999997"/>
    <n v="1.5838348810456644"/>
    <x v="2"/>
    <x v="1"/>
    <m/>
  </r>
  <r>
    <n v="200427"/>
    <x v="17"/>
    <x v="5"/>
    <x v="1"/>
    <s v="February,2021"/>
    <x v="12"/>
    <x v="3"/>
    <x v="18"/>
    <n v="587600"/>
    <x v="16"/>
    <n v="0.62570000000000003"/>
    <n v="1.5980258679373724"/>
    <x v="1"/>
    <x v="1"/>
    <m/>
  </r>
  <r>
    <n v="2001570"/>
    <x v="18"/>
    <x v="3"/>
    <x v="1"/>
    <s v="May,2021"/>
    <x v="10"/>
    <x v="8"/>
    <x v="19"/>
    <n v="486230"/>
    <x v="17"/>
    <n v="0.52280000000000004"/>
    <n v="1.9126750714682352"/>
    <x v="1"/>
    <x v="1"/>
    <m/>
  </r>
  <r>
    <n v="20771"/>
    <x v="19"/>
    <x v="10"/>
    <x v="1"/>
    <s v="September,2021"/>
    <x v="13"/>
    <x v="3"/>
    <x v="20"/>
    <n v="451770"/>
    <x v="18"/>
    <n v="0.49645054900000002"/>
    <n v="2.0142993115966088"/>
    <x v="2"/>
    <x v="0"/>
    <m/>
  </r>
  <r>
    <n v="200627"/>
    <x v="7"/>
    <x v="4"/>
    <x v="1"/>
    <s v="July,2021"/>
    <x v="14"/>
    <x v="9"/>
    <x v="21"/>
    <n v="475160"/>
    <x v="19"/>
    <n v="0.52500000000000002"/>
    <n v="1.9046216011448776"/>
    <x v="2"/>
    <x v="1"/>
    <m/>
  </r>
  <r>
    <n v="200243"/>
    <x v="20"/>
    <x v="1"/>
    <x v="1"/>
    <s v="April,2021"/>
    <x v="9"/>
    <x v="7"/>
    <x v="22"/>
    <n v="619290"/>
    <x v="20"/>
    <n v="0.69579999999999997"/>
    <n v="1.4371296161733598"/>
    <x v="2"/>
    <x v="1"/>
    <m/>
  </r>
  <r>
    <n v="20129"/>
    <x v="21"/>
    <x v="9"/>
    <x v="1"/>
    <s v="March,2021"/>
    <x v="15"/>
    <x v="4"/>
    <x v="23"/>
    <n v="351260"/>
    <x v="21"/>
    <n v="0.40229999999999999"/>
    <n v="2.4853384957011899"/>
    <x v="1"/>
    <x v="0"/>
    <m/>
  </r>
  <r>
    <n v="201207"/>
    <x v="22"/>
    <x v="4"/>
    <x v="1"/>
    <s v="July,2021"/>
    <x v="16"/>
    <x v="3"/>
    <x v="24"/>
    <n v="368130"/>
    <x v="22"/>
    <n v="0.433"/>
    <n v="2.3089669410262679"/>
    <x v="2"/>
    <x v="0"/>
    <m/>
  </r>
  <r>
    <n v="2000344"/>
    <x v="23"/>
    <x v="11"/>
    <x v="4"/>
    <s v="November,2020"/>
    <x v="10"/>
    <x v="8"/>
    <x v="25"/>
    <n v="539700"/>
    <x v="22"/>
    <n v="0.63490000000000002"/>
    <n v="1.5749490457661663"/>
    <x v="2"/>
    <x v="1"/>
    <m/>
  </r>
  <r>
    <n v="200338"/>
    <x v="24"/>
    <x v="1"/>
    <x v="1"/>
    <s v="April,2021"/>
    <x v="5"/>
    <x v="3"/>
    <x v="26"/>
    <n v="620760"/>
    <x v="22"/>
    <n v="0.73029999999999995"/>
    <n v="1.3692892583285006"/>
    <x v="2"/>
    <x v="1"/>
    <m/>
  </r>
  <r>
    <n v="202000106"/>
    <x v="25"/>
    <x v="7"/>
    <x v="1"/>
    <s v="January,2021"/>
    <x v="17"/>
    <x v="10"/>
    <x v="27"/>
    <n v="596470"/>
    <x v="23"/>
    <n v="0.71589999999999998"/>
    <n v="1.3967357955974316"/>
    <x v="1"/>
    <x v="1"/>
    <m/>
  </r>
  <r>
    <n v="2001250"/>
    <x v="26"/>
    <x v="9"/>
    <x v="1"/>
    <s v="March,2021"/>
    <x v="10"/>
    <x v="8"/>
    <x v="28"/>
    <n v="403190"/>
    <x v="24"/>
    <n v="0.49769999999999998"/>
    <n v="2.0089783972816786"/>
    <x v="2"/>
    <x v="0"/>
    <m/>
  </r>
  <r>
    <n v="201027"/>
    <x v="9"/>
    <x v="4"/>
    <x v="1"/>
    <s v="July,2021"/>
    <x v="18"/>
    <x v="11"/>
    <x v="29"/>
    <n v="517700"/>
    <x v="25"/>
    <n v="0.64710000000000001"/>
    <n v="1.5452965037666602"/>
    <x v="1"/>
    <x v="1"/>
    <m/>
  </r>
  <r>
    <n v="2002453"/>
    <x v="27"/>
    <x v="6"/>
    <x v="1"/>
    <s v="August,2021"/>
    <x v="10"/>
    <x v="8"/>
    <x v="30"/>
    <n v="596290"/>
    <x v="25"/>
    <n v="0.74529999999999996"/>
    <n v="1.3416290731020142"/>
    <x v="1"/>
    <x v="1"/>
    <m/>
  </r>
  <r>
    <n v="200097"/>
    <x v="28"/>
    <x v="2"/>
    <x v="1"/>
    <s v="June,2021"/>
    <x v="19"/>
    <x v="12"/>
    <x v="31"/>
    <n v="511000"/>
    <x v="26"/>
    <n v="0.64270000000000005"/>
    <n v="1.5557729941291585"/>
    <x v="1"/>
    <x v="1"/>
    <m/>
  </r>
  <r>
    <n v="2002537"/>
    <x v="29"/>
    <x v="10"/>
    <x v="1"/>
    <s v="September,2021"/>
    <x v="10"/>
    <x v="8"/>
    <x v="32"/>
    <n v="441560"/>
    <x v="27"/>
    <n v="0.56240000000000001"/>
    <n v="1.7777878431017302"/>
    <x v="2"/>
    <x v="1"/>
    <m/>
  </r>
  <r>
    <n v="20274"/>
    <x v="30"/>
    <x v="7"/>
    <x v="1"/>
    <s v="January,2021"/>
    <x v="13"/>
    <x v="3"/>
    <x v="33"/>
    <n v="419590"/>
    <x v="28"/>
    <n v="0.53859999999999997"/>
    <n v="1.8565742748873901"/>
    <x v="2"/>
    <x v="1"/>
    <m/>
  </r>
  <r>
    <n v="2000120"/>
    <x v="31"/>
    <x v="8"/>
    <x v="4"/>
    <s v="October,2020"/>
    <x v="10"/>
    <x v="8"/>
    <x v="34"/>
    <n v="497000"/>
    <x v="29"/>
    <n v="0.65820000000000001"/>
    <n v="1.5191146881287727"/>
    <x v="2"/>
    <x v="1"/>
    <m/>
  </r>
  <r>
    <n v="200098"/>
    <x v="32"/>
    <x v="11"/>
    <x v="4"/>
    <s v="November,2020"/>
    <x v="11"/>
    <x v="2"/>
    <x v="35"/>
    <n v="354550"/>
    <x v="30"/>
    <n v="0.47749999999999998"/>
    <n v="2.094203920462558"/>
    <x v="2"/>
    <x v="0"/>
    <m/>
  </r>
  <r>
    <n v="201328"/>
    <x v="33"/>
    <x v="6"/>
    <x v="1"/>
    <s v="August,2021"/>
    <x v="1"/>
    <x v="1"/>
    <x v="36"/>
    <n v="410670"/>
    <x v="31"/>
    <n v="0.55489999999999995"/>
    <n v="1.8019334258650499"/>
    <x v="2"/>
    <x v="1"/>
    <m/>
  </r>
  <r>
    <n v="200170"/>
    <x v="34"/>
    <x v="2"/>
    <x v="1"/>
    <s v="June,2021"/>
    <x v="20"/>
    <x v="5"/>
    <x v="37"/>
    <n v="271120"/>
    <x v="32"/>
    <n v="0.37390000000000001"/>
    <n v="2.6740926526999114"/>
    <x v="2"/>
    <x v="0"/>
    <m/>
  </r>
  <r>
    <n v="20458"/>
    <x v="35"/>
    <x v="2"/>
    <x v="1"/>
    <s v="June,2021"/>
    <x v="21"/>
    <x v="5"/>
    <x v="38"/>
    <n v="271240"/>
    <x v="33"/>
    <n v="0.38200000000000001"/>
    <n v="2.6176080224155731"/>
    <x v="2"/>
    <x v="0"/>
    <m/>
  </r>
  <r>
    <n v="200421"/>
    <x v="36"/>
    <x v="0"/>
    <x v="4"/>
    <s v="December,2020"/>
    <x v="2"/>
    <x v="2"/>
    <x v="39"/>
    <n v="288190"/>
    <x v="34"/>
    <n v="0.40870000000000001"/>
    <n v="2.4463027863562234"/>
    <x v="2"/>
    <x v="0"/>
    <m/>
  </r>
  <r>
    <n v="200258"/>
    <x v="37"/>
    <x v="7"/>
    <x v="1"/>
    <s v="January,2021"/>
    <x v="22"/>
    <x v="12"/>
    <x v="40"/>
    <n v="530500"/>
    <x v="35"/>
    <n v="0.75780000000000003"/>
    <n v="1.3195098963242224"/>
    <x v="2"/>
    <x v="1"/>
    <m/>
  </r>
  <r>
    <n v="2020313"/>
    <x v="38"/>
    <x v="4"/>
    <x v="1"/>
    <s v="July,2021"/>
    <x v="23"/>
    <x v="12"/>
    <x v="41"/>
    <n v="412000"/>
    <x v="36"/>
    <n v="0.60809999999999997"/>
    <n v="1.6444174757281553"/>
    <x v="2"/>
    <x v="1"/>
    <m/>
  </r>
  <r>
    <n v="2001286"/>
    <x v="21"/>
    <x v="9"/>
    <x v="1"/>
    <s v="March,2021"/>
    <x v="10"/>
    <x v="8"/>
    <x v="42"/>
    <n v="438860"/>
    <x v="37"/>
    <n v="0.67300000000000004"/>
    <n v="1.4856674110194594"/>
    <x v="2"/>
    <x v="1"/>
    <m/>
  </r>
  <r>
    <n v="200639"/>
    <x v="13"/>
    <x v="4"/>
    <x v="1"/>
    <s v="July,2021"/>
    <x v="11"/>
    <x v="2"/>
    <x v="43"/>
    <n v="259770"/>
    <x v="38"/>
    <n v="0.39964615399999998"/>
    <n v="2.5022134965546443"/>
    <x v="2"/>
    <x v="0"/>
    <m/>
  </r>
  <r>
    <n v="20200578"/>
    <x v="5"/>
    <x v="5"/>
    <x v="1"/>
    <s v="February,2021"/>
    <x v="24"/>
    <x v="8"/>
    <x v="44"/>
    <n v="429800"/>
    <x v="38"/>
    <n v="0.66120000000000001"/>
    <n v="1.5123313168915775"/>
    <x v="1"/>
    <x v="1"/>
    <m/>
  </r>
  <r>
    <n v="200804"/>
    <x v="39"/>
    <x v="10"/>
    <x v="1"/>
    <s v="September,2021"/>
    <x v="22"/>
    <x v="12"/>
    <x v="45"/>
    <n v="455100"/>
    <x v="38"/>
    <n v="0.70009999999999994"/>
    <n v="1.4282575258185015"/>
    <x v="1"/>
    <x v="1"/>
    <m/>
  </r>
  <r>
    <n v="200043"/>
    <x v="14"/>
    <x v="0"/>
    <x v="4"/>
    <s v="December,2020"/>
    <x v="25"/>
    <x v="13"/>
    <x v="46"/>
    <n v="354040"/>
    <x v="39"/>
    <n v="0.54879999999999995"/>
    <n v="1.8218280420291493"/>
    <x v="2"/>
    <x v="1"/>
    <m/>
  </r>
  <r>
    <n v="200042"/>
    <x v="40"/>
    <x v="3"/>
    <x v="1"/>
    <s v="May,2021"/>
    <x v="26"/>
    <x v="1"/>
    <x v="47"/>
    <n v="355800"/>
    <x v="40"/>
    <n v="0.59389999999999998"/>
    <n v="1.6835300730747611"/>
    <x v="2"/>
    <x v="1"/>
    <m/>
  </r>
  <r>
    <n v="70101"/>
    <x v="41"/>
    <x v="9"/>
    <x v="5"/>
    <s v="March,2008"/>
    <x v="27"/>
    <x v="11"/>
    <x v="48"/>
    <n v="342230"/>
    <x v="41"/>
    <n v="0.59518260899999997"/>
    <n v="1.6801566198170821"/>
    <x v="0"/>
    <x v="1"/>
    <m/>
  </r>
  <r>
    <n v="200002"/>
    <x v="42"/>
    <x v="8"/>
    <x v="4"/>
    <s v="October,2020"/>
    <x v="28"/>
    <x v="0"/>
    <x v="49"/>
    <n v="439290"/>
    <x v="41"/>
    <n v="0.76398260900000003"/>
    <n v="1.3089303193789978"/>
    <x v="2"/>
    <x v="1"/>
    <m/>
  </r>
  <r>
    <n v="160178"/>
    <x v="43"/>
    <x v="2"/>
    <x v="3"/>
    <s v="June,2017"/>
    <x v="29"/>
    <x v="14"/>
    <x v="50"/>
    <n v="363600"/>
    <x v="42"/>
    <n v="0.63510917"/>
    <n v="1.5745324532453244"/>
    <x v="0"/>
    <x v="1"/>
    <m/>
  </r>
  <r>
    <n v="20249"/>
    <x v="44"/>
    <x v="10"/>
    <x v="1"/>
    <s v="September,2021"/>
    <x v="30"/>
    <x v="14"/>
    <x v="51"/>
    <n v="297700"/>
    <x v="43"/>
    <n v="0.54120000000000001"/>
    <n v="1.8474974806852535"/>
    <x v="2"/>
    <x v="1"/>
    <m/>
  </r>
  <r>
    <n v="200742"/>
    <x v="45"/>
    <x v="9"/>
    <x v="1"/>
    <s v="March,2021"/>
    <x v="4"/>
    <x v="4"/>
    <x v="52"/>
    <n v="339100"/>
    <x v="43"/>
    <n v="0.61650000000000005"/>
    <n v="1.6219404305514598"/>
    <x v="2"/>
    <x v="1"/>
    <m/>
  </r>
  <r>
    <n v="200151"/>
    <x v="46"/>
    <x v="0"/>
    <x v="4"/>
    <s v="December,2020"/>
    <x v="31"/>
    <x v="15"/>
    <x v="53"/>
    <n v="356410"/>
    <x v="43"/>
    <n v="0.64800000000000002"/>
    <n v="1.543166577817682"/>
    <x v="2"/>
    <x v="1"/>
    <m/>
  </r>
  <r>
    <n v="70561"/>
    <x v="47"/>
    <x v="10"/>
    <x v="5"/>
    <s v="September,2008"/>
    <x v="32"/>
    <x v="8"/>
    <x v="54"/>
    <n v="342650"/>
    <x v="44"/>
    <n v="0.63161290299999995"/>
    <n v="1.5832482124616956"/>
    <x v="0"/>
    <x v="1"/>
    <m/>
  </r>
  <r>
    <n v="2001590"/>
    <x v="48"/>
    <x v="3"/>
    <x v="1"/>
    <s v="May,2021"/>
    <x v="10"/>
    <x v="8"/>
    <x v="55"/>
    <n v="423700"/>
    <x v="45"/>
    <n v="0.7944"/>
    <n v="1.2587915978286524"/>
    <x v="2"/>
    <x v="1"/>
    <m/>
  </r>
  <r>
    <n v="141056"/>
    <x v="49"/>
    <x v="2"/>
    <x v="6"/>
    <s v="June,2015"/>
    <x v="10"/>
    <x v="8"/>
    <x v="56"/>
    <n v="314280"/>
    <x v="46"/>
    <n v="0.59749049399999998"/>
    <n v="1.673666793941708"/>
    <x v="0"/>
    <x v="1"/>
    <m/>
  </r>
  <r>
    <n v="201580"/>
    <x v="50"/>
    <x v="10"/>
    <x v="1"/>
    <s v="September,2021"/>
    <x v="4"/>
    <x v="4"/>
    <x v="57"/>
    <n v="192300"/>
    <x v="47"/>
    <n v="0.36628571399999998"/>
    <n v="2.7301092043681749"/>
    <x v="2"/>
    <x v="0"/>
    <m/>
  </r>
  <r>
    <n v="200374"/>
    <x v="51"/>
    <x v="9"/>
    <x v="1"/>
    <s v="March,2021"/>
    <x v="32"/>
    <x v="8"/>
    <x v="58"/>
    <n v="227500"/>
    <x v="47"/>
    <n v="0.43330000000000002"/>
    <n v="2.3076923076923075"/>
    <x v="2"/>
    <x v="0"/>
    <m/>
  </r>
  <r>
    <n v="201023"/>
    <x v="52"/>
    <x v="4"/>
    <x v="1"/>
    <s v="July,2021"/>
    <x v="33"/>
    <x v="16"/>
    <x v="59"/>
    <n v="435610"/>
    <x v="47"/>
    <n v="0.82969999999999999"/>
    <n v="1.2052064920456371"/>
    <x v="1"/>
    <x v="1"/>
    <m/>
  </r>
  <r>
    <n v="200827"/>
    <x v="29"/>
    <x v="10"/>
    <x v="1"/>
    <s v="September,2021"/>
    <x v="34"/>
    <x v="2"/>
    <x v="60"/>
    <n v="332000"/>
    <x v="48"/>
    <n v="0.63839999999999997"/>
    <n v="1.5662650602409638"/>
    <x v="2"/>
    <x v="1"/>
    <m/>
  </r>
  <r>
    <n v="200140"/>
    <x v="53"/>
    <x v="1"/>
    <x v="1"/>
    <s v="April,2021"/>
    <x v="35"/>
    <x v="6"/>
    <x v="61"/>
    <n v="335800"/>
    <x v="48"/>
    <n v="0.64570000000000005"/>
    <n v="1.5485407980941037"/>
    <x v="2"/>
    <x v="1"/>
    <m/>
  </r>
  <r>
    <n v="200499"/>
    <x v="54"/>
    <x v="10"/>
    <x v="1"/>
    <s v="September,2021"/>
    <x v="8"/>
    <x v="6"/>
    <x v="62"/>
    <n v="233660"/>
    <x v="49"/>
    <n v="0.45190000000000002"/>
    <n v="2.2126166224428658"/>
    <x v="2"/>
    <x v="0"/>
    <m/>
  </r>
  <r>
    <n v="130962"/>
    <x v="55"/>
    <x v="10"/>
    <x v="7"/>
    <s v="September,2014"/>
    <x v="36"/>
    <x v="15"/>
    <x v="63"/>
    <n v="301070"/>
    <x v="50"/>
    <n v="0.58460194200000004"/>
    <n v="1.7105656491845751"/>
    <x v="0"/>
    <x v="1"/>
    <m/>
  </r>
  <r>
    <n v="20588"/>
    <x v="56"/>
    <x v="4"/>
    <x v="1"/>
    <s v="July,2021"/>
    <x v="37"/>
    <x v="8"/>
    <x v="64"/>
    <n v="235950"/>
    <x v="51"/>
    <n v="0.46260000000000001"/>
    <n v="2.1614748887476161"/>
    <x v="2"/>
    <x v="0"/>
    <m/>
  </r>
  <r>
    <n v="20742"/>
    <x v="6"/>
    <x v="6"/>
    <x v="1"/>
    <s v="August,2021"/>
    <x v="13"/>
    <x v="3"/>
    <x v="65"/>
    <n v="325640"/>
    <x v="52"/>
    <n v="0.64100000000000001"/>
    <n v="1.5600049134013021"/>
    <x v="2"/>
    <x v="1"/>
    <m/>
  </r>
  <r>
    <n v="150034"/>
    <x v="57"/>
    <x v="3"/>
    <x v="0"/>
    <s v="May,2016"/>
    <x v="38"/>
    <x v="8"/>
    <x v="66"/>
    <n v="309800"/>
    <x v="53"/>
    <n v="0.61346534699999999"/>
    <n v="1.6300839251129762"/>
    <x v="0"/>
    <x v="1"/>
    <m/>
  </r>
  <r>
    <n v="70535"/>
    <x v="58"/>
    <x v="3"/>
    <x v="5"/>
    <s v="May,2008"/>
    <x v="39"/>
    <x v="5"/>
    <x v="67"/>
    <n v="235800"/>
    <x v="54"/>
    <n v="0.483484038"/>
    <n v="2.0683206106870231"/>
    <x v="0"/>
    <x v="0"/>
    <m/>
  </r>
  <r>
    <n v="200080"/>
    <x v="59"/>
    <x v="11"/>
    <x v="4"/>
    <s v="November,2020"/>
    <x v="40"/>
    <x v="2"/>
    <x v="68"/>
    <n v="239550"/>
    <x v="55"/>
    <n v="0.499"/>
    <n v="2.0037570444583594"/>
    <x v="2"/>
    <x v="0"/>
    <m/>
  </r>
  <r>
    <n v="200282"/>
    <x v="60"/>
    <x v="4"/>
    <x v="1"/>
    <s v="July,2021"/>
    <x v="41"/>
    <x v="1"/>
    <x v="69"/>
    <n v="359800"/>
    <x v="55"/>
    <n v="0.74950000000000006"/>
    <n v="1.3340744858254585"/>
    <x v="1"/>
    <x v="1"/>
    <m/>
  </r>
  <r>
    <n v="162511"/>
    <x v="61"/>
    <x v="10"/>
    <x v="3"/>
    <s v="September,2017"/>
    <x v="32"/>
    <x v="8"/>
    <x v="70"/>
    <n v="306950"/>
    <x v="56"/>
    <n v="0.64411004999999999"/>
    <n v="1.5525297279687245"/>
    <x v="0"/>
    <x v="1"/>
    <m/>
  </r>
  <r>
    <n v="200145"/>
    <x v="62"/>
    <x v="6"/>
    <x v="1"/>
    <s v="August,2021"/>
    <x v="42"/>
    <x v="3"/>
    <x v="71"/>
    <n v="238980"/>
    <x v="57"/>
    <n v="0.51949999999999996"/>
    <n v="1.9248472675537702"/>
    <x v="2"/>
    <x v="1"/>
    <m/>
  </r>
  <r>
    <n v="200359"/>
    <x v="63"/>
    <x v="9"/>
    <x v="1"/>
    <s v="March,2021"/>
    <x v="14"/>
    <x v="9"/>
    <x v="72"/>
    <n v="256550"/>
    <x v="58"/>
    <n v="0.56879999999999997"/>
    <n v="1.7579419216526992"/>
    <x v="2"/>
    <x v="1"/>
    <m/>
  </r>
  <r>
    <n v="20761"/>
    <x v="64"/>
    <x v="3"/>
    <x v="1"/>
    <s v="May,2021"/>
    <x v="43"/>
    <x v="3"/>
    <x v="73"/>
    <n v="212310"/>
    <x v="59"/>
    <n v="0.4718"/>
    <n v="2.1195421788893598"/>
    <x v="3"/>
    <x v="0"/>
    <m/>
  </r>
  <r>
    <n v="201007"/>
    <x v="65"/>
    <x v="9"/>
    <x v="1"/>
    <s v="March,2021"/>
    <x v="44"/>
    <x v="3"/>
    <x v="74"/>
    <n v="261800"/>
    <x v="59"/>
    <n v="0.58169999999999999"/>
    <n v="1.7188693659281895"/>
    <x v="2"/>
    <x v="1"/>
    <m/>
  </r>
  <r>
    <n v="202281"/>
    <x v="29"/>
    <x v="10"/>
    <x v="1"/>
    <s v="September,2021"/>
    <x v="45"/>
    <x v="3"/>
    <x v="75"/>
    <n v="276010"/>
    <x v="60"/>
    <n v="0.62280000000000002"/>
    <n v="1.6056121155030614"/>
    <x v="2"/>
    <x v="1"/>
    <m/>
  </r>
  <r>
    <n v="20360"/>
    <x v="37"/>
    <x v="7"/>
    <x v="1"/>
    <s v="January,2021"/>
    <x v="33"/>
    <x v="16"/>
    <x v="76"/>
    <n v="173670"/>
    <x v="61"/>
    <n v="0.3947"/>
    <n v="2.5329648183336211"/>
    <x v="1"/>
    <x v="0"/>
    <m/>
  </r>
  <r>
    <n v="200552"/>
    <x v="66"/>
    <x v="10"/>
    <x v="1"/>
    <s v="September,2021"/>
    <x v="46"/>
    <x v="8"/>
    <x v="77"/>
    <n v="213100"/>
    <x v="62"/>
    <n v="0.48980000000000001"/>
    <n v="2.0412951665884562"/>
    <x v="2"/>
    <x v="0"/>
    <m/>
  </r>
  <r>
    <n v="20002"/>
    <x v="67"/>
    <x v="8"/>
    <x v="4"/>
    <s v="October,2020"/>
    <x v="47"/>
    <x v="7"/>
    <x v="78"/>
    <n v="253000"/>
    <x v="63"/>
    <n v="0.58830000000000005"/>
    <n v="1.6996047430830039"/>
    <x v="2"/>
    <x v="1"/>
    <m/>
  </r>
  <r>
    <n v="60890"/>
    <x v="68"/>
    <x v="1"/>
    <x v="8"/>
    <s v="April,2007"/>
    <x v="44"/>
    <x v="3"/>
    <x v="79"/>
    <n v="44653"/>
    <x v="64"/>
    <n v="0.10408624700000001"/>
    <n v="9.6074171948133387"/>
    <x v="0"/>
    <x v="0"/>
    <m/>
  </r>
  <r>
    <n v="162063"/>
    <x v="69"/>
    <x v="10"/>
    <x v="3"/>
    <s v="September,2017"/>
    <x v="10"/>
    <x v="8"/>
    <x v="80"/>
    <n v="8190"/>
    <x v="65"/>
    <n v="1.9157895000000001E-2"/>
    <n v="52.197802197802197"/>
    <x v="0"/>
    <x v="0"/>
    <m/>
  </r>
  <r>
    <n v="200125"/>
    <x v="70"/>
    <x v="9"/>
    <x v="1"/>
    <s v="March,2021"/>
    <x v="35"/>
    <x v="6"/>
    <x v="81"/>
    <n v="220500"/>
    <x v="66"/>
    <n v="0.51880000000000004"/>
    <n v="1.9274376417233561"/>
    <x v="2"/>
    <x v="1"/>
    <m/>
  </r>
  <r>
    <n v="200236"/>
    <x v="71"/>
    <x v="9"/>
    <x v="1"/>
    <s v="March,2021"/>
    <x v="8"/>
    <x v="6"/>
    <x v="82"/>
    <n v="238140"/>
    <x v="67"/>
    <n v="0.56559999999999999"/>
    <n v="1.7678676408835139"/>
    <x v="2"/>
    <x v="1"/>
    <m/>
  </r>
  <r>
    <n v="200599"/>
    <x v="11"/>
    <x v="4"/>
    <x v="1"/>
    <s v="July,2021"/>
    <x v="14"/>
    <x v="9"/>
    <x v="83"/>
    <n v="237440"/>
    <x v="68"/>
    <n v="0.56530000000000002"/>
    <n v="1.7688679245283019"/>
    <x v="2"/>
    <x v="1"/>
    <m/>
  </r>
  <r>
    <n v="200078"/>
    <x v="72"/>
    <x v="10"/>
    <x v="1"/>
    <s v="September,2021"/>
    <x v="48"/>
    <x v="1"/>
    <x v="84"/>
    <n v="250100"/>
    <x v="69"/>
    <n v="0.59709999999999996"/>
    <n v="1.67453018792483"/>
    <x v="2"/>
    <x v="1"/>
    <m/>
  </r>
  <r>
    <n v="200305"/>
    <x v="73"/>
    <x v="7"/>
    <x v="1"/>
    <s v="January,2021"/>
    <x v="49"/>
    <x v="6"/>
    <x v="85"/>
    <n v="233660"/>
    <x v="70"/>
    <n v="0.56989999999999996"/>
    <n v="1.7546862963279979"/>
    <x v="2"/>
    <x v="1"/>
    <m/>
  </r>
  <r>
    <n v="2001493"/>
    <x v="74"/>
    <x v="3"/>
    <x v="1"/>
    <s v="May,2021"/>
    <x v="10"/>
    <x v="8"/>
    <x v="86"/>
    <n v="238890"/>
    <x v="71"/>
    <n v="0.59719999999999995"/>
    <n v="1.6744108166938758"/>
    <x v="2"/>
    <x v="1"/>
    <m/>
  </r>
  <r>
    <n v="201057"/>
    <x v="75"/>
    <x v="6"/>
    <x v="1"/>
    <s v="August,2021"/>
    <x v="43"/>
    <x v="3"/>
    <x v="87"/>
    <n v="264390"/>
    <x v="71"/>
    <n v="0.66090000000000004"/>
    <n v="1.5129165248307426"/>
    <x v="1"/>
    <x v="1"/>
    <m/>
  </r>
  <r>
    <n v="20200824"/>
    <x v="74"/>
    <x v="3"/>
    <x v="1"/>
    <s v="May,2021"/>
    <x v="24"/>
    <x v="8"/>
    <x v="88"/>
    <n v="193340"/>
    <x v="72"/>
    <n v="0.4894"/>
    <n v="2.0430329988621083"/>
    <x v="2"/>
    <x v="0"/>
    <m/>
  </r>
  <r>
    <n v="200035"/>
    <x v="76"/>
    <x v="8"/>
    <x v="4"/>
    <s v="October,2020"/>
    <x v="50"/>
    <x v="1"/>
    <x v="89"/>
    <n v="223900"/>
    <x v="73"/>
    <n v="0.57110000000000005"/>
    <n v="1.7507815989280928"/>
    <x v="2"/>
    <x v="1"/>
    <m/>
  </r>
  <r>
    <n v="200510"/>
    <x v="77"/>
    <x v="10"/>
    <x v="1"/>
    <s v="September,2021"/>
    <x v="8"/>
    <x v="6"/>
    <x v="90"/>
    <n v="212100"/>
    <x v="74"/>
    <n v="0.54310000000000003"/>
    <n v="1.8411126826968411"/>
    <x v="2"/>
    <x v="1"/>
    <m/>
  </r>
  <r>
    <n v="200074"/>
    <x v="78"/>
    <x v="10"/>
    <x v="1"/>
    <s v="September,2021"/>
    <x v="51"/>
    <x v="1"/>
    <x v="91"/>
    <n v="246100"/>
    <x v="75"/>
    <n v="0.63919999999999999"/>
    <n v="1.564404713531085"/>
    <x v="1"/>
    <x v="1"/>
    <m/>
  </r>
  <r>
    <n v="200014"/>
    <x v="79"/>
    <x v="8"/>
    <x v="4"/>
    <s v="October,2020"/>
    <x v="20"/>
    <x v="5"/>
    <x v="92"/>
    <n v="245790"/>
    <x v="76"/>
    <n v="0.64339999999999997"/>
    <n v="1.554172260873103"/>
    <x v="2"/>
    <x v="1"/>
    <m/>
  </r>
  <r>
    <n v="200245"/>
    <x v="80"/>
    <x v="7"/>
    <x v="1"/>
    <s v="January,2021"/>
    <x v="32"/>
    <x v="8"/>
    <x v="93"/>
    <n v="310660"/>
    <x v="77"/>
    <n v="0.82840000000000003"/>
    <n v="1.2071074486576965"/>
    <x v="1"/>
    <x v="1"/>
    <m/>
  </r>
  <r>
    <n v="162000"/>
    <x v="81"/>
    <x v="10"/>
    <x v="3"/>
    <s v="September,2017"/>
    <x v="10"/>
    <x v="8"/>
    <x v="94"/>
    <n v="264700"/>
    <x v="78"/>
    <n v="0.70965147500000003"/>
    <n v="1.4091424253872309"/>
    <x v="0"/>
    <x v="1"/>
    <m/>
  </r>
  <r>
    <n v="200081"/>
    <x v="82"/>
    <x v="11"/>
    <x v="4"/>
    <s v="November,2020"/>
    <x v="52"/>
    <x v="8"/>
    <x v="95"/>
    <n v="270440"/>
    <x v="79"/>
    <n v="0.72689999999999999"/>
    <n v="1.3755361632894543"/>
    <x v="2"/>
    <x v="1"/>
    <m/>
  </r>
  <r>
    <n v="200011"/>
    <x v="79"/>
    <x v="8"/>
    <x v="4"/>
    <s v="October,2020"/>
    <x v="14"/>
    <x v="9"/>
    <x v="96"/>
    <n v="183190"/>
    <x v="80"/>
    <n v="0.49509999999999998"/>
    <n v="2.0197609039794751"/>
    <x v="2"/>
    <x v="0"/>
    <m/>
  </r>
  <r>
    <n v="900420"/>
    <x v="83"/>
    <x v="10"/>
    <x v="9"/>
    <s v="September,2010"/>
    <x v="31"/>
    <x v="15"/>
    <x v="97"/>
    <n v="265580"/>
    <x v="81"/>
    <n v="0.71797783199999998"/>
    <n v="1.3928006627005045"/>
    <x v="0"/>
    <x v="1"/>
    <m/>
  </r>
  <r>
    <n v="200233"/>
    <x v="84"/>
    <x v="0"/>
    <x v="4"/>
    <s v="December,2020"/>
    <x v="14"/>
    <x v="9"/>
    <x v="98"/>
    <n v="202160"/>
    <x v="82"/>
    <n v="0.55379999999999996"/>
    <n v="1.8055005935892363"/>
    <x v="2"/>
    <x v="1"/>
    <m/>
  </r>
  <r>
    <n v="2000230"/>
    <x v="85"/>
    <x v="9"/>
    <x v="1"/>
    <s v="March,2021"/>
    <x v="53"/>
    <x v="1"/>
    <x v="99"/>
    <n v="210940"/>
    <x v="82"/>
    <n v="0.57789999999999997"/>
    <n v="1.7303498625201479"/>
    <x v="2"/>
    <x v="1"/>
    <m/>
  </r>
  <r>
    <n v="201129"/>
    <x v="86"/>
    <x v="6"/>
    <x v="1"/>
    <s v="August,2021"/>
    <x v="33"/>
    <x v="16"/>
    <x v="100"/>
    <n v="114954"/>
    <x v="83"/>
    <n v="0.31929999999999997"/>
    <n v="3.1316874575917324"/>
    <x v="2"/>
    <x v="0"/>
    <m/>
  </r>
  <r>
    <n v="20293"/>
    <x v="87"/>
    <x v="2"/>
    <x v="1"/>
    <s v="June,2021"/>
    <x v="54"/>
    <x v="10"/>
    <x v="101"/>
    <n v="193560"/>
    <x v="83"/>
    <n v="0.53759999999999997"/>
    <n v="1.8598884066955983"/>
    <x v="2"/>
    <x v="1"/>
    <m/>
  </r>
  <r>
    <n v="200125"/>
    <x v="29"/>
    <x v="10"/>
    <x v="1"/>
    <s v="September,2021"/>
    <x v="55"/>
    <x v="16"/>
    <x v="102"/>
    <n v="194790"/>
    <x v="83"/>
    <n v="0.54100000000000004"/>
    <n v="1.8481441552441091"/>
    <x v="2"/>
    <x v="1"/>
    <m/>
  </r>
  <r>
    <n v="200652"/>
    <x v="88"/>
    <x v="2"/>
    <x v="1"/>
    <s v="June,2021"/>
    <x v="49"/>
    <x v="6"/>
    <x v="103"/>
    <n v="203470"/>
    <x v="83"/>
    <n v="0.56510000000000005"/>
    <n v="1.7693025998918759"/>
    <x v="2"/>
    <x v="1"/>
    <m/>
  </r>
  <r>
    <n v="2002299"/>
    <x v="89"/>
    <x v="6"/>
    <x v="1"/>
    <s v="August,2021"/>
    <x v="10"/>
    <x v="8"/>
    <x v="104"/>
    <n v="169050"/>
    <x v="84"/>
    <n v="0.47610000000000002"/>
    <n v="2.0999704229517895"/>
    <x v="2"/>
    <x v="0"/>
    <m/>
  </r>
  <r>
    <n v="202876"/>
    <x v="90"/>
    <x v="6"/>
    <x v="1"/>
    <s v="August,2021"/>
    <x v="44"/>
    <x v="3"/>
    <x v="105"/>
    <n v="256270"/>
    <x v="84"/>
    <n v="0.7218"/>
    <n v="1.3852577359815819"/>
    <x v="2"/>
    <x v="1"/>
    <m/>
  </r>
  <r>
    <n v="200086"/>
    <x v="91"/>
    <x v="6"/>
    <x v="1"/>
    <s v="August,2021"/>
    <x v="56"/>
    <x v="12"/>
    <x v="106"/>
    <n v="168900"/>
    <x v="85"/>
    <n v="0.4798"/>
    <n v="2.0840734162226169"/>
    <x v="2"/>
    <x v="0"/>
    <m/>
  </r>
  <r>
    <n v="200656"/>
    <x v="92"/>
    <x v="1"/>
    <x v="1"/>
    <s v="April,2021"/>
    <x v="12"/>
    <x v="3"/>
    <x v="107"/>
    <n v="262300"/>
    <x v="85"/>
    <n v="0.74509999999999998"/>
    <n v="1.341974837971788"/>
    <x v="1"/>
    <x v="1"/>
    <m/>
  </r>
  <r>
    <n v="200210"/>
    <x v="4"/>
    <x v="4"/>
    <x v="1"/>
    <s v="July,2021"/>
    <x v="57"/>
    <x v="11"/>
    <x v="108"/>
    <n v="169400"/>
    <x v="86"/>
    <n v="0.49099999999999999"/>
    <n v="2.0365997638724913"/>
    <x v="2"/>
    <x v="0"/>
    <m/>
  </r>
  <r>
    <n v="2000212"/>
    <x v="93"/>
    <x v="8"/>
    <x v="4"/>
    <s v="October,2020"/>
    <x v="10"/>
    <x v="8"/>
    <x v="109"/>
    <n v="199330"/>
    <x v="87"/>
    <n v="0.58189999999999997"/>
    <n v="1.7182561581297346"/>
    <x v="2"/>
    <x v="1"/>
    <m/>
  </r>
  <r>
    <n v="200149"/>
    <x v="4"/>
    <x v="4"/>
    <x v="1"/>
    <s v="July,2021"/>
    <x v="58"/>
    <x v="9"/>
    <x v="110"/>
    <n v="204000"/>
    <x v="88"/>
    <n v="0.60440000000000005"/>
    <n v="1.6544117647058822"/>
    <x v="2"/>
    <x v="1"/>
    <m/>
  </r>
  <r>
    <n v="20139"/>
    <x v="94"/>
    <x v="0"/>
    <x v="4"/>
    <s v="December,2020"/>
    <x v="59"/>
    <x v="12"/>
    <x v="111"/>
    <n v="171360"/>
    <x v="89"/>
    <n v="0.51149999999999995"/>
    <n v="1.9549486461251167"/>
    <x v="2"/>
    <x v="1"/>
    <m/>
  </r>
  <r>
    <n v="200522"/>
    <x v="16"/>
    <x v="9"/>
    <x v="1"/>
    <s v="March,2021"/>
    <x v="12"/>
    <x v="3"/>
    <x v="112"/>
    <n v="174400"/>
    <x v="89"/>
    <n v="0.52049999999999996"/>
    <n v="1.9208715596330275"/>
    <x v="2"/>
    <x v="1"/>
    <m/>
  </r>
  <r>
    <n v="200289"/>
    <x v="95"/>
    <x v="11"/>
    <x v="4"/>
    <s v="November,2020"/>
    <x v="44"/>
    <x v="3"/>
    <x v="113"/>
    <n v="173040"/>
    <x v="90"/>
    <n v="0.52429999999999999"/>
    <n v="1.9070735090152566"/>
    <x v="2"/>
    <x v="1"/>
    <m/>
  </r>
  <r>
    <n v="100035"/>
    <x v="96"/>
    <x v="11"/>
    <x v="9"/>
    <s v="November,2010"/>
    <x v="40"/>
    <x v="2"/>
    <x v="114"/>
    <n v="257040"/>
    <x v="90"/>
    <n v="0.77890909100000005"/>
    <n v="1.2838468720821663"/>
    <x v="0"/>
    <x v="1"/>
    <m/>
  </r>
  <r>
    <n v="200494"/>
    <x v="97"/>
    <x v="5"/>
    <x v="1"/>
    <s v="February,2021"/>
    <x v="39"/>
    <x v="5"/>
    <x v="115"/>
    <n v="181720"/>
    <x v="91"/>
    <n v="0.55410000000000004"/>
    <n v="1.8044243891701519"/>
    <x v="2"/>
    <x v="1"/>
    <m/>
  </r>
  <r>
    <n v="2020348"/>
    <x v="98"/>
    <x v="10"/>
    <x v="1"/>
    <s v="September,2021"/>
    <x v="60"/>
    <x v="7"/>
    <x v="116"/>
    <n v="150500"/>
    <x v="92"/>
    <n v="0.46300000000000002"/>
    <n v="2.1594684385382061"/>
    <x v="1"/>
    <x v="0"/>
    <m/>
  </r>
  <r>
    <n v="201443"/>
    <x v="78"/>
    <x v="10"/>
    <x v="1"/>
    <s v="September,2021"/>
    <x v="4"/>
    <x v="4"/>
    <x v="117"/>
    <n v="158700"/>
    <x v="92"/>
    <n v="0.48830000000000001"/>
    <n v="2.0478890989287963"/>
    <x v="2"/>
    <x v="0"/>
    <m/>
  </r>
  <r>
    <n v="200175"/>
    <x v="76"/>
    <x v="8"/>
    <x v="4"/>
    <s v="October,2020"/>
    <x v="61"/>
    <x v="11"/>
    <x v="118"/>
    <n v="180950"/>
    <x v="92"/>
    <n v="0.55669999999999997"/>
    <n v="1.7960762641613706"/>
    <x v="2"/>
    <x v="1"/>
    <m/>
  </r>
  <r>
    <n v="160717"/>
    <x v="99"/>
    <x v="10"/>
    <x v="3"/>
    <s v="September,2017"/>
    <x v="62"/>
    <x v="5"/>
    <x v="119"/>
    <n v="199400"/>
    <x v="93"/>
    <n v="0.62312500000000004"/>
    <n v="1.60481444332999"/>
    <x v="0"/>
    <x v="1"/>
    <m/>
  </r>
  <r>
    <n v="2000448"/>
    <x v="100"/>
    <x v="2"/>
    <x v="1"/>
    <s v="June,2021"/>
    <x v="63"/>
    <x v="5"/>
    <x v="120"/>
    <n v="158870"/>
    <x v="94"/>
    <n v="0.50429999999999997"/>
    <n v="1.9827531944357022"/>
    <x v="2"/>
    <x v="1"/>
    <m/>
  </r>
  <r>
    <n v="160943"/>
    <x v="101"/>
    <x v="3"/>
    <x v="3"/>
    <s v="May,2017"/>
    <x v="44"/>
    <x v="3"/>
    <x v="121"/>
    <n v="189500"/>
    <x v="95"/>
    <n v="0.60543130999999994"/>
    <n v="1.6517150395778364"/>
    <x v="0"/>
    <x v="1"/>
    <m/>
  </r>
  <r>
    <n v="20492"/>
    <x v="86"/>
    <x v="6"/>
    <x v="1"/>
    <s v="August,2021"/>
    <x v="54"/>
    <x v="10"/>
    <x v="122"/>
    <n v="142910"/>
    <x v="96"/>
    <n v="0.46100000000000002"/>
    <n v="2.1691973969631237"/>
    <x v="2"/>
    <x v="0"/>
    <m/>
  </r>
  <r>
    <n v="200700"/>
    <x v="102"/>
    <x v="4"/>
    <x v="1"/>
    <s v="July,2021"/>
    <x v="49"/>
    <x v="6"/>
    <x v="123"/>
    <n v="161590"/>
    <x v="96"/>
    <n v="0.5212"/>
    <n v="1.9184355467541307"/>
    <x v="2"/>
    <x v="1"/>
    <m/>
  </r>
  <r>
    <n v="200038"/>
    <x v="103"/>
    <x v="8"/>
    <x v="4"/>
    <s v="October,2020"/>
    <x v="64"/>
    <x v="11"/>
    <x v="124"/>
    <n v="209440"/>
    <x v="97"/>
    <n v="0.68220000000000003"/>
    <n v="1.4658135981665394"/>
    <x v="2"/>
    <x v="1"/>
    <m/>
  </r>
  <r>
    <n v="200961"/>
    <x v="38"/>
    <x v="4"/>
    <x v="1"/>
    <s v="July,2021"/>
    <x v="64"/>
    <x v="11"/>
    <x v="125"/>
    <n v="130340"/>
    <x v="98"/>
    <n v="0.42730000000000001"/>
    <n v="2.340033757864048"/>
    <x v="2"/>
    <x v="0"/>
    <m/>
  </r>
  <r>
    <n v="200557"/>
    <x v="104"/>
    <x v="9"/>
    <x v="1"/>
    <s v="March,2021"/>
    <x v="39"/>
    <x v="5"/>
    <x v="126"/>
    <n v="166670"/>
    <x v="98"/>
    <n v="0.5464"/>
    <n v="1.8299634007319854"/>
    <x v="2"/>
    <x v="1"/>
    <m/>
  </r>
  <r>
    <n v="20014"/>
    <x v="15"/>
    <x v="8"/>
    <x v="4"/>
    <s v="October,2020"/>
    <x v="27"/>
    <x v="11"/>
    <x v="127"/>
    <n v="189100"/>
    <x v="98"/>
    <n v="0.62"/>
    <n v="1.6129032258064515"/>
    <x v="2"/>
    <x v="1"/>
    <m/>
  </r>
  <r>
    <n v="200376"/>
    <x v="105"/>
    <x v="7"/>
    <x v="1"/>
    <s v="January,2021"/>
    <x v="39"/>
    <x v="5"/>
    <x v="128"/>
    <n v="216580"/>
    <x v="98"/>
    <n v="0.71"/>
    <n v="1.4082556099362822"/>
    <x v="2"/>
    <x v="1"/>
    <m/>
  </r>
  <r>
    <n v="201078"/>
    <x v="106"/>
    <x v="0"/>
    <x v="4"/>
    <s v="December,2020"/>
    <x v="65"/>
    <x v="2"/>
    <x v="129"/>
    <n v="173040"/>
    <x v="99"/>
    <n v="0.57289999999999996"/>
    <n v="1.7452612112806287"/>
    <x v="2"/>
    <x v="1"/>
    <m/>
  </r>
  <r>
    <n v="200484"/>
    <x v="4"/>
    <x v="4"/>
    <x v="1"/>
    <s v="July,2021"/>
    <x v="66"/>
    <x v="17"/>
    <x v="130"/>
    <n v="126800"/>
    <x v="100"/>
    <n v="0.42259999999999998"/>
    <n v="2.3659305993690851"/>
    <x v="2"/>
    <x v="0"/>
    <m/>
  </r>
  <r>
    <n v="200354"/>
    <x v="107"/>
    <x v="0"/>
    <x v="4"/>
    <s v="December,2020"/>
    <x v="67"/>
    <x v="12"/>
    <x v="131"/>
    <n v="173740"/>
    <x v="101"/>
    <n v="0.58099999999999996"/>
    <n v="1.720962357545758"/>
    <x v="2"/>
    <x v="1"/>
    <m/>
  </r>
  <r>
    <n v="161101"/>
    <x v="108"/>
    <x v="3"/>
    <x v="3"/>
    <s v="May,2017"/>
    <x v="10"/>
    <x v="8"/>
    <x v="132"/>
    <n v="180350"/>
    <x v="101"/>
    <n v="0.60317725799999999"/>
    <n v="1.6578874410867757"/>
    <x v="0"/>
    <x v="1"/>
    <m/>
  </r>
  <r>
    <n v="80097"/>
    <x v="109"/>
    <x v="9"/>
    <x v="10"/>
    <s v="March,2009"/>
    <x v="68"/>
    <x v="6"/>
    <x v="133"/>
    <n v="210600"/>
    <x v="101"/>
    <n v="0.70434782600000001"/>
    <n v="1.4197530864197532"/>
    <x v="0"/>
    <x v="1"/>
    <m/>
  </r>
  <r>
    <n v="70355"/>
    <x v="110"/>
    <x v="3"/>
    <x v="5"/>
    <s v="May,2008"/>
    <x v="62"/>
    <x v="5"/>
    <x v="134"/>
    <n v="179830"/>
    <x v="102"/>
    <n v="0.61480341900000002"/>
    <n v="1.6265361730523271"/>
    <x v="0"/>
    <x v="1"/>
    <m/>
  </r>
  <r>
    <n v="200046"/>
    <x v="46"/>
    <x v="0"/>
    <x v="4"/>
    <s v="December,2020"/>
    <x v="58"/>
    <x v="9"/>
    <x v="135"/>
    <n v="133210"/>
    <x v="103"/>
    <n v="0.45950000000000002"/>
    <n v="2.1762630433150663"/>
    <x v="2"/>
    <x v="0"/>
    <m/>
  </r>
  <r>
    <n v="20200070"/>
    <x v="111"/>
    <x v="1"/>
    <x v="1"/>
    <s v="April,2021"/>
    <x v="38"/>
    <x v="8"/>
    <x v="136"/>
    <n v="170200"/>
    <x v="104"/>
    <n v="0.59299999999999997"/>
    <n v="1.6862514688601644"/>
    <x v="2"/>
    <x v="1"/>
    <m/>
  </r>
  <r>
    <n v="200709"/>
    <x v="112"/>
    <x v="1"/>
    <x v="1"/>
    <s v="April,2021"/>
    <x v="18"/>
    <x v="11"/>
    <x v="137"/>
    <n v="138100"/>
    <x v="105"/>
    <n v="0.48884955800000002"/>
    <n v="2.0456191165821869"/>
    <x v="2"/>
    <x v="0"/>
    <m/>
  </r>
  <r>
    <n v="200117"/>
    <x v="113"/>
    <x v="1"/>
    <x v="1"/>
    <s v="April,2021"/>
    <x v="69"/>
    <x v="1"/>
    <x v="138"/>
    <n v="160850"/>
    <x v="106"/>
    <n v="0.57440000000000002"/>
    <n v="1.7407522536524713"/>
    <x v="2"/>
    <x v="1"/>
    <m/>
  </r>
  <r>
    <n v="90472"/>
    <x v="114"/>
    <x v="2"/>
    <x v="9"/>
    <s v="June,2010"/>
    <x v="36"/>
    <x v="15"/>
    <x v="139"/>
    <n v="220920"/>
    <x v="106"/>
    <n v="0.78900000000000003"/>
    <n v="1.267427122940431"/>
    <x v="0"/>
    <x v="1"/>
    <m/>
  </r>
  <r>
    <n v="20899"/>
    <x v="115"/>
    <x v="2"/>
    <x v="1"/>
    <s v="June,2021"/>
    <x v="33"/>
    <x v="16"/>
    <x v="140"/>
    <n v="137270"/>
    <x v="107"/>
    <n v="0.49280000000000002"/>
    <n v="2.0288482552633496"/>
    <x v="3"/>
    <x v="0"/>
    <m/>
  </r>
  <r>
    <n v="160197"/>
    <x v="116"/>
    <x v="11"/>
    <x v="0"/>
    <s v="November,2016"/>
    <x v="10"/>
    <x v="8"/>
    <x v="141"/>
    <n v="143650"/>
    <x v="108"/>
    <n v="0.51672661900000005"/>
    <n v="1.9352593108249216"/>
    <x v="0"/>
    <x v="1"/>
    <m/>
  </r>
  <r>
    <n v="2000327"/>
    <x v="117"/>
    <x v="9"/>
    <x v="1"/>
    <s v="March,2021"/>
    <x v="70"/>
    <x v="3"/>
    <x v="142"/>
    <n v="157810"/>
    <x v="109"/>
    <n v="0.57069999999999999"/>
    <n v="1.7521069640707179"/>
    <x v="2"/>
    <x v="1"/>
    <m/>
  </r>
  <r>
    <n v="20200059"/>
    <x v="79"/>
    <x v="8"/>
    <x v="4"/>
    <s v="October,2020"/>
    <x v="24"/>
    <x v="8"/>
    <x v="143"/>
    <n v="156380"/>
    <x v="110"/>
    <n v="0.5665"/>
    <n v="1.7649315769279958"/>
    <x v="2"/>
    <x v="1"/>
    <m/>
  </r>
  <r>
    <n v="90042"/>
    <x v="118"/>
    <x v="8"/>
    <x v="10"/>
    <s v="October,2009"/>
    <x v="71"/>
    <x v="16"/>
    <x v="144"/>
    <n v="219870"/>
    <x v="111"/>
    <n v="0.79952727300000004"/>
    <n v="1.2507390730886432"/>
    <x v="0"/>
    <x v="1"/>
    <m/>
  </r>
  <r>
    <n v="90113"/>
    <x v="119"/>
    <x v="0"/>
    <x v="10"/>
    <s v="December,2009"/>
    <x v="66"/>
    <x v="17"/>
    <x v="145"/>
    <n v="176220"/>
    <x v="112"/>
    <n v="0.65266666699999998"/>
    <n v="1.5321756894790604"/>
    <x v="0"/>
    <x v="1"/>
    <m/>
  </r>
  <r>
    <n v="200025"/>
    <x v="120"/>
    <x v="8"/>
    <x v="4"/>
    <s v="October,2020"/>
    <x v="72"/>
    <x v="8"/>
    <x v="146"/>
    <n v="159180"/>
    <x v="113"/>
    <n v="0.60980000000000001"/>
    <n v="1.6396532227666791"/>
    <x v="2"/>
    <x v="1"/>
    <m/>
  </r>
  <r>
    <n v="201245"/>
    <x v="121"/>
    <x v="10"/>
    <x v="1"/>
    <s v="September,2021"/>
    <x v="64"/>
    <x v="11"/>
    <x v="147"/>
    <n v="128170"/>
    <x v="114"/>
    <n v="0.4929"/>
    <n v="2.0285558242958572"/>
    <x v="2"/>
    <x v="0"/>
    <m/>
  </r>
  <r>
    <n v="200408"/>
    <x v="36"/>
    <x v="0"/>
    <x v="4"/>
    <s v="December,2020"/>
    <x v="4"/>
    <x v="4"/>
    <x v="148"/>
    <n v="130800"/>
    <x v="114"/>
    <n v="0.503"/>
    <n v="1.9877675840978593"/>
    <x v="2"/>
    <x v="1"/>
    <m/>
  </r>
  <r>
    <n v="10037"/>
    <x v="122"/>
    <x v="11"/>
    <x v="9"/>
    <s v="November,2010"/>
    <x v="73"/>
    <x v="11"/>
    <x v="149"/>
    <n v="203600"/>
    <x v="114"/>
    <n v="0.78307692299999998"/>
    <n v="1.2770137524557956"/>
    <x v="0"/>
    <x v="1"/>
    <m/>
  </r>
  <r>
    <n v="2000513"/>
    <x v="7"/>
    <x v="4"/>
    <x v="1"/>
    <s v="July,2021"/>
    <x v="63"/>
    <x v="5"/>
    <x v="150"/>
    <n v="144050"/>
    <x v="115"/>
    <n v="0.55940000000000001"/>
    <n v="1.7875737591114196"/>
    <x v="2"/>
    <x v="1"/>
    <m/>
  </r>
  <r>
    <n v="20118"/>
    <x v="44"/>
    <x v="10"/>
    <x v="1"/>
    <s v="September,2021"/>
    <x v="74"/>
    <x v="8"/>
    <x v="151"/>
    <n v="92890"/>
    <x v="116"/>
    <n v="0.36420000000000002"/>
    <n v="2.7451824738938528"/>
    <x v="2"/>
    <x v="0"/>
    <m/>
  </r>
  <r>
    <n v="170178"/>
    <x v="123"/>
    <x v="0"/>
    <x v="3"/>
    <s v="December,2017"/>
    <x v="16"/>
    <x v="3"/>
    <x v="152"/>
    <n v="169400"/>
    <x v="117"/>
    <n v="0.67089108900000005"/>
    <n v="1.4905548996458087"/>
    <x v="0"/>
    <x v="1"/>
    <m/>
  </r>
  <r>
    <n v="200002"/>
    <x v="42"/>
    <x v="8"/>
    <x v="4"/>
    <s v="October,2020"/>
    <x v="52"/>
    <x v="8"/>
    <x v="153"/>
    <n v="186610"/>
    <x v="118"/>
    <n v="0.74050000000000005"/>
    <n v="1.3504099458764267"/>
    <x v="2"/>
    <x v="1"/>
    <m/>
  </r>
  <r>
    <n v="2000381"/>
    <x v="98"/>
    <x v="10"/>
    <x v="1"/>
    <s v="September,2021"/>
    <x v="75"/>
    <x v="12"/>
    <x v="154"/>
    <n v="163730"/>
    <x v="119"/>
    <n v="0.65490000000000004"/>
    <n v="1.5269040493495389"/>
    <x v="2"/>
    <x v="1"/>
    <m/>
  </r>
  <r>
    <n v="201295"/>
    <x v="124"/>
    <x v="10"/>
    <x v="1"/>
    <s v="September,2021"/>
    <x v="67"/>
    <x v="12"/>
    <x v="155"/>
    <n v="144340"/>
    <x v="120"/>
    <n v="0.57750000000000001"/>
    <n v="1.7313288069835111"/>
    <x v="2"/>
    <x v="1"/>
    <m/>
  </r>
  <r>
    <n v="20565"/>
    <x v="45"/>
    <x v="9"/>
    <x v="1"/>
    <s v="March,2021"/>
    <x v="33"/>
    <x v="16"/>
    <x v="156"/>
    <n v="61915"/>
    <x v="121"/>
    <n v="0.24859999999999999"/>
    <n v="4.021642574497295"/>
    <x v="2"/>
    <x v="0"/>
    <m/>
  </r>
  <r>
    <n v="70113"/>
    <x v="125"/>
    <x v="0"/>
    <x v="8"/>
    <s v="December,2007"/>
    <x v="76"/>
    <x v="3"/>
    <x v="157"/>
    <n v="175770"/>
    <x v="122"/>
    <n v="0.70874999999999999"/>
    <n v="1.4109347442680775"/>
    <x v="0"/>
    <x v="1"/>
    <m/>
  </r>
  <r>
    <n v="200537"/>
    <x v="126"/>
    <x v="3"/>
    <x v="1"/>
    <s v="May,2021"/>
    <x v="49"/>
    <x v="6"/>
    <x v="158"/>
    <n v="117380"/>
    <x v="123"/>
    <n v="0.47910000000000003"/>
    <n v="2.0872380303288467"/>
    <x v="2"/>
    <x v="0"/>
    <m/>
  </r>
  <r>
    <n v="200101"/>
    <x v="127"/>
    <x v="7"/>
    <x v="1"/>
    <s v="January,2021"/>
    <x v="41"/>
    <x v="1"/>
    <x v="159"/>
    <n v="142800"/>
    <x v="123"/>
    <n v="0.58279999999999998"/>
    <n v="1.7156862745098038"/>
    <x v="2"/>
    <x v="1"/>
    <m/>
  </r>
  <r>
    <n v="70258"/>
    <x v="128"/>
    <x v="0"/>
    <x v="8"/>
    <s v="December,2007"/>
    <x v="77"/>
    <x v="5"/>
    <x v="160"/>
    <n v="171700"/>
    <x v="124"/>
    <n v="0.70368852500000001"/>
    <n v="1.4210832847990682"/>
    <x v="0"/>
    <x v="1"/>
    <m/>
  </r>
  <r>
    <n v="17128"/>
    <x v="129"/>
    <x v="1"/>
    <x v="2"/>
    <s v="April,2018"/>
    <x v="78"/>
    <x v="4"/>
    <x v="161"/>
    <n v="132650"/>
    <x v="125"/>
    <n v="0.54949999999999999"/>
    <n v="1.8195853750471165"/>
    <x v="0"/>
    <x v="1"/>
    <m/>
  </r>
  <r>
    <n v="200264"/>
    <x v="130"/>
    <x v="2"/>
    <x v="1"/>
    <s v="June,2021"/>
    <x v="79"/>
    <x v="3"/>
    <x v="162"/>
    <n v="107500"/>
    <x v="126"/>
    <n v="0.44790000000000002"/>
    <n v="2.2325581395348837"/>
    <x v="2"/>
    <x v="0"/>
    <m/>
  </r>
  <r>
    <n v="200226"/>
    <x v="131"/>
    <x v="0"/>
    <x v="4"/>
    <s v="December,2020"/>
    <x v="49"/>
    <x v="6"/>
    <x v="163"/>
    <n v="145570"/>
    <x v="126"/>
    <n v="0.60650000000000004"/>
    <n v="1.6486913512399533"/>
    <x v="2"/>
    <x v="1"/>
    <m/>
  </r>
  <r>
    <n v="200886"/>
    <x v="74"/>
    <x v="3"/>
    <x v="1"/>
    <s v="May,2021"/>
    <x v="4"/>
    <x v="4"/>
    <x v="164"/>
    <n v="189800"/>
    <x v="126"/>
    <n v="0.79079999999999995"/>
    <n v="1.2644889357218125"/>
    <x v="2"/>
    <x v="1"/>
    <m/>
  </r>
  <r>
    <n v="90695"/>
    <x v="132"/>
    <x v="2"/>
    <x v="9"/>
    <s v="June,2010"/>
    <x v="44"/>
    <x v="3"/>
    <x v="165"/>
    <n v="45757"/>
    <x v="127"/>
    <n v="0.19073363900000001"/>
    <n v="5.2429136525558935"/>
    <x v="0"/>
    <x v="0"/>
    <m/>
  </r>
  <r>
    <n v="90073"/>
    <x v="133"/>
    <x v="11"/>
    <x v="10"/>
    <s v="November,2009"/>
    <x v="80"/>
    <x v="5"/>
    <x v="166"/>
    <n v="111300"/>
    <x v="128"/>
    <n v="0.46662557999999998"/>
    <n v="2.143045822102426"/>
    <x v="0"/>
    <x v="0"/>
    <m/>
  </r>
  <r>
    <n v="201133"/>
    <x v="134"/>
    <x v="10"/>
    <x v="1"/>
    <s v="September,2021"/>
    <x v="43"/>
    <x v="3"/>
    <x v="167"/>
    <n v="123480"/>
    <x v="129"/>
    <n v="0.52539999999999998"/>
    <n v="1.9031422092646582"/>
    <x v="2"/>
    <x v="1"/>
    <m/>
  </r>
  <r>
    <n v="200207"/>
    <x v="130"/>
    <x v="2"/>
    <x v="1"/>
    <s v="June,2021"/>
    <x v="0"/>
    <x v="0"/>
    <x v="168"/>
    <n v="120890"/>
    <x v="130"/>
    <n v="0.51459999999999995"/>
    <n v="1.9430887583753826"/>
    <x v="2"/>
    <x v="1"/>
    <m/>
  </r>
  <r>
    <n v="200938"/>
    <x v="135"/>
    <x v="3"/>
    <x v="1"/>
    <s v="May,2021"/>
    <x v="4"/>
    <x v="4"/>
    <x v="169"/>
    <n v="118900"/>
    <x v="131"/>
    <n v="0.51690000000000003"/>
    <n v="1.9343986543313709"/>
    <x v="2"/>
    <x v="1"/>
    <m/>
  </r>
  <r>
    <n v="100002"/>
    <x v="136"/>
    <x v="8"/>
    <x v="9"/>
    <s v="October,2010"/>
    <x v="22"/>
    <x v="12"/>
    <x v="170"/>
    <n v="184500"/>
    <x v="131"/>
    <n v="0.80217391299999996"/>
    <n v="1.2466124661246611"/>
    <x v="0"/>
    <x v="1"/>
    <m/>
  </r>
  <r>
    <n v="20059"/>
    <x v="137"/>
    <x v="5"/>
    <x v="1"/>
    <s v="February,2021"/>
    <x v="81"/>
    <x v="18"/>
    <x v="171"/>
    <n v="121510"/>
    <x v="132"/>
    <n v="0.52849999999999997"/>
    <n v="1.8920253477080076"/>
    <x v="2"/>
    <x v="1"/>
    <m/>
  </r>
  <r>
    <n v="70052"/>
    <x v="138"/>
    <x v="8"/>
    <x v="8"/>
    <s v="October,2007"/>
    <x v="16"/>
    <x v="3"/>
    <x v="172"/>
    <n v="161700"/>
    <x v="133"/>
    <n v="0.71233480199999999"/>
    <n v="1.4038342609771182"/>
    <x v="0"/>
    <x v="1"/>
    <m/>
  </r>
  <r>
    <n v="200374"/>
    <x v="139"/>
    <x v="3"/>
    <x v="1"/>
    <s v="May,2021"/>
    <x v="66"/>
    <x v="17"/>
    <x v="173"/>
    <n v="129190"/>
    <x v="134"/>
    <n v="0.5696"/>
    <n v="1.7555538354361793"/>
    <x v="2"/>
    <x v="1"/>
    <m/>
  </r>
  <r>
    <n v="200106"/>
    <x v="140"/>
    <x v="11"/>
    <x v="4"/>
    <s v="November,2020"/>
    <x v="82"/>
    <x v="9"/>
    <x v="174"/>
    <n v="126570"/>
    <x v="135"/>
    <n v="0.5625"/>
    <n v="1.7777119380579915"/>
    <x v="2"/>
    <x v="1"/>
    <m/>
  </r>
  <r>
    <n v="160452"/>
    <x v="141"/>
    <x v="10"/>
    <x v="3"/>
    <s v="September,2017"/>
    <x v="0"/>
    <x v="0"/>
    <x v="175"/>
    <n v="145950"/>
    <x v="136"/>
    <n v="0.64866666699999997"/>
    <n v="1.5416238437821173"/>
    <x v="0"/>
    <x v="1"/>
    <m/>
  </r>
  <r>
    <n v="20086"/>
    <x v="142"/>
    <x v="8"/>
    <x v="4"/>
    <s v="October,2020"/>
    <x v="43"/>
    <x v="3"/>
    <x v="176"/>
    <n v="122220"/>
    <x v="137"/>
    <n v="0.54800000000000004"/>
    <n v="1.82457862870234"/>
    <x v="2"/>
    <x v="1"/>
    <m/>
  </r>
  <r>
    <n v="20102"/>
    <x v="14"/>
    <x v="0"/>
    <x v="4"/>
    <s v="December,2020"/>
    <x v="83"/>
    <x v="5"/>
    <x v="177"/>
    <n v="127000"/>
    <x v="137"/>
    <n v="0.56950000000000001"/>
    <n v="1.7559055118110236"/>
    <x v="2"/>
    <x v="1"/>
    <m/>
  </r>
  <r>
    <n v="20614"/>
    <x v="111"/>
    <x v="1"/>
    <x v="1"/>
    <s v="April,2021"/>
    <x v="33"/>
    <x v="16"/>
    <x v="178"/>
    <n v="52500"/>
    <x v="138"/>
    <n v="0.23860000000000001"/>
    <n v="4.1904761904761907"/>
    <x v="2"/>
    <x v="0"/>
    <m/>
  </r>
  <r>
    <n v="200179"/>
    <x v="2"/>
    <x v="2"/>
    <x v="1"/>
    <s v="June,2021"/>
    <x v="84"/>
    <x v="10"/>
    <x v="179"/>
    <n v="134750"/>
    <x v="138"/>
    <n v="0.61250000000000004"/>
    <n v="1.6326530612244898"/>
    <x v="2"/>
    <x v="1"/>
    <m/>
  </r>
  <r>
    <n v="70073"/>
    <x v="143"/>
    <x v="9"/>
    <x v="5"/>
    <s v="March,2008"/>
    <x v="69"/>
    <x v="1"/>
    <x v="180"/>
    <n v="126000"/>
    <x v="139"/>
    <n v="0.579310345"/>
    <n v="1.7261904761904763"/>
    <x v="0"/>
    <x v="1"/>
    <m/>
  </r>
  <r>
    <n v="202611"/>
    <x v="144"/>
    <x v="4"/>
    <x v="1"/>
    <s v="July,2021"/>
    <x v="44"/>
    <x v="3"/>
    <x v="181"/>
    <n v="144380"/>
    <x v="139"/>
    <n v="0.66379999999999995"/>
    <n v="1.506441335365009"/>
    <x v="2"/>
    <x v="1"/>
    <m/>
  </r>
  <r>
    <n v="160773"/>
    <x v="145"/>
    <x v="2"/>
    <x v="3"/>
    <s v="June,2017"/>
    <x v="24"/>
    <x v="8"/>
    <x v="182"/>
    <n v="153230"/>
    <x v="140"/>
    <n v="0.71269767399999995"/>
    <n v="1.4031194935717548"/>
    <x v="0"/>
    <x v="1"/>
    <m/>
  </r>
  <r>
    <n v="201440"/>
    <x v="77"/>
    <x v="10"/>
    <x v="1"/>
    <s v="September,2021"/>
    <x v="16"/>
    <x v="3"/>
    <x v="183"/>
    <n v="80150"/>
    <x v="141"/>
    <n v="0.3745"/>
    <n v="2.6699937616968183"/>
    <x v="2"/>
    <x v="0"/>
    <m/>
  </r>
  <r>
    <n v="90002"/>
    <x v="146"/>
    <x v="8"/>
    <x v="10"/>
    <s v="October,2009"/>
    <x v="82"/>
    <x v="9"/>
    <x v="184"/>
    <n v="150710"/>
    <x v="142"/>
    <n v="0.71766666700000004"/>
    <n v="1.3934045517882026"/>
    <x v="0"/>
    <x v="1"/>
    <m/>
  </r>
  <r>
    <n v="20064"/>
    <x v="147"/>
    <x v="6"/>
    <x v="1"/>
    <s v="August,2021"/>
    <x v="85"/>
    <x v="15"/>
    <x v="185"/>
    <n v="186770"/>
    <x v="143"/>
    <n v="0.89359999999999995"/>
    <n v="1.1190233977619533"/>
    <x v="1"/>
    <x v="1"/>
    <m/>
  </r>
  <r>
    <n v="70280"/>
    <x v="148"/>
    <x v="4"/>
    <x v="5"/>
    <s v="July,2008"/>
    <x v="53"/>
    <x v="1"/>
    <x v="186"/>
    <n v="98180"/>
    <x v="144"/>
    <n v="0.47916056600000001"/>
    <n v="2.0869830922794868"/>
    <x v="0"/>
    <x v="0"/>
    <m/>
  </r>
  <r>
    <n v="2000330"/>
    <x v="149"/>
    <x v="3"/>
    <x v="1"/>
    <s v="May,2021"/>
    <x v="53"/>
    <x v="1"/>
    <x v="187"/>
    <n v="144220"/>
    <x v="145"/>
    <n v="0.70689999999999997"/>
    <n v="1.4145056164193592"/>
    <x v="2"/>
    <x v="1"/>
    <m/>
  </r>
  <r>
    <n v="20135"/>
    <x v="150"/>
    <x v="7"/>
    <x v="1"/>
    <s v="January,2021"/>
    <x v="54"/>
    <x v="10"/>
    <x v="188"/>
    <n v="98580"/>
    <x v="146"/>
    <n v="0.4929"/>
    <n v="2.028809089064719"/>
    <x v="2"/>
    <x v="0"/>
    <m/>
  </r>
  <r>
    <n v="161187"/>
    <x v="151"/>
    <x v="4"/>
    <x v="3"/>
    <s v="July,2017"/>
    <x v="44"/>
    <x v="3"/>
    <x v="189"/>
    <n v="143240"/>
    <x v="146"/>
    <n v="0.71619999999999995"/>
    <n v="1.3962580284836639"/>
    <x v="0"/>
    <x v="1"/>
    <m/>
  </r>
  <r>
    <n v="200052"/>
    <x v="152"/>
    <x v="11"/>
    <x v="4"/>
    <s v="November,2020"/>
    <x v="86"/>
    <x v="18"/>
    <x v="190"/>
    <n v="149570"/>
    <x v="146"/>
    <n v="0.74780000000000002"/>
    <n v="1.3371665440930669"/>
    <x v="2"/>
    <x v="1"/>
    <m/>
  </r>
  <r>
    <n v="170327"/>
    <x v="153"/>
    <x v="1"/>
    <x v="2"/>
    <s v="April,2018"/>
    <x v="49"/>
    <x v="6"/>
    <x v="191"/>
    <n v="124660"/>
    <x v="147"/>
    <n v="0.63600000000000001"/>
    <n v="1.5722765923311408"/>
    <x v="0"/>
    <x v="1"/>
    <m/>
  </r>
  <r>
    <n v="2000857"/>
    <x v="150"/>
    <x v="7"/>
    <x v="1"/>
    <s v="January,2021"/>
    <x v="10"/>
    <x v="8"/>
    <x v="192"/>
    <n v="109420"/>
    <x v="148"/>
    <n v="0.56110000000000004"/>
    <n v="1.7821239261560957"/>
    <x v="2"/>
    <x v="1"/>
    <m/>
  </r>
  <r>
    <n v="2000296"/>
    <x v="154"/>
    <x v="5"/>
    <x v="1"/>
    <s v="February,2021"/>
    <x v="70"/>
    <x v="3"/>
    <x v="193"/>
    <n v="114660"/>
    <x v="148"/>
    <n v="0.58799999999999997"/>
    <n v="1.7006802721088434"/>
    <x v="2"/>
    <x v="1"/>
    <m/>
  </r>
  <r>
    <n v="900039"/>
    <x v="155"/>
    <x v="11"/>
    <x v="10"/>
    <s v="November,2009"/>
    <x v="0"/>
    <x v="0"/>
    <x v="194"/>
    <n v="138950"/>
    <x v="148"/>
    <n v="0.71256410299999995"/>
    <n v="1.4033825116948542"/>
    <x v="0"/>
    <x v="1"/>
    <m/>
  </r>
  <r>
    <n v="2000022"/>
    <x v="79"/>
    <x v="8"/>
    <x v="4"/>
    <s v="October,2020"/>
    <x v="70"/>
    <x v="3"/>
    <x v="195"/>
    <n v="108070"/>
    <x v="149"/>
    <n v="0.5585"/>
    <n v="1.7905061534190803"/>
    <x v="2"/>
    <x v="1"/>
    <m/>
  </r>
  <r>
    <n v="200010"/>
    <x v="142"/>
    <x v="8"/>
    <x v="4"/>
    <s v="October,2020"/>
    <x v="0"/>
    <x v="0"/>
    <x v="196"/>
    <n v="128870"/>
    <x v="150"/>
    <n v="0.66769999999999996"/>
    <n v="1.4976332738418561"/>
    <x v="2"/>
    <x v="1"/>
    <m/>
  </r>
  <r>
    <n v="201176"/>
    <x v="156"/>
    <x v="9"/>
    <x v="1"/>
    <s v="March,2021"/>
    <x v="3"/>
    <x v="3"/>
    <x v="197"/>
    <n v="165550"/>
    <x v="151"/>
    <n v="0.86670000000000003"/>
    <n v="1.1537299909392933"/>
    <x v="2"/>
    <x v="1"/>
    <m/>
  </r>
  <r>
    <n v="200419"/>
    <x v="157"/>
    <x v="5"/>
    <x v="1"/>
    <s v="February,2021"/>
    <x v="16"/>
    <x v="3"/>
    <x v="198"/>
    <n v="74200"/>
    <x v="152"/>
    <n v="0.39050000000000001"/>
    <n v="2.5606469002695418"/>
    <x v="2"/>
    <x v="0"/>
    <m/>
  </r>
  <r>
    <n v="70149"/>
    <x v="158"/>
    <x v="5"/>
    <x v="5"/>
    <s v="February,2008"/>
    <x v="87"/>
    <x v="6"/>
    <x v="199"/>
    <n v="125300"/>
    <x v="152"/>
    <n v="0.65947368399999995"/>
    <n v="1.5163607342378291"/>
    <x v="0"/>
    <x v="1"/>
    <m/>
  </r>
  <r>
    <n v="20486"/>
    <x v="159"/>
    <x v="2"/>
    <x v="1"/>
    <s v="June,2021"/>
    <x v="37"/>
    <x v="8"/>
    <x v="200"/>
    <n v="92080"/>
    <x v="153"/>
    <n v="0.49769999999999998"/>
    <n v="2.0091225021720245"/>
    <x v="2"/>
    <x v="0"/>
    <m/>
  </r>
  <r>
    <n v="200759"/>
    <x v="22"/>
    <x v="4"/>
    <x v="1"/>
    <s v="July,2021"/>
    <x v="32"/>
    <x v="8"/>
    <x v="201"/>
    <n v="144410"/>
    <x v="153"/>
    <n v="0.78049999999999997"/>
    <n v="1.2810747178173256"/>
    <x v="2"/>
    <x v="1"/>
    <m/>
  </r>
  <r>
    <n v="2000473"/>
    <x v="139"/>
    <x v="3"/>
    <x v="1"/>
    <s v="May,2021"/>
    <x v="70"/>
    <x v="3"/>
    <x v="202"/>
    <n v="98900"/>
    <x v="154"/>
    <n v="0.53600000000000003"/>
    <n v="1.865520728008089"/>
    <x v="2"/>
    <x v="1"/>
    <m/>
  </r>
  <r>
    <n v="200527"/>
    <x v="51"/>
    <x v="9"/>
    <x v="1"/>
    <s v="March,2021"/>
    <x v="67"/>
    <x v="12"/>
    <x v="203"/>
    <n v="85680"/>
    <x v="155"/>
    <n v="0.46810000000000002"/>
    <n v="2.1358543417366946"/>
    <x v="2"/>
    <x v="0"/>
    <m/>
  </r>
  <r>
    <n v="161740"/>
    <x v="160"/>
    <x v="6"/>
    <x v="3"/>
    <s v="August,2017"/>
    <x v="10"/>
    <x v="8"/>
    <x v="204"/>
    <n v="102440"/>
    <x v="156"/>
    <n v="0.56769188100000001"/>
    <n v="1.761518937914877"/>
    <x v="0"/>
    <x v="1"/>
    <m/>
  </r>
  <r>
    <n v="200362"/>
    <x v="161"/>
    <x v="3"/>
    <x v="1"/>
    <s v="May,2021"/>
    <x v="52"/>
    <x v="8"/>
    <x v="205"/>
    <n v="99660"/>
    <x v="157"/>
    <n v="0.55359999999999998"/>
    <n v="1.8061408789885611"/>
    <x v="2"/>
    <x v="1"/>
    <m/>
  </r>
  <r>
    <n v="20750"/>
    <x v="162"/>
    <x v="3"/>
    <x v="1"/>
    <s v="May,2021"/>
    <x v="33"/>
    <x v="16"/>
    <x v="206"/>
    <n v="126560"/>
    <x v="157"/>
    <n v="0.70309999999999995"/>
    <n v="1.4222503160556257"/>
    <x v="1"/>
    <x v="1"/>
    <m/>
  </r>
  <r>
    <n v="200212"/>
    <x v="156"/>
    <x v="9"/>
    <x v="1"/>
    <s v="March,2021"/>
    <x v="9"/>
    <x v="7"/>
    <x v="207"/>
    <n v="130400"/>
    <x v="158"/>
    <n v="0.7248"/>
    <n v="1.3796012269938651"/>
    <x v="2"/>
    <x v="1"/>
    <m/>
  </r>
  <r>
    <n v="160539"/>
    <x v="163"/>
    <x v="7"/>
    <x v="3"/>
    <s v="January,2017"/>
    <x v="10"/>
    <x v="8"/>
    <x v="208"/>
    <n v="74670"/>
    <x v="159"/>
    <n v="0.42305948999999998"/>
    <n v="2.36373376188563"/>
    <x v="0"/>
    <x v="0"/>
    <m/>
  </r>
  <r>
    <n v="900251"/>
    <x v="164"/>
    <x v="3"/>
    <x v="9"/>
    <s v="May,2010"/>
    <x v="31"/>
    <x v="15"/>
    <x v="209"/>
    <n v="118860"/>
    <x v="160"/>
    <n v="0.67920000000000003"/>
    <n v="1.4723203769140165"/>
    <x v="0"/>
    <x v="1"/>
    <m/>
  </r>
  <r>
    <n v="60610"/>
    <x v="165"/>
    <x v="2"/>
    <x v="8"/>
    <s v="June,2007"/>
    <x v="88"/>
    <x v="5"/>
    <x v="210"/>
    <n v="124250"/>
    <x v="160"/>
    <n v="0.71"/>
    <n v="1.408450704225352"/>
    <x v="0"/>
    <x v="1"/>
    <m/>
  </r>
  <r>
    <n v="100052"/>
    <x v="166"/>
    <x v="5"/>
    <x v="11"/>
    <s v="February,2011"/>
    <x v="60"/>
    <x v="7"/>
    <x v="211"/>
    <n v="137300"/>
    <x v="160"/>
    <n v="0.78457142899999999"/>
    <n v="1.2745812090313182"/>
    <x v="0"/>
    <x v="1"/>
    <m/>
  </r>
  <r>
    <n v="70125"/>
    <x v="167"/>
    <x v="7"/>
    <x v="5"/>
    <s v="January,2008"/>
    <x v="63"/>
    <x v="5"/>
    <x v="212"/>
    <n v="87500"/>
    <x v="161"/>
    <n v="0.50374208399999998"/>
    <n v="1.9851428571428571"/>
    <x v="0"/>
    <x v="1"/>
    <m/>
  </r>
  <r>
    <n v="130311"/>
    <x v="168"/>
    <x v="2"/>
    <x v="7"/>
    <s v="June,2014"/>
    <x v="49"/>
    <x v="6"/>
    <x v="213"/>
    <n v="125840"/>
    <x v="162"/>
    <n v="0.72739884399999999"/>
    <n v="1.3747616020343294"/>
    <x v="0"/>
    <x v="1"/>
    <m/>
  </r>
  <r>
    <n v="200192"/>
    <x v="169"/>
    <x v="11"/>
    <x v="4"/>
    <s v="November,2020"/>
    <x v="16"/>
    <x v="3"/>
    <x v="214"/>
    <n v="71150"/>
    <x v="163"/>
    <n v="0.41849999999999998"/>
    <n v="2.3893183415319745"/>
    <x v="2"/>
    <x v="0"/>
    <m/>
  </r>
  <r>
    <n v="20000179"/>
    <x v="170"/>
    <x v="5"/>
    <x v="1"/>
    <s v="February,2021"/>
    <x v="89"/>
    <x v="12"/>
    <x v="215"/>
    <n v="94770"/>
    <x v="163"/>
    <n v="0.55740000000000001"/>
    <n v="1.7938166086314233"/>
    <x v="2"/>
    <x v="1"/>
    <m/>
  </r>
  <r>
    <n v="200468"/>
    <x v="154"/>
    <x v="5"/>
    <x v="1"/>
    <s v="February,2021"/>
    <x v="64"/>
    <x v="11"/>
    <x v="216"/>
    <n v="100520"/>
    <x v="163"/>
    <n v="0.59119999999999995"/>
    <n v="1.6912057302029446"/>
    <x v="2"/>
    <x v="1"/>
    <m/>
  </r>
  <r>
    <n v="160293"/>
    <x v="171"/>
    <x v="1"/>
    <x v="3"/>
    <s v="April,2017"/>
    <x v="37"/>
    <x v="8"/>
    <x v="217"/>
    <n v="102830"/>
    <x v="163"/>
    <n v="0.60488235300000004"/>
    <n v="1.6532140425945736"/>
    <x v="0"/>
    <x v="1"/>
    <m/>
  </r>
  <r>
    <n v="200113"/>
    <x v="172"/>
    <x v="7"/>
    <x v="1"/>
    <s v="January,2021"/>
    <x v="72"/>
    <x v="8"/>
    <x v="218"/>
    <n v="98280"/>
    <x v="164"/>
    <n v="0.57840000000000003"/>
    <n v="1.7287342287342287"/>
    <x v="2"/>
    <x v="1"/>
    <m/>
  </r>
  <r>
    <n v="70491"/>
    <x v="173"/>
    <x v="3"/>
    <x v="5"/>
    <s v="May,2008"/>
    <x v="71"/>
    <x v="16"/>
    <x v="219"/>
    <n v="101990"/>
    <x v="165"/>
    <n v="0.60349112400000005"/>
    <n v="1.6570251985488773"/>
    <x v="0"/>
    <x v="1"/>
    <m/>
  </r>
  <r>
    <n v="160427"/>
    <x v="174"/>
    <x v="6"/>
    <x v="3"/>
    <s v="August,2017"/>
    <x v="63"/>
    <x v="5"/>
    <x v="220"/>
    <n v="113800"/>
    <x v="165"/>
    <n v="0.67337278099999998"/>
    <n v="1.4850615114235501"/>
    <x v="0"/>
    <x v="1"/>
    <m/>
  </r>
  <r>
    <n v="170091"/>
    <x v="175"/>
    <x v="11"/>
    <x v="3"/>
    <s v="November,2017"/>
    <x v="22"/>
    <x v="12"/>
    <x v="221"/>
    <n v="112800"/>
    <x v="166"/>
    <n v="0.67363392099999997"/>
    <n v="1.4844858156028369"/>
    <x v="0"/>
    <x v="1"/>
    <m/>
  </r>
  <r>
    <n v="20522"/>
    <x v="176"/>
    <x v="9"/>
    <x v="1"/>
    <s v="March,2021"/>
    <x v="33"/>
    <x v="16"/>
    <x v="222"/>
    <n v="35875"/>
    <x v="167"/>
    <n v="0.21740000000000001"/>
    <n v="4.5993031358885021"/>
    <x v="2"/>
    <x v="0"/>
    <m/>
  </r>
  <r>
    <n v="20513"/>
    <x v="176"/>
    <x v="9"/>
    <x v="1"/>
    <s v="March,2021"/>
    <x v="43"/>
    <x v="3"/>
    <x v="223"/>
    <n v="97580"/>
    <x v="168"/>
    <n v="0.59750000000000003"/>
    <n v="1.673498667759787"/>
    <x v="2"/>
    <x v="1"/>
    <m/>
  </r>
  <r>
    <n v="100533"/>
    <x v="177"/>
    <x v="2"/>
    <x v="11"/>
    <s v="June,2011"/>
    <x v="4"/>
    <x v="4"/>
    <x v="224"/>
    <n v="146800"/>
    <x v="169"/>
    <n v="0.90171990199999996"/>
    <n v="1.1089918256130791"/>
    <x v="0"/>
    <x v="1"/>
    <m/>
  </r>
  <r>
    <n v="90163"/>
    <x v="178"/>
    <x v="11"/>
    <x v="10"/>
    <s v="November,2009"/>
    <x v="39"/>
    <x v="5"/>
    <x v="225"/>
    <n v="105000"/>
    <x v="170"/>
    <n v="0.65217391300000005"/>
    <n v="1.5333333333333334"/>
    <x v="0"/>
    <x v="1"/>
    <m/>
  </r>
  <r>
    <n v="10113"/>
    <x v="179"/>
    <x v="0"/>
    <x v="9"/>
    <s v="December,2010"/>
    <x v="34"/>
    <x v="2"/>
    <x v="226"/>
    <n v="119400"/>
    <x v="170"/>
    <n v="0.74161490699999999"/>
    <n v="1.3484087102177555"/>
    <x v="0"/>
    <x v="1"/>
    <m/>
  </r>
  <r>
    <n v="200991"/>
    <x v="180"/>
    <x v="4"/>
    <x v="1"/>
    <s v="July,2021"/>
    <x v="18"/>
    <x v="11"/>
    <x v="227"/>
    <n v="104300"/>
    <x v="171"/>
    <n v="0.65180000000000005"/>
    <n v="1.5340364333652925"/>
    <x v="2"/>
    <x v="1"/>
    <m/>
  </r>
  <r>
    <n v="20000050"/>
    <x v="59"/>
    <x v="11"/>
    <x v="4"/>
    <s v="November,2020"/>
    <x v="89"/>
    <x v="12"/>
    <x v="228"/>
    <n v="105110"/>
    <x v="171"/>
    <n v="0.65693749999999995"/>
    <n v="1.5222148225668348"/>
    <x v="2"/>
    <x v="1"/>
    <m/>
  </r>
  <r>
    <n v="80588"/>
    <x v="181"/>
    <x v="4"/>
    <x v="10"/>
    <s v="July,2009"/>
    <x v="4"/>
    <x v="4"/>
    <x v="229"/>
    <n v="125900"/>
    <x v="171"/>
    <n v="0.78687499999999999"/>
    <n v="1.2708498808578237"/>
    <x v="0"/>
    <x v="1"/>
    <m/>
  </r>
  <r>
    <n v="70130"/>
    <x v="182"/>
    <x v="6"/>
    <x v="5"/>
    <s v="August,2008"/>
    <x v="90"/>
    <x v="10"/>
    <x v="230"/>
    <n v="91700"/>
    <x v="172"/>
    <n v="0.58407643300000001"/>
    <n v="1.7121046892039258"/>
    <x v="0"/>
    <x v="1"/>
    <m/>
  </r>
  <r>
    <n v="180207"/>
    <x v="183"/>
    <x v="5"/>
    <x v="12"/>
    <s v="February,2019"/>
    <x v="22"/>
    <x v="12"/>
    <x v="231"/>
    <n v="100800"/>
    <x v="173"/>
    <n v="0.64615384600000003"/>
    <n v="1.5476190476190477"/>
    <x v="0"/>
    <x v="1"/>
    <m/>
  </r>
  <r>
    <n v="200032"/>
    <x v="184"/>
    <x v="8"/>
    <x v="4"/>
    <s v="October,2020"/>
    <x v="67"/>
    <x v="12"/>
    <x v="232"/>
    <n v="94920"/>
    <x v="174"/>
    <n v="0.61229999999999996"/>
    <n v="1.6329540665823852"/>
    <x v="2"/>
    <x v="1"/>
    <m/>
  </r>
  <r>
    <n v="161240"/>
    <x v="185"/>
    <x v="4"/>
    <x v="3"/>
    <s v="July,2017"/>
    <x v="44"/>
    <x v="3"/>
    <x v="233"/>
    <n v="95050"/>
    <x v="174"/>
    <n v="0.61322580599999998"/>
    <n v="1.6307206733298265"/>
    <x v="0"/>
    <x v="1"/>
    <m/>
  </r>
  <r>
    <n v="62389"/>
    <x v="186"/>
    <x v="6"/>
    <x v="8"/>
    <s v="August,2007"/>
    <x v="91"/>
    <x v="12"/>
    <x v="234"/>
    <n v="80521"/>
    <x v="175"/>
    <n v="0.52117152099999997"/>
    <n v="1.9187541138336583"/>
    <x v="0"/>
    <x v="1"/>
    <m/>
  </r>
  <r>
    <n v="12323"/>
    <x v="187"/>
    <x v="4"/>
    <x v="13"/>
    <s v="July,2013"/>
    <x v="88"/>
    <x v="5"/>
    <x v="235"/>
    <n v="126280"/>
    <x v="176"/>
    <n v="0.82267100999999998"/>
    <n v="1.2155527399429837"/>
    <x v="0"/>
    <x v="1"/>
    <m/>
  </r>
  <r>
    <n v="190443"/>
    <x v="188"/>
    <x v="1"/>
    <x v="4"/>
    <s v="April,2020"/>
    <x v="92"/>
    <x v="11"/>
    <x v="236"/>
    <n v="92280"/>
    <x v="177"/>
    <n v="0.60309999999999997"/>
    <n v="1.6579973992197659"/>
    <x v="0"/>
    <x v="1"/>
    <m/>
  </r>
  <r>
    <n v="90035"/>
    <x v="189"/>
    <x v="0"/>
    <x v="10"/>
    <s v="December,2009"/>
    <x v="93"/>
    <x v="5"/>
    <x v="237"/>
    <n v="110700"/>
    <x v="178"/>
    <n v="0.73311258300000004"/>
    <n v="1.3640469738030714"/>
    <x v="0"/>
    <x v="1"/>
    <m/>
  </r>
  <r>
    <n v="201777"/>
    <x v="190"/>
    <x v="2"/>
    <x v="1"/>
    <s v="June,2021"/>
    <x v="94"/>
    <x v="5"/>
    <x v="238"/>
    <n v="36770"/>
    <x v="179"/>
    <n v="0.24510000000000001"/>
    <n v="4.0794125645906991"/>
    <x v="2"/>
    <x v="0"/>
    <m/>
  </r>
  <r>
    <n v="200285"/>
    <x v="113"/>
    <x v="1"/>
    <x v="1"/>
    <s v="April,2021"/>
    <x v="40"/>
    <x v="2"/>
    <x v="239"/>
    <n v="77840"/>
    <x v="179"/>
    <n v="0.51890000000000003"/>
    <n v="1.9270298047276464"/>
    <x v="2"/>
    <x v="1"/>
    <m/>
  </r>
  <r>
    <n v="201018"/>
    <x v="191"/>
    <x v="2"/>
    <x v="1"/>
    <s v="June,2021"/>
    <x v="4"/>
    <x v="4"/>
    <x v="240"/>
    <n v="136900"/>
    <x v="179"/>
    <n v="0.91259999999999997"/>
    <n v="1.0956902848794741"/>
    <x v="2"/>
    <x v="1"/>
    <m/>
  </r>
  <r>
    <n v="200230"/>
    <x v="1"/>
    <x v="1"/>
    <x v="1"/>
    <s v="April,2021"/>
    <x v="95"/>
    <x v="13"/>
    <x v="241"/>
    <n v="143220"/>
    <x v="179"/>
    <n v="0.95479999999999998"/>
    <n v="1.0473397570171763"/>
    <x v="3"/>
    <x v="1"/>
    <m/>
  </r>
  <r>
    <n v="90347"/>
    <x v="192"/>
    <x v="0"/>
    <x v="10"/>
    <s v="December,2009"/>
    <x v="94"/>
    <x v="5"/>
    <x v="242"/>
    <n v="87700"/>
    <x v="180"/>
    <n v="0.58525191899999995"/>
    <n v="1.7086659064994298"/>
    <x v="0"/>
    <x v="1"/>
    <m/>
  </r>
  <r>
    <n v="90832"/>
    <x v="132"/>
    <x v="2"/>
    <x v="9"/>
    <s v="June,2010"/>
    <x v="16"/>
    <x v="3"/>
    <x v="243"/>
    <n v="99960"/>
    <x v="181"/>
    <n v="0.68465753399999996"/>
    <n v="1.4605842336934773"/>
    <x v="0"/>
    <x v="1"/>
    <m/>
  </r>
  <r>
    <n v="150007"/>
    <x v="193"/>
    <x v="8"/>
    <x v="6"/>
    <s v="October,2015"/>
    <x v="96"/>
    <x v="6"/>
    <x v="244"/>
    <n v="100900"/>
    <x v="182"/>
    <n v="0.69634230500000005"/>
    <n v="1.4360753221010902"/>
    <x v="0"/>
    <x v="1"/>
    <m/>
  </r>
  <r>
    <n v="100020"/>
    <x v="194"/>
    <x v="8"/>
    <x v="9"/>
    <s v="October,2010"/>
    <x v="22"/>
    <x v="12"/>
    <x v="245"/>
    <n v="123700"/>
    <x v="183"/>
    <n v="0.86022253100000001"/>
    <n v="1.1624898949070332"/>
    <x v="0"/>
    <x v="1"/>
    <m/>
  </r>
  <r>
    <n v="60190"/>
    <x v="195"/>
    <x v="0"/>
    <x v="14"/>
    <s v="December,2006"/>
    <x v="62"/>
    <x v="5"/>
    <x v="246"/>
    <n v="78260"/>
    <x v="184"/>
    <n v="0.54727272699999996"/>
    <n v="1.8272425249169435"/>
    <x v="0"/>
    <x v="1"/>
    <m/>
  </r>
  <r>
    <n v="9347"/>
    <x v="196"/>
    <x v="5"/>
    <x v="9"/>
    <s v="February,2010"/>
    <x v="64"/>
    <x v="11"/>
    <x v="247"/>
    <n v="93050"/>
    <x v="184"/>
    <n v="0.65069930099999995"/>
    <n v="1.5368081676518002"/>
    <x v="0"/>
    <x v="1"/>
    <m/>
  </r>
  <r>
    <n v="17141"/>
    <x v="197"/>
    <x v="11"/>
    <x v="3"/>
    <s v="November,2017"/>
    <x v="88"/>
    <x v="5"/>
    <x v="248"/>
    <n v="119630"/>
    <x v="185"/>
    <n v="0.83860000000000001"/>
    <n v="1.1924266488339046"/>
    <x v="0"/>
    <x v="1"/>
    <m/>
  </r>
  <r>
    <n v="200375"/>
    <x v="198"/>
    <x v="1"/>
    <x v="1"/>
    <s v="April,2021"/>
    <x v="87"/>
    <x v="6"/>
    <x v="249"/>
    <n v="76960"/>
    <x v="186"/>
    <n v="0.54969999999999997"/>
    <n v="1.8191268191268191"/>
    <x v="2"/>
    <x v="1"/>
    <m/>
  </r>
  <r>
    <n v="14332"/>
    <x v="199"/>
    <x v="2"/>
    <x v="6"/>
    <s v="June,2015"/>
    <x v="76"/>
    <x v="3"/>
    <x v="250"/>
    <n v="107520"/>
    <x v="186"/>
    <n v="0.76800000000000002"/>
    <n v="1.3020833333333333"/>
    <x v="0"/>
    <x v="1"/>
    <m/>
  </r>
  <r>
    <n v="202250"/>
    <x v="62"/>
    <x v="6"/>
    <x v="1"/>
    <s v="August,2021"/>
    <x v="94"/>
    <x v="5"/>
    <x v="251"/>
    <n v="63100"/>
    <x v="187"/>
    <n v="0.45100000000000001"/>
    <n v="2.2171156893819335"/>
    <x v="2"/>
    <x v="0"/>
    <m/>
  </r>
  <r>
    <n v="150498"/>
    <x v="200"/>
    <x v="3"/>
    <x v="0"/>
    <s v="May,2016"/>
    <x v="64"/>
    <x v="11"/>
    <x v="252"/>
    <n v="94570"/>
    <x v="188"/>
    <n v="0.70051851899999995"/>
    <n v="1.4275140107856614"/>
    <x v="0"/>
    <x v="1"/>
    <m/>
  </r>
  <r>
    <n v="13105"/>
    <x v="201"/>
    <x v="9"/>
    <x v="7"/>
    <s v="March,2014"/>
    <x v="75"/>
    <x v="12"/>
    <x v="253"/>
    <n v="124460"/>
    <x v="189"/>
    <n v="0.93578947400000001"/>
    <n v="1.0686164229471316"/>
    <x v="0"/>
    <x v="1"/>
    <m/>
  </r>
  <r>
    <n v="200436"/>
    <x v="202"/>
    <x v="3"/>
    <x v="1"/>
    <s v="May,2021"/>
    <x v="11"/>
    <x v="2"/>
    <x v="254"/>
    <n v="71960"/>
    <x v="190"/>
    <n v="0.55349999999999999"/>
    <n v="1.8065591995553085"/>
    <x v="2"/>
    <x v="1"/>
    <m/>
  </r>
  <r>
    <n v="200377"/>
    <x v="64"/>
    <x v="3"/>
    <x v="1"/>
    <s v="May,2021"/>
    <x v="52"/>
    <x v="8"/>
    <x v="255"/>
    <n v="80010"/>
    <x v="190"/>
    <n v="0.61539999999999995"/>
    <n v="1.6247969003874516"/>
    <x v="2"/>
    <x v="1"/>
    <m/>
  </r>
  <r>
    <n v="90097"/>
    <x v="203"/>
    <x v="2"/>
    <x v="9"/>
    <s v="June,2010"/>
    <x v="93"/>
    <x v="5"/>
    <x v="256"/>
    <n v="126200"/>
    <x v="190"/>
    <n v="0.97076923100000001"/>
    <n v="1.0301109350237718"/>
    <x v="0"/>
    <x v="1"/>
    <m/>
  </r>
  <r>
    <n v="140129"/>
    <x v="204"/>
    <x v="4"/>
    <x v="6"/>
    <s v="July,2015"/>
    <x v="97"/>
    <x v="3"/>
    <x v="257"/>
    <n v="88000"/>
    <x v="191"/>
    <n v="0.68287989100000002"/>
    <n v="1.4643863636363637"/>
    <x v="0"/>
    <x v="1"/>
    <m/>
  </r>
  <r>
    <n v="20273"/>
    <x v="205"/>
    <x v="7"/>
    <x v="1"/>
    <s v="January,2021"/>
    <x v="98"/>
    <x v="0"/>
    <x v="258"/>
    <n v="89810"/>
    <x v="192"/>
    <n v="0.7"/>
    <n v="1.4285714285714286"/>
    <x v="2"/>
    <x v="1"/>
    <m/>
  </r>
  <r>
    <n v="900152"/>
    <x v="164"/>
    <x v="3"/>
    <x v="9"/>
    <s v="May,2010"/>
    <x v="0"/>
    <x v="0"/>
    <x v="259"/>
    <n v="88620"/>
    <x v="193"/>
    <n v="0.69779527600000002"/>
    <n v="1.4330850823741819"/>
    <x v="0"/>
    <x v="1"/>
    <m/>
  </r>
  <r>
    <n v="160624"/>
    <x v="206"/>
    <x v="6"/>
    <x v="3"/>
    <s v="August,2017"/>
    <x v="12"/>
    <x v="3"/>
    <x v="260"/>
    <n v="96100"/>
    <x v="194"/>
    <n v="0.76573705199999997"/>
    <n v="1.3059313215400625"/>
    <x v="0"/>
    <x v="1"/>
    <m/>
  </r>
  <r>
    <n v="160521"/>
    <x v="207"/>
    <x v="2"/>
    <x v="3"/>
    <s v="June,2017"/>
    <x v="82"/>
    <x v="9"/>
    <x v="261"/>
    <n v="88000"/>
    <x v="195"/>
    <n v="0.70399999999999996"/>
    <n v="1.4204545454545454"/>
    <x v="0"/>
    <x v="1"/>
    <m/>
  </r>
  <r>
    <n v="130523"/>
    <x v="208"/>
    <x v="10"/>
    <x v="7"/>
    <s v="September,2014"/>
    <x v="49"/>
    <x v="6"/>
    <x v="262"/>
    <n v="97940"/>
    <x v="195"/>
    <n v="0.78351999999999999"/>
    <n v="1.2762916071063917"/>
    <x v="0"/>
    <x v="1"/>
    <m/>
  </r>
  <r>
    <n v="160010"/>
    <x v="209"/>
    <x v="8"/>
    <x v="0"/>
    <s v="October,2016"/>
    <x v="0"/>
    <x v="0"/>
    <x v="263"/>
    <n v="76930"/>
    <x v="196"/>
    <n v="0.61791164700000001"/>
    <n v="1.6183543481086702"/>
    <x v="0"/>
    <x v="1"/>
    <m/>
  </r>
  <r>
    <n v="70133"/>
    <x v="210"/>
    <x v="9"/>
    <x v="5"/>
    <s v="March,2008"/>
    <x v="99"/>
    <x v="18"/>
    <x v="264"/>
    <n v="92820"/>
    <x v="197"/>
    <n v="0.74854838700000004"/>
    <n v="1.3359189829778064"/>
    <x v="0"/>
    <x v="1"/>
    <m/>
  </r>
  <r>
    <n v="200174"/>
    <x v="169"/>
    <x v="11"/>
    <x v="4"/>
    <s v="November,2020"/>
    <x v="82"/>
    <x v="9"/>
    <x v="265"/>
    <n v="58020"/>
    <x v="198"/>
    <n v="0.47360000000000002"/>
    <n v="2.1113409169251982"/>
    <x v="2"/>
    <x v="0"/>
    <m/>
  </r>
  <r>
    <n v="160065"/>
    <x v="211"/>
    <x v="0"/>
    <x v="0"/>
    <s v="December,2016"/>
    <x v="0"/>
    <x v="0"/>
    <x v="266"/>
    <n v="89950"/>
    <x v="198"/>
    <n v="0.73428571399999998"/>
    <n v="1.3618677042801557"/>
    <x v="0"/>
    <x v="1"/>
    <m/>
  </r>
  <r>
    <n v="201592"/>
    <x v="212"/>
    <x v="3"/>
    <x v="1"/>
    <s v="May,2021"/>
    <x v="94"/>
    <x v="5"/>
    <x v="267"/>
    <n v="73860"/>
    <x v="199"/>
    <n v="0.60540000000000005"/>
    <n v="1.6517736257784998"/>
    <x v="2"/>
    <x v="1"/>
    <m/>
  </r>
  <r>
    <n v="100226"/>
    <x v="213"/>
    <x v="5"/>
    <x v="11"/>
    <s v="February,2011"/>
    <x v="67"/>
    <x v="12"/>
    <x v="268"/>
    <n v="93450"/>
    <x v="200"/>
    <n v="0.77875000000000005"/>
    <n v="1.2841091492776886"/>
    <x v="0"/>
    <x v="1"/>
    <m/>
  </r>
  <r>
    <n v="100254"/>
    <x v="214"/>
    <x v="4"/>
    <x v="11"/>
    <s v="July,2011"/>
    <x v="31"/>
    <x v="15"/>
    <x v="269"/>
    <n v="91000"/>
    <x v="201"/>
    <n v="0.79130434800000005"/>
    <n v="1.2637362637362637"/>
    <x v="0"/>
    <x v="1"/>
    <m/>
  </r>
  <r>
    <n v="90010"/>
    <x v="215"/>
    <x v="8"/>
    <x v="10"/>
    <s v="October,2009"/>
    <x v="17"/>
    <x v="10"/>
    <x v="270"/>
    <n v="94260"/>
    <x v="201"/>
    <n v="0.81965217400000001"/>
    <n v="1.22002970507108"/>
    <x v="0"/>
    <x v="1"/>
    <m/>
  </r>
  <r>
    <n v="800234"/>
    <x v="216"/>
    <x v="2"/>
    <x v="10"/>
    <s v="June,2009"/>
    <x v="31"/>
    <x v="15"/>
    <x v="271"/>
    <n v="82250"/>
    <x v="202"/>
    <n v="0.73111111100000004"/>
    <n v="1.3677811550151975"/>
    <x v="0"/>
    <x v="1"/>
    <m/>
  </r>
  <r>
    <n v="160444"/>
    <x v="217"/>
    <x v="4"/>
    <x v="3"/>
    <s v="July,2017"/>
    <x v="37"/>
    <x v="8"/>
    <x v="272"/>
    <n v="58510"/>
    <x v="203"/>
    <n v="0.53190909099999995"/>
    <n v="1.8800205093146471"/>
    <x v="0"/>
    <x v="1"/>
    <m/>
  </r>
  <r>
    <n v="180650"/>
    <x v="218"/>
    <x v="7"/>
    <x v="12"/>
    <s v="January,2019"/>
    <x v="91"/>
    <x v="12"/>
    <x v="273"/>
    <n v="64720"/>
    <x v="204"/>
    <n v="0.59919999999999995"/>
    <n v="1.6687268232385661"/>
    <x v="0"/>
    <x v="1"/>
    <m/>
  </r>
  <r>
    <n v="908206"/>
    <x v="219"/>
    <x v="10"/>
    <x v="9"/>
    <s v="September,2010"/>
    <x v="88"/>
    <x v="5"/>
    <x v="274"/>
    <n v="69020"/>
    <x v="205"/>
    <n v="0.64204651199999996"/>
    <n v="1.5575195595479572"/>
    <x v="0"/>
    <x v="1"/>
    <m/>
  </r>
  <r>
    <n v="171321"/>
    <x v="220"/>
    <x v="3"/>
    <x v="2"/>
    <s v="May,2018"/>
    <x v="91"/>
    <x v="12"/>
    <x v="275"/>
    <n v="59750"/>
    <x v="206"/>
    <n v="0.55840000000000001"/>
    <n v="1.7907949790794979"/>
    <x v="0"/>
    <x v="1"/>
    <m/>
  </r>
  <r>
    <n v="200953"/>
    <x v="64"/>
    <x v="3"/>
    <x v="1"/>
    <s v="May,2021"/>
    <x v="16"/>
    <x v="3"/>
    <x v="276"/>
    <n v="64470"/>
    <x v="207"/>
    <n v="0.61399999999999999"/>
    <n v="1.6286644951140066"/>
    <x v="2"/>
    <x v="1"/>
    <m/>
  </r>
  <r>
    <n v="200007"/>
    <x v="67"/>
    <x v="8"/>
    <x v="4"/>
    <s v="October,2020"/>
    <x v="100"/>
    <x v="8"/>
    <x v="277"/>
    <n v="68300"/>
    <x v="207"/>
    <n v="0.65039999999999998"/>
    <n v="1.5373352855051245"/>
    <x v="2"/>
    <x v="1"/>
    <m/>
  </r>
  <r>
    <n v="120151"/>
    <x v="221"/>
    <x v="10"/>
    <x v="13"/>
    <s v="September,2013"/>
    <x v="17"/>
    <x v="10"/>
    <x v="278"/>
    <n v="76270"/>
    <x v="207"/>
    <n v="0.72638095199999997"/>
    <n v="1.3766880818146061"/>
    <x v="0"/>
    <x v="1"/>
    <m/>
  </r>
  <r>
    <n v="160052"/>
    <x v="222"/>
    <x v="5"/>
    <x v="3"/>
    <s v="February,2017"/>
    <x v="101"/>
    <x v="5"/>
    <x v="279"/>
    <n v="79310"/>
    <x v="208"/>
    <n v="0.79310000000000003"/>
    <n v="1.2608750472828143"/>
    <x v="0"/>
    <x v="1"/>
    <m/>
  </r>
  <r>
    <n v="160606"/>
    <x v="223"/>
    <x v="4"/>
    <x v="3"/>
    <s v="July,2017"/>
    <x v="102"/>
    <x v="8"/>
    <x v="280"/>
    <n v="68800"/>
    <x v="209"/>
    <n v="0.72421052600000002"/>
    <n v="1.3808139534883721"/>
    <x v="0"/>
    <x v="1"/>
    <m/>
  </r>
  <r>
    <n v="201212"/>
    <x v="224"/>
    <x v="6"/>
    <x v="1"/>
    <s v="August,2021"/>
    <x v="67"/>
    <x v="12"/>
    <x v="281"/>
    <n v="88060"/>
    <x v="210"/>
    <n v="0.96760000000000002"/>
    <n v="1.0333863275039745"/>
    <x v="2"/>
    <x v="1"/>
    <m/>
  </r>
  <r>
    <n v="2020065"/>
    <x v="225"/>
    <x v="0"/>
    <x v="4"/>
    <s v="December,2020"/>
    <x v="103"/>
    <x v="9"/>
    <x v="282"/>
    <n v="55200"/>
    <x v="211"/>
    <n v="0.61329999999999996"/>
    <n v="1.6304347826086956"/>
    <x v="2"/>
    <x v="1"/>
    <m/>
  </r>
  <r>
    <n v="200377"/>
    <x v="226"/>
    <x v="6"/>
    <x v="1"/>
    <s v="August,2021"/>
    <x v="104"/>
    <x v="10"/>
    <x v="283"/>
    <n v="41090"/>
    <x v="212"/>
    <n v="0.45700000000000002"/>
    <n v="2.1878802628376732"/>
    <x v="2"/>
    <x v="0"/>
    <m/>
  </r>
  <r>
    <n v="2020256"/>
    <x v="227"/>
    <x v="2"/>
    <x v="1"/>
    <s v="June,2021"/>
    <x v="103"/>
    <x v="9"/>
    <x v="284"/>
    <n v="55200"/>
    <x v="212"/>
    <n v="0.61401557299999998"/>
    <n v="1.6286231884057971"/>
    <x v="2"/>
    <x v="1"/>
    <m/>
  </r>
  <r>
    <n v="90706"/>
    <x v="228"/>
    <x v="4"/>
    <x v="9"/>
    <s v="July,2010"/>
    <x v="39"/>
    <x v="5"/>
    <x v="285"/>
    <n v="76500"/>
    <x v="213"/>
    <n v="0.88953488400000003"/>
    <n v="1.1241830065359477"/>
    <x v="0"/>
    <x v="1"/>
    <m/>
  </r>
  <r>
    <n v="160697"/>
    <x v="229"/>
    <x v="5"/>
    <x v="3"/>
    <s v="February,2017"/>
    <x v="10"/>
    <x v="8"/>
    <x v="286"/>
    <n v="47960"/>
    <x v="214"/>
    <n v="0.56423529400000005"/>
    <n v="1.7723102585487907"/>
    <x v="0"/>
    <x v="1"/>
    <m/>
  </r>
  <r>
    <n v="160400"/>
    <x v="230"/>
    <x v="2"/>
    <x v="3"/>
    <s v="June,2017"/>
    <x v="37"/>
    <x v="8"/>
    <x v="287"/>
    <n v="57720"/>
    <x v="214"/>
    <n v="0.67905882399999995"/>
    <n v="1.4726264726264726"/>
    <x v="0"/>
    <x v="1"/>
    <m/>
  </r>
  <r>
    <n v="200821"/>
    <x v="231"/>
    <x v="3"/>
    <x v="1"/>
    <s v="May,2021"/>
    <x v="64"/>
    <x v="11"/>
    <x v="288"/>
    <n v="67270"/>
    <x v="215"/>
    <n v="0.82030000000000003"/>
    <n v="1.2189683365541846"/>
    <x v="2"/>
    <x v="1"/>
    <m/>
  </r>
  <r>
    <n v="90111"/>
    <x v="232"/>
    <x v="0"/>
    <x v="10"/>
    <s v="December,2009"/>
    <x v="66"/>
    <x v="17"/>
    <x v="289"/>
    <n v="62630"/>
    <x v="216"/>
    <n v="0.84635135100000003"/>
    <n v="1.1815423918250041"/>
    <x v="0"/>
    <x v="1"/>
    <m/>
  </r>
  <r>
    <n v="200242"/>
    <x v="233"/>
    <x v="7"/>
    <x v="1"/>
    <s v="January,2021"/>
    <x v="87"/>
    <x v="6"/>
    <x v="290"/>
    <n v="28240"/>
    <x v="217"/>
    <n v="0.38684931500000003"/>
    <n v="2.5849858356940509"/>
    <x v="2"/>
    <x v="0"/>
    <m/>
  </r>
  <r>
    <n v="91123"/>
    <x v="234"/>
    <x v="4"/>
    <x v="9"/>
    <s v="July,2010"/>
    <x v="94"/>
    <x v="5"/>
    <x v="291"/>
    <n v="52580"/>
    <x v="218"/>
    <n v="0.80892307699999999"/>
    <n v="1.2362114872575123"/>
    <x v="0"/>
    <x v="1"/>
    <m/>
  </r>
  <r>
    <n v="190767"/>
    <x v="235"/>
    <x v="9"/>
    <x v="4"/>
    <s v="March,2020"/>
    <x v="94"/>
    <x v="5"/>
    <x v="292"/>
    <n v="28490"/>
    <x v="219"/>
    <n v="0.46700000000000003"/>
    <n v="2.1411021411021411"/>
    <x v="0"/>
    <x v="0"/>
    <m/>
  </r>
  <r>
    <n v="170668"/>
    <x v="236"/>
    <x v="7"/>
    <x v="2"/>
    <s v="January,2018"/>
    <x v="91"/>
    <x v="12"/>
    <x v="293"/>
    <n v="27570"/>
    <x v="220"/>
    <n v="0.4672"/>
    <n v="2.1400072542618789"/>
    <x v="0"/>
    <x v="0"/>
    <m/>
  </r>
  <r>
    <n v="160606"/>
    <x v="237"/>
    <x v="6"/>
    <x v="3"/>
    <s v="August,2017"/>
    <x v="12"/>
    <x v="3"/>
    <x v="294"/>
    <n v="41000"/>
    <x v="221"/>
    <n v="0.74545454499999997"/>
    <n v="1.3414634146341464"/>
    <x v="0"/>
    <x v="1"/>
    <m/>
  </r>
  <r>
    <n v="181369"/>
    <x v="238"/>
    <x v="2"/>
    <x v="12"/>
    <s v="June,2019"/>
    <x v="91"/>
    <x v="12"/>
    <x v="295"/>
    <n v="36950"/>
    <x v="222"/>
    <n v="0.71050000000000002"/>
    <n v="1.4073071718538566"/>
    <x v="0"/>
    <x v="1"/>
    <m/>
  </r>
  <r>
    <n v="100418"/>
    <x v="239"/>
    <x v="6"/>
    <x v="11"/>
    <s v="August,2011"/>
    <x v="105"/>
    <x v="6"/>
    <x v="296"/>
    <n v="38500"/>
    <x v="223"/>
    <n v="0.77"/>
    <n v="1.2987012987012987"/>
    <x v="0"/>
    <x v="1"/>
    <m/>
  </r>
  <r>
    <n v="10470"/>
    <x v="240"/>
    <x v="2"/>
    <x v="11"/>
    <s v="June,2011"/>
    <x v="33"/>
    <x v="16"/>
    <x v="297"/>
    <n v="27874"/>
    <x v="224"/>
    <n v="0.66366666699999999"/>
    <n v="1.5067805123053741"/>
    <x v="0"/>
    <x v="1"/>
    <m/>
  </r>
  <r>
    <n v="17568"/>
    <x v="241"/>
    <x v="3"/>
    <x v="2"/>
    <s v="May,2018"/>
    <x v="33"/>
    <x v="16"/>
    <x v="298"/>
    <n v="11620"/>
    <x v="225"/>
    <n v="0.30180000000000001"/>
    <n v="3.3132530120481927"/>
    <x v="0"/>
    <x v="0"/>
    <m/>
  </r>
  <r>
    <n v="61464"/>
    <x v="242"/>
    <x v="3"/>
    <x v="8"/>
    <s v="May,2007"/>
    <x v="94"/>
    <x v="5"/>
    <x v="299"/>
    <n v="14770"/>
    <x v="226"/>
    <n v="0.44757575799999999"/>
    <n v="2.2342586323628977"/>
    <x v="0"/>
    <x v="0"/>
    <m/>
  </r>
  <r>
    <n v="180558"/>
    <x v="243"/>
    <x v="3"/>
    <x v="12"/>
    <s v="May,2019"/>
    <x v="16"/>
    <x v="3"/>
    <x v="300"/>
    <n v="28910"/>
    <x v="227"/>
    <n v="0.96360000000000001"/>
    <n v="1.0377032168799722"/>
    <x v="0"/>
    <x v="1"/>
    <m/>
  </r>
  <r>
    <n v="2000720"/>
    <x v="244"/>
    <x v="7"/>
    <x v="1"/>
    <s v="January,2021"/>
    <x v="10"/>
    <x v="8"/>
    <x v="301"/>
    <n v="19110"/>
    <x v="228"/>
    <n v="0.69489999999999996"/>
    <n v="1.4390371533228676"/>
    <x v="2"/>
    <x v="1"/>
    <m/>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2">
  <r>
    <n v="160092"/>
    <d v="2016-12-20T00:00:00"/>
    <x v="0"/>
    <x v="0"/>
    <d v="2016-12-01T00:00:00"/>
    <s v="Rocky Hill"/>
    <x v="0"/>
    <s v="13D ROBBINS LANE"/>
    <n v="45150"/>
    <n v="13650000"/>
    <n v="3.3076920000000001E-3"/>
    <n v="302.32558139534882"/>
    <x v="0"/>
    <x v="0"/>
    <x v="0"/>
    <x v="0"/>
  </r>
  <r>
    <n v="200195"/>
    <d v="2021-04-26T00:00:00"/>
    <x v="1"/>
    <x v="1"/>
    <d v="2021-04-01T00:00:00"/>
    <s v="Cromwell"/>
    <x v="1"/>
    <s v="34      SHUNPIKE      ROAD"/>
    <n v="3360000"/>
    <n v="5214750"/>
    <n v="0.64429999999999998"/>
    <n v="1.5520089285714285"/>
    <x v="1"/>
    <x v="1"/>
    <x v="0"/>
    <x v="1"/>
  </r>
  <r>
    <n v="201233"/>
    <d v="2021-06-22T00:00:00"/>
    <x v="2"/>
    <x v="1"/>
    <d v="2021-06-01T00:00:00"/>
    <s v="Greenwich"/>
    <x v="2"/>
    <s v="11 BAYBERRY LANE"/>
    <n v="4259500"/>
    <n v="4300000"/>
    <n v="0.99050000000000005"/>
    <n v="1.0095081582345347"/>
    <x v="2"/>
    <x v="1"/>
    <x v="0"/>
    <x v="2"/>
  </r>
  <r>
    <n v="170261"/>
    <d v="2018-05-01T00:00:00"/>
    <x v="3"/>
    <x v="2"/>
    <d v="2018-05-01T00:00:00"/>
    <s v="New London"/>
    <x v="3"/>
    <s v="83 MANSFIELD RD 228"/>
    <n v="30660"/>
    <n v="3266250"/>
    <n v="9.3869120000000007E-3"/>
    <n v="106.53131115459882"/>
    <x v="0"/>
    <x v="0"/>
    <x v="0"/>
    <x v="3"/>
  </r>
  <r>
    <n v="170255"/>
    <d v="2018-05-01T00:00:00"/>
    <x v="3"/>
    <x v="2"/>
    <d v="2018-05-01T00:00:00"/>
    <s v="New London"/>
    <x v="3"/>
    <s v="83 MANSFIELD RD 220"/>
    <n v="30660"/>
    <n v="3266250"/>
    <n v="9.3869120000000007E-3"/>
    <n v="106.53131115459882"/>
    <x v="0"/>
    <x v="0"/>
    <x v="0"/>
    <x v="3"/>
  </r>
  <r>
    <n v="201186"/>
    <d v="2021-07-12T00:00:00"/>
    <x v="4"/>
    <x v="1"/>
    <d v="2021-07-01T00:00:00"/>
    <s v="Danbury"/>
    <x v="4"/>
    <s v="28 MAIN ST"/>
    <n v="695500"/>
    <n v="3200000"/>
    <n v="0.21734375"/>
    <n v="4.6010064701653484"/>
    <x v="1"/>
    <x v="0"/>
    <x v="0"/>
    <x v="4"/>
  </r>
  <r>
    <n v="200645"/>
    <d v="2021-02-17T00:00:00"/>
    <x v="5"/>
    <x v="1"/>
    <d v="2021-02-01T00:00:00"/>
    <s v="Greenwich"/>
    <x v="2"/>
    <s v="123 VALLEY DRIVE"/>
    <n v="2661200"/>
    <n v="3000000"/>
    <n v="0.88700000000000001"/>
    <n v="1.1273109875244252"/>
    <x v="2"/>
    <x v="1"/>
    <x v="0"/>
    <x v="2"/>
  </r>
  <r>
    <n v="200661"/>
    <d v="2021-08-30T00:00:00"/>
    <x v="6"/>
    <x v="1"/>
    <d v="2021-08-01T00:00:00"/>
    <s v="New Canaan"/>
    <x v="3"/>
    <s v="322 MAIN ST"/>
    <n v="1279460"/>
    <n v="2400000"/>
    <n v="0.53310000000000002"/>
    <n v="1.87579134947556"/>
    <x v="2"/>
    <x v="1"/>
    <x v="0"/>
    <x v="3"/>
  </r>
  <r>
    <n v="201437"/>
    <d v="2021-07-20T00:00:00"/>
    <x v="4"/>
    <x v="1"/>
    <d v="2021-07-01T00:00:00"/>
    <s v="Greenwich"/>
    <x v="2"/>
    <s v="552 RIVER ROAD"/>
    <n v="1337630"/>
    <n v="2300000"/>
    <n v="0.58150000000000002"/>
    <n v="1.7194590432331811"/>
    <x v="2"/>
    <x v="1"/>
    <x v="0"/>
    <x v="2"/>
  </r>
  <r>
    <n v="200055"/>
    <d v="2021-01-25T00:00:00"/>
    <x v="7"/>
    <x v="1"/>
    <d v="2021-01-01T00:00:00"/>
    <s v="Washington"/>
    <x v="5"/>
    <s v="136 OLD LITCHFIELD RD"/>
    <n v="1030330"/>
    <n v="2285000"/>
    <n v="0.45090000000000002"/>
    <n v="2.2177360651441771"/>
    <x v="2"/>
    <x v="0"/>
    <x v="0"/>
    <x v="5"/>
  </r>
  <r>
    <n v="2016743"/>
    <d v="2021-07-19T00:00:00"/>
    <x v="4"/>
    <x v="1"/>
    <d v="2021-07-01T00:00:00"/>
    <s v="Redding"/>
    <x v="0"/>
    <s v="241 ETHAN ALLEN HIGHWAY"/>
    <n v="1769800"/>
    <n v="1800000"/>
    <n v="0.98319999999999996"/>
    <n v="1.0170640750367272"/>
    <x v="1"/>
    <x v="1"/>
    <x v="0"/>
    <x v="0"/>
  </r>
  <r>
    <n v="200320"/>
    <d v="2021-05-10T00:00:00"/>
    <x v="3"/>
    <x v="1"/>
    <d v="2021-05-01T00:00:00"/>
    <s v="East Lyme"/>
    <x v="6"/>
    <s v="9 FREEDOM WAY"/>
    <n v="776230"/>
    <n v="1525000"/>
    <n v="0.50900000000000001"/>
    <n v="1.9646238872499131"/>
    <x v="1"/>
    <x v="1"/>
    <x v="0"/>
    <x v="6"/>
  </r>
  <r>
    <n v="200377"/>
    <d v="2021-07-02T00:00:00"/>
    <x v="4"/>
    <x v="1"/>
    <d v="2021-07-01T00:00:00"/>
    <s v="Avon"/>
    <x v="7"/>
    <s v="70 FAR HILLS DRIVE"/>
    <n v="862330"/>
    <n v="1447500"/>
    <n v="0.59570000000000001"/>
    <n v="1.6785917224264493"/>
    <x v="2"/>
    <x v="1"/>
    <x v="0"/>
    <x v="7"/>
  </r>
  <r>
    <n v="161304"/>
    <d v="2017-06-15T00:00:00"/>
    <x v="2"/>
    <x v="3"/>
    <d v="2017-06-01T00:00:00"/>
    <s v="Stamford"/>
    <x v="8"/>
    <s v="12 DRYDEN STREET 1B"/>
    <n v="91980"/>
    <n v="1323338"/>
    <n v="6.9506051999999999E-2"/>
    <n v="14.387236355729506"/>
    <x v="0"/>
    <x v="0"/>
    <x v="0"/>
    <x v="8"/>
  </r>
  <r>
    <n v="201494"/>
    <d v="2021-07-28T00:00:00"/>
    <x v="4"/>
    <x v="1"/>
    <d v="2021-07-01T00:00:00"/>
    <s v="Greenwich"/>
    <x v="2"/>
    <s v="20 EAST LYON FARM DRIVE"/>
    <n v="632170"/>
    <n v="1250000"/>
    <n v="0.50570000000000004"/>
    <n v="1.9773162282297483"/>
    <x v="2"/>
    <x v="1"/>
    <x v="0"/>
    <x v="2"/>
  </r>
  <r>
    <n v="200109"/>
    <d v="2020-12-09T00:00:00"/>
    <x v="0"/>
    <x v="4"/>
    <d v="2020-12-01T00:00:00"/>
    <s v="Avon"/>
    <x v="7"/>
    <s v="57 FAR HILLS DRIVE"/>
    <n v="847520"/>
    <n v="1250000"/>
    <n v="0.67800000000000005"/>
    <n v="1.474891447989428"/>
    <x v="2"/>
    <x v="1"/>
    <x v="0"/>
    <x v="7"/>
  </r>
  <r>
    <n v="200020"/>
    <d v="2020-10-06T00:00:00"/>
    <x v="8"/>
    <x v="4"/>
    <d v="2020-10-01T00:00:00"/>
    <s v="Groton"/>
    <x v="2"/>
    <s v="98 EAST SHORE AVE"/>
    <n v="654570"/>
    <n v="990000"/>
    <n v="0.66118181799999998"/>
    <n v="1.5124432833768733"/>
    <x v="2"/>
    <x v="1"/>
    <x v="0"/>
    <x v="2"/>
  </r>
  <r>
    <n v="2001101"/>
    <d v="2021-03-04T00:00:00"/>
    <x v="9"/>
    <x v="1"/>
    <d v="2021-03-01T00:00:00"/>
    <s v="Stamford"/>
    <x v="8"/>
    <s v="385 ERSKINE ROAD"/>
    <n v="599810"/>
    <n v="950000"/>
    <n v="0.63129999999999997"/>
    <n v="1.5838348810456644"/>
    <x v="2"/>
    <x v="1"/>
    <x v="0"/>
    <x v="8"/>
  </r>
  <r>
    <n v="200427"/>
    <d v="2021-02-05T00:00:00"/>
    <x v="5"/>
    <x v="1"/>
    <d v="2021-02-01T00:00:00"/>
    <s v="Norwich"/>
    <x v="3"/>
    <s v="287-291 MAIN ST"/>
    <n v="587600"/>
    <n v="939000"/>
    <n v="0.62570000000000003"/>
    <n v="1.5980258679373724"/>
    <x v="1"/>
    <x v="1"/>
    <x v="0"/>
    <x v="3"/>
  </r>
  <r>
    <n v="2001570"/>
    <d v="2021-05-14T00:00:00"/>
    <x v="3"/>
    <x v="1"/>
    <d v="2021-05-01T00:00:00"/>
    <s v="Stamford"/>
    <x v="8"/>
    <s v="52 ORCHARD STREET"/>
    <n v="486230"/>
    <n v="930000"/>
    <n v="0.52280000000000004"/>
    <n v="1.9126750714682352"/>
    <x v="1"/>
    <x v="1"/>
    <x v="0"/>
    <x v="8"/>
  </r>
  <r>
    <n v="20771"/>
    <d v="2021-09-16T00:00:00"/>
    <x v="10"/>
    <x v="1"/>
    <d v="2021-09-01T00:00:00"/>
    <s v="Newtown"/>
    <x v="3"/>
    <s v="3 SHORT HILL ROAD"/>
    <n v="451770"/>
    <n v="910000"/>
    <n v="0.49645054900000002"/>
    <n v="2.0142993115966088"/>
    <x v="2"/>
    <x v="0"/>
    <x v="0"/>
    <x v="3"/>
  </r>
  <r>
    <n v="200627"/>
    <d v="2021-07-20T00:00:00"/>
    <x v="4"/>
    <x v="1"/>
    <d v="2021-07-01T00:00:00"/>
    <s v="Trumbull"/>
    <x v="9"/>
    <s v="12 ROSEVIEW COURT"/>
    <n v="475160"/>
    <n v="905000"/>
    <n v="0.52500000000000002"/>
    <n v="1.9046216011448776"/>
    <x v="2"/>
    <x v="1"/>
    <x v="0"/>
    <x v="9"/>
  </r>
  <r>
    <n v="200243"/>
    <d v="2021-04-13T00:00:00"/>
    <x v="1"/>
    <x v="1"/>
    <d v="2021-04-01T00:00:00"/>
    <s v="Avon"/>
    <x v="7"/>
    <s v="111 NORTHINGTON DRIVE"/>
    <n v="619290"/>
    <n v="890000"/>
    <n v="0.69579999999999997"/>
    <n v="1.4371296161733598"/>
    <x v="2"/>
    <x v="1"/>
    <x v="0"/>
    <x v="7"/>
  </r>
  <r>
    <n v="20129"/>
    <d v="2021-03-30T00:00:00"/>
    <x v="9"/>
    <x v="1"/>
    <d v="2021-03-01T00:00:00"/>
    <s v="Derby"/>
    <x v="4"/>
    <s v="196 ELIZABETH ST"/>
    <n v="351260"/>
    <n v="873000"/>
    <n v="0.40229999999999999"/>
    <n v="2.4853384957011899"/>
    <x v="1"/>
    <x v="0"/>
    <x v="0"/>
    <x v="4"/>
  </r>
  <r>
    <n v="201207"/>
    <d v="2021-07-21T00:00:00"/>
    <x v="4"/>
    <x v="1"/>
    <d v="2021-07-01T00:00:00"/>
    <s v="New Haven"/>
    <x v="3"/>
    <s v="40 TEMPLE CT # 40"/>
    <n v="368130"/>
    <n v="850000"/>
    <n v="0.433"/>
    <n v="2.3089669410262679"/>
    <x v="2"/>
    <x v="0"/>
    <x v="0"/>
    <x v="3"/>
  </r>
  <r>
    <n v="2000344"/>
    <d v="2020-11-10T00:00:00"/>
    <x v="11"/>
    <x v="4"/>
    <d v="2020-11-01T00:00:00"/>
    <s v="Stamford"/>
    <x v="8"/>
    <s v="11 LYNAM ROAD"/>
    <n v="539700"/>
    <n v="850000"/>
    <n v="0.63490000000000002"/>
    <n v="1.5749490457661663"/>
    <x v="2"/>
    <x v="1"/>
    <x v="0"/>
    <x v="8"/>
  </r>
  <r>
    <n v="200338"/>
    <d v="2021-04-23T00:00:00"/>
    <x v="1"/>
    <x v="1"/>
    <d v="2021-04-01T00:00:00"/>
    <s v="New Canaan"/>
    <x v="3"/>
    <s v="116 ROCKY BROOK RD"/>
    <n v="620760"/>
    <n v="850000"/>
    <n v="0.73029999999999995"/>
    <n v="1.3692892583285006"/>
    <x v="2"/>
    <x v="1"/>
    <x v="0"/>
    <x v="3"/>
  </r>
  <r>
    <n v="202000106"/>
    <d v="2021-01-28T00:00:00"/>
    <x v="7"/>
    <x v="1"/>
    <d v="2021-01-01T00:00:00"/>
    <s v="Plymouth"/>
    <x v="10"/>
    <s v="325 MAIN ST"/>
    <n v="596470"/>
    <n v="833111"/>
    <n v="0.71589999999999998"/>
    <n v="1.3967357955974316"/>
    <x v="1"/>
    <x v="1"/>
    <x v="0"/>
    <x v="10"/>
  </r>
  <r>
    <n v="2001250"/>
    <d v="2021-03-25T00:00:00"/>
    <x v="9"/>
    <x v="1"/>
    <d v="2021-03-01T00:00:00"/>
    <s v="Stamford"/>
    <x v="8"/>
    <s v="28 VERNON PLACE"/>
    <n v="403190"/>
    <n v="810000"/>
    <n v="0.49769999999999998"/>
    <n v="2.0089783972816786"/>
    <x v="2"/>
    <x v="0"/>
    <x v="0"/>
    <x v="8"/>
  </r>
  <r>
    <n v="201027"/>
    <d v="2021-07-19T00:00:00"/>
    <x v="4"/>
    <x v="1"/>
    <d v="2021-07-01T00:00:00"/>
    <s v="Manchester"/>
    <x v="11"/>
    <s v="200 SHELDON ROAD"/>
    <n v="517700"/>
    <n v="800000"/>
    <n v="0.64710000000000001"/>
    <n v="1.5452965037666602"/>
    <x v="1"/>
    <x v="1"/>
    <x v="0"/>
    <x v="11"/>
  </r>
  <r>
    <n v="2002453"/>
    <d v="2021-08-27T00:00:00"/>
    <x v="6"/>
    <x v="1"/>
    <d v="2021-08-01T00:00:00"/>
    <s v="Stamford"/>
    <x v="8"/>
    <s v="34 FIFTH STREET"/>
    <n v="596290"/>
    <n v="800000"/>
    <n v="0.74529999999999996"/>
    <n v="1.3416290731020142"/>
    <x v="1"/>
    <x v="1"/>
    <x v="0"/>
    <x v="8"/>
  </r>
  <r>
    <n v="200097"/>
    <d v="2021-06-04T00:00:00"/>
    <x v="2"/>
    <x v="1"/>
    <d v="2021-06-01T00:00:00"/>
    <s v="Bethany"/>
    <x v="12"/>
    <s v="23 AMITY RD"/>
    <n v="511000"/>
    <n v="795000"/>
    <n v="0.64270000000000005"/>
    <n v="1.5557729941291585"/>
    <x v="1"/>
    <x v="1"/>
    <x v="0"/>
    <x v="12"/>
  </r>
  <r>
    <n v="2002537"/>
    <d v="2021-09-07T00:00:00"/>
    <x v="10"/>
    <x v="1"/>
    <d v="2021-09-01T00:00:00"/>
    <s v="Stamford"/>
    <x v="8"/>
    <s v="56 ETHAN ALLEN LANE"/>
    <n v="441560"/>
    <n v="785000"/>
    <n v="0.56240000000000001"/>
    <n v="1.7777878431017302"/>
    <x v="2"/>
    <x v="1"/>
    <x v="0"/>
    <x v="8"/>
  </r>
  <r>
    <n v="20274"/>
    <d v="2021-01-08T00:00:00"/>
    <x v="7"/>
    <x v="1"/>
    <d v="2021-01-01T00:00:00"/>
    <s v="Newtown"/>
    <x v="3"/>
    <s v="16 SILVER BROOK LANE"/>
    <n v="419590"/>
    <n v="779000"/>
    <n v="0.53859999999999997"/>
    <n v="1.8565742748873901"/>
    <x v="2"/>
    <x v="1"/>
    <x v="0"/>
    <x v="3"/>
  </r>
  <r>
    <n v="2000120"/>
    <d v="2020-10-16T00:00:00"/>
    <x v="8"/>
    <x v="4"/>
    <d v="2020-10-01T00:00:00"/>
    <s v="Stamford"/>
    <x v="8"/>
    <s v="61 SEAVIEW AVENUE # 1"/>
    <n v="497000"/>
    <n v="755000"/>
    <n v="0.65820000000000001"/>
    <n v="1.5191146881287727"/>
    <x v="2"/>
    <x v="1"/>
    <x v="0"/>
    <x v="8"/>
  </r>
  <r>
    <n v="200098"/>
    <d v="2020-11-06T00:00:00"/>
    <x v="11"/>
    <x v="4"/>
    <d v="2020-11-01T00:00:00"/>
    <s v="Groton"/>
    <x v="2"/>
    <s v="70 ATLANTIC AVE"/>
    <n v="354550"/>
    <n v="742500"/>
    <n v="0.47749999999999998"/>
    <n v="2.094203920462558"/>
    <x v="2"/>
    <x v="0"/>
    <x v="0"/>
    <x v="2"/>
  </r>
  <r>
    <n v="201328"/>
    <d v="2021-08-06T00:00:00"/>
    <x v="6"/>
    <x v="1"/>
    <d v="2021-08-01T00:00:00"/>
    <s v="Cromwell"/>
    <x v="1"/>
    <s v="6 BELHAVEN"/>
    <n v="410670"/>
    <n v="740000"/>
    <n v="0.55489999999999995"/>
    <n v="1.8019334258650499"/>
    <x v="2"/>
    <x v="1"/>
    <x v="0"/>
    <x v="1"/>
  </r>
  <r>
    <n v="200170"/>
    <d v="2021-06-14T00:00:00"/>
    <x v="2"/>
    <x v="1"/>
    <d v="2021-06-01T00:00:00"/>
    <s v="Westbrook"/>
    <x v="5"/>
    <s v="104 CHAPMAN BEACH RD"/>
    <n v="271120"/>
    <n v="725000"/>
    <n v="0.37390000000000001"/>
    <n v="2.6740926526999114"/>
    <x v="2"/>
    <x v="0"/>
    <x v="0"/>
    <x v="5"/>
  </r>
  <r>
    <n v="20458"/>
    <d v="2021-06-18T00:00:00"/>
    <x v="2"/>
    <x v="1"/>
    <d v="2021-06-01T00:00:00"/>
    <s v="Waterford"/>
    <x v="5"/>
    <s v="4 DONNA ST"/>
    <n v="271240"/>
    <n v="710000"/>
    <n v="0.38200000000000001"/>
    <n v="2.6176080224155731"/>
    <x v="2"/>
    <x v="0"/>
    <x v="0"/>
    <x v="5"/>
  </r>
  <r>
    <n v="200421"/>
    <d v="2020-12-24T00:00:00"/>
    <x v="0"/>
    <x v="4"/>
    <d v="2020-12-01T00:00:00"/>
    <s v="Greenwich"/>
    <x v="2"/>
    <s v="130 NORTH WATER STREET"/>
    <n v="288190"/>
    <n v="705000"/>
    <n v="0.40870000000000001"/>
    <n v="2.4463027863562234"/>
    <x v="2"/>
    <x v="0"/>
    <x v="0"/>
    <x v="2"/>
  </r>
  <r>
    <n v="200258"/>
    <d v="2021-01-22T00:00:00"/>
    <x v="7"/>
    <x v="1"/>
    <d v="2021-01-01T00:00:00"/>
    <s v="Branford"/>
    <x v="12"/>
    <s v="34 SUNRISE COVE CAMP"/>
    <n v="530500"/>
    <n v="700000"/>
    <n v="0.75780000000000003"/>
    <n v="1.3195098963242224"/>
    <x v="2"/>
    <x v="1"/>
    <x v="0"/>
    <x v="12"/>
  </r>
  <r>
    <n v="2020313"/>
    <d v="2021-07-01T00:00:00"/>
    <x v="4"/>
    <x v="1"/>
    <d v="2021-07-01T00:00:00"/>
    <s v="Berlin"/>
    <x v="12"/>
    <s v="216 WATCH HILL RD"/>
    <n v="412000"/>
    <n v="677500"/>
    <n v="0.60809999999999997"/>
    <n v="1.6444174757281553"/>
    <x v="2"/>
    <x v="1"/>
    <x v="0"/>
    <x v="12"/>
  </r>
  <r>
    <n v="2001286"/>
    <d v="2021-03-30T00:00:00"/>
    <x v="9"/>
    <x v="1"/>
    <d v="2021-03-01T00:00:00"/>
    <s v="Stamford"/>
    <x v="8"/>
    <s v="1156 STILLWATER ROAD"/>
    <n v="438860"/>
    <n v="652000"/>
    <n v="0.67300000000000004"/>
    <n v="1.4856674110194594"/>
    <x v="2"/>
    <x v="1"/>
    <x v="0"/>
    <x v="8"/>
  </r>
  <r>
    <n v="200639"/>
    <d v="2021-07-28T00:00:00"/>
    <x v="4"/>
    <x v="1"/>
    <d v="2021-07-01T00:00:00"/>
    <s v="Groton"/>
    <x v="2"/>
    <s v="4 TYLER AVE"/>
    <n v="259770"/>
    <n v="650000"/>
    <n v="0.39964615399999998"/>
    <n v="2.5022134965546443"/>
    <x v="2"/>
    <x v="0"/>
    <x v="0"/>
    <x v="2"/>
  </r>
  <r>
    <n v="20200578"/>
    <d v="2021-02-17T00:00:00"/>
    <x v="5"/>
    <x v="1"/>
    <d v="2021-02-01T00:00:00"/>
    <s v="Stratford"/>
    <x v="8"/>
    <s v="2318 MAIN STREET"/>
    <n v="429800"/>
    <n v="650000"/>
    <n v="0.66120000000000001"/>
    <n v="1.5123313168915775"/>
    <x v="1"/>
    <x v="1"/>
    <x v="0"/>
    <x v="8"/>
  </r>
  <r>
    <n v="200804"/>
    <d v="2021-09-28T00:00:00"/>
    <x v="10"/>
    <x v="1"/>
    <d v="2021-09-01T00:00:00"/>
    <s v="Branford"/>
    <x v="12"/>
    <s v="119 MONTOWESE ST"/>
    <n v="455100"/>
    <n v="650000"/>
    <n v="0.70009999999999994"/>
    <n v="1.4282575258185015"/>
    <x v="1"/>
    <x v="1"/>
    <x v="0"/>
    <x v="12"/>
  </r>
  <r>
    <n v="200043"/>
    <d v="2020-12-09T00:00:00"/>
    <x v="0"/>
    <x v="4"/>
    <d v="2020-12-01T00:00:00"/>
    <s v="Killingworth"/>
    <x v="13"/>
    <s v="46 TITUS COAN ROAD"/>
    <n v="354040"/>
    <n v="645000"/>
    <n v="0.54879999999999995"/>
    <n v="1.8218280420291493"/>
    <x v="2"/>
    <x v="1"/>
    <x v="0"/>
    <x v="13"/>
  </r>
  <r>
    <n v="200042"/>
    <d v="2021-05-19T00:00:00"/>
    <x v="3"/>
    <x v="1"/>
    <d v="2021-05-01T00:00:00"/>
    <s v="Canaan"/>
    <x v="1"/>
    <s v="93 MAIN ST"/>
    <n v="355800"/>
    <n v="599000"/>
    <n v="0.59389999999999998"/>
    <n v="1.6835300730747611"/>
    <x v="2"/>
    <x v="1"/>
    <x v="0"/>
    <x v="1"/>
  </r>
  <r>
    <n v="70101"/>
    <d v="2008-03-03T00:00:00"/>
    <x v="9"/>
    <x v="5"/>
    <d v="2008-03-01T00:00:00"/>
    <s v="Monroe"/>
    <x v="11"/>
    <s v="17 PEQUOT CT"/>
    <n v="342230"/>
    <n v="575000"/>
    <n v="0.59518260899999997"/>
    <n v="1.6801566198170821"/>
    <x v="0"/>
    <x v="1"/>
    <x v="0"/>
    <x v="11"/>
  </r>
  <r>
    <n v="200002"/>
    <d v="2020-10-01T00:00:00"/>
    <x v="8"/>
    <x v="4"/>
    <d v="2020-10-01T00:00:00"/>
    <s v="Roxbury"/>
    <x v="0"/>
    <s v="20 CHURCH ST"/>
    <n v="439290"/>
    <n v="575000"/>
    <n v="0.76398260900000003"/>
    <n v="1.3089303193789978"/>
    <x v="2"/>
    <x v="1"/>
    <x v="0"/>
    <x v="0"/>
  </r>
  <r>
    <n v="160178"/>
    <d v="2017-06-14T00:00:00"/>
    <x v="2"/>
    <x v="3"/>
    <d v="2017-06-01T00:00:00"/>
    <s v="Old Saybrook"/>
    <x v="14"/>
    <s v="81 COULTER ST #14"/>
    <n v="363600"/>
    <n v="572500"/>
    <n v="0.63510917"/>
    <n v="1.5745324532453244"/>
    <x v="0"/>
    <x v="1"/>
    <x v="0"/>
    <x v="14"/>
  </r>
  <r>
    <n v="20249"/>
    <d v="2021-09-30T00:00:00"/>
    <x v="10"/>
    <x v="1"/>
    <d v="2021-09-01T00:00:00"/>
    <s v="Orange"/>
    <x v="14"/>
    <s v="387 TIMBERLANE DR"/>
    <n v="297700"/>
    <n v="550000"/>
    <n v="0.54120000000000001"/>
    <n v="1.8474974806852535"/>
    <x v="2"/>
    <x v="1"/>
    <x v="0"/>
    <x v="14"/>
  </r>
  <r>
    <n v="200742"/>
    <d v="2021-03-29T00:00:00"/>
    <x v="9"/>
    <x v="1"/>
    <d v="2021-03-01T00:00:00"/>
    <s v="Danbury"/>
    <x v="4"/>
    <s v="17 OHEHYAHTAH PL"/>
    <n v="339100"/>
    <n v="550000"/>
    <n v="0.61650000000000005"/>
    <n v="1.6219404305514598"/>
    <x v="2"/>
    <x v="1"/>
    <x v="0"/>
    <x v="4"/>
  </r>
  <r>
    <n v="200151"/>
    <d v="2020-12-14T00:00:00"/>
    <x v="0"/>
    <x v="4"/>
    <d v="2020-12-01T00:00:00"/>
    <s v="Farmington"/>
    <x v="15"/>
    <s v="15 MALS WAY"/>
    <n v="356410"/>
    <n v="550000"/>
    <n v="0.64800000000000002"/>
    <n v="1.543166577817682"/>
    <x v="2"/>
    <x v="1"/>
    <x v="0"/>
    <x v="15"/>
  </r>
  <r>
    <n v="70561"/>
    <d v="2008-09-11T00:00:00"/>
    <x v="10"/>
    <x v="5"/>
    <d v="2008-09-01T00:00:00"/>
    <s v="Shelton"/>
    <x v="8"/>
    <s v="11 RUSHBROOKE LN"/>
    <n v="342650"/>
    <n v="542500"/>
    <n v="0.63161290299999995"/>
    <n v="1.5832482124616956"/>
    <x v="0"/>
    <x v="1"/>
    <x v="0"/>
    <x v="8"/>
  </r>
  <r>
    <n v="2001590"/>
    <d v="2021-05-17T00:00:00"/>
    <x v="3"/>
    <x v="1"/>
    <d v="2021-05-01T00:00:00"/>
    <s v="Stamford"/>
    <x v="8"/>
    <s v="37 CROSS ROAD"/>
    <n v="423700"/>
    <n v="533350"/>
    <n v="0.7944"/>
    <n v="1.2587915978286524"/>
    <x v="2"/>
    <x v="1"/>
    <x v="0"/>
    <x v="8"/>
  </r>
  <r>
    <n v="141056"/>
    <d v="2015-06-02T00:00:00"/>
    <x v="2"/>
    <x v="6"/>
    <d v="2015-06-01T00:00:00"/>
    <s v="Stamford"/>
    <x v="8"/>
    <s v="1707 SUMMER STREET UT 3"/>
    <n v="314280"/>
    <n v="526000"/>
    <n v="0.59749049399999998"/>
    <n v="1.673666793941708"/>
    <x v="0"/>
    <x v="1"/>
    <x v="0"/>
    <x v="8"/>
  </r>
  <r>
    <n v="201580"/>
    <d v="2021-09-27T00:00:00"/>
    <x v="10"/>
    <x v="1"/>
    <d v="2021-09-01T00:00:00"/>
    <s v="Danbury"/>
    <x v="4"/>
    <s v="25 CROWN ST"/>
    <n v="192300"/>
    <n v="525000"/>
    <n v="0.36628571399999998"/>
    <n v="2.7301092043681749"/>
    <x v="2"/>
    <x v="0"/>
    <x v="0"/>
    <x v="4"/>
  </r>
  <r>
    <n v="200374"/>
    <d v="2021-03-01T00:00:00"/>
    <x v="9"/>
    <x v="1"/>
    <d v="2021-03-01T00:00:00"/>
    <s v="Shelton"/>
    <x v="8"/>
    <s v="1103 RENAISSANCE"/>
    <n v="227500"/>
    <n v="525000"/>
    <n v="0.43330000000000002"/>
    <n v="2.3076923076923075"/>
    <x v="2"/>
    <x v="0"/>
    <x v="0"/>
    <x v="8"/>
  </r>
  <r>
    <n v="201023"/>
    <d v="2021-07-26T00:00:00"/>
    <x v="4"/>
    <x v="1"/>
    <d v="2021-07-01T00:00:00"/>
    <s v="Hartford"/>
    <x v="16"/>
    <s v="410 MARKET ST"/>
    <n v="435610"/>
    <n v="525000"/>
    <n v="0.82969999999999999"/>
    <n v="1.2052064920456371"/>
    <x v="1"/>
    <x v="1"/>
    <x v="0"/>
    <x v="16"/>
  </r>
  <r>
    <n v="200827"/>
    <d v="2021-09-07T00:00:00"/>
    <x v="10"/>
    <x v="1"/>
    <d v="2021-09-01T00:00:00"/>
    <s v="Glastonbury"/>
    <x v="2"/>
    <s v="38 MONTAUK WAY"/>
    <n v="332000"/>
    <n v="520000"/>
    <n v="0.63839999999999997"/>
    <n v="1.5662650602409638"/>
    <x v="2"/>
    <x v="1"/>
    <x v="0"/>
    <x v="2"/>
  </r>
  <r>
    <n v="200140"/>
    <d v="2021-04-28T00:00:00"/>
    <x v="1"/>
    <x v="1"/>
    <d v="2021-04-01T00:00:00"/>
    <s v="Essex"/>
    <x v="6"/>
    <s v="14 ESSEX GLEN DR #12"/>
    <n v="335800"/>
    <n v="520000"/>
    <n v="0.64570000000000005"/>
    <n v="1.5485407980941037"/>
    <x v="2"/>
    <x v="1"/>
    <x v="0"/>
    <x v="6"/>
  </r>
  <r>
    <n v="200499"/>
    <d v="2021-09-10T00:00:00"/>
    <x v="10"/>
    <x v="1"/>
    <d v="2021-09-01T00:00:00"/>
    <s v="East Lyme"/>
    <x v="6"/>
    <s v="27 SEA CREST AVE"/>
    <n v="233660"/>
    <n v="517000"/>
    <n v="0.45190000000000002"/>
    <n v="2.2126166224428658"/>
    <x v="2"/>
    <x v="0"/>
    <x v="0"/>
    <x v="6"/>
  </r>
  <r>
    <n v="130962"/>
    <d v="2014-09-08T00:00:00"/>
    <x v="10"/>
    <x v="7"/>
    <d v="2014-09-01T00:00:00"/>
    <s v="Fairfield"/>
    <x v="15"/>
    <s v="48 GATE RIDGE ROAD"/>
    <n v="301070"/>
    <n v="515000"/>
    <n v="0.58460194200000004"/>
    <n v="1.7105656491845751"/>
    <x v="0"/>
    <x v="1"/>
    <x v="0"/>
    <x v="15"/>
  </r>
  <r>
    <n v="20588"/>
    <d v="2021-07-29T00:00:00"/>
    <x v="4"/>
    <x v="1"/>
    <d v="2021-07-01T00:00:00"/>
    <s v="Southbury"/>
    <x v="8"/>
    <s v="2005 PURCHASE BROOK RD"/>
    <n v="235950"/>
    <n v="510000"/>
    <n v="0.46260000000000001"/>
    <n v="2.1614748887476161"/>
    <x v="2"/>
    <x v="0"/>
    <x v="0"/>
    <x v="8"/>
  </r>
  <r>
    <n v="20742"/>
    <d v="2021-08-30T00:00:00"/>
    <x v="6"/>
    <x v="1"/>
    <d v="2021-08-01T00:00:00"/>
    <s v="Newtown"/>
    <x v="3"/>
    <s v="157 HANOVER ROAD"/>
    <n v="325640"/>
    <n v="508000"/>
    <n v="0.64100000000000001"/>
    <n v="1.5600049134013021"/>
    <x v="2"/>
    <x v="1"/>
    <x v="0"/>
    <x v="3"/>
  </r>
  <r>
    <n v="150034"/>
    <d v="2016-05-04T00:00:00"/>
    <x v="3"/>
    <x v="0"/>
    <d v="2016-05-01T00:00:00"/>
    <s v="Sharon"/>
    <x v="8"/>
    <s v="9 GREAT ELM DR #1"/>
    <n v="309800"/>
    <n v="505000"/>
    <n v="0.61346534699999999"/>
    <n v="1.6300839251129762"/>
    <x v="0"/>
    <x v="1"/>
    <x v="0"/>
    <x v="8"/>
  </r>
  <r>
    <n v="70535"/>
    <d v="2008-05-02T00:00:00"/>
    <x v="3"/>
    <x v="5"/>
    <d v="2008-05-01T00:00:00"/>
    <s v="West Hartford"/>
    <x v="5"/>
    <s v="25 CASSANDRA BLVD #304"/>
    <n v="235800"/>
    <n v="487710"/>
    <n v="0.483484038"/>
    <n v="2.0683206106870231"/>
    <x v="0"/>
    <x v="0"/>
    <x v="0"/>
    <x v="5"/>
  </r>
  <r>
    <n v="200080"/>
    <d v="2020-11-05T00:00:00"/>
    <x v="11"/>
    <x v="4"/>
    <d v="2020-11-01T00:00:00"/>
    <s v="Guilford"/>
    <x v="2"/>
    <s v="2 WINTERBERRY RD"/>
    <n v="239550"/>
    <n v="480000"/>
    <n v="0.499"/>
    <n v="2.0037570444583594"/>
    <x v="2"/>
    <x v="0"/>
    <x v="0"/>
    <x v="2"/>
  </r>
  <r>
    <n v="200282"/>
    <d v="2021-07-15T00:00:00"/>
    <x v="4"/>
    <x v="1"/>
    <d v="2021-07-01T00:00:00"/>
    <s v="Coventry"/>
    <x v="1"/>
    <s v="1467 SOUTH       ST"/>
    <n v="359800"/>
    <n v="480000"/>
    <n v="0.74950000000000006"/>
    <n v="1.3340744858254585"/>
    <x v="1"/>
    <x v="1"/>
    <x v="0"/>
    <x v="1"/>
  </r>
  <r>
    <n v="162511"/>
    <d v="2017-09-07T00:00:00"/>
    <x v="10"/>
    <x v="3"/>
    <d v="2017-09-01T00:00:00"/>
    <s v="Shelton"/>
    <x v="8"/>
    <s v="9 SYLVESTERS WAY"/>
    <n v="306950"/>
    <n v="476549"/>
    <n v="0.64411004999999999"/>
    <n v="1.5525297279687245"/>
    <x v="0"/>
    <x v="1"/>
    <x v="0"/>
    <x v="8"/>
  </r>
  <r>
    <n v="200145"/>
    <d v="2021-08-09T00:00:00"/>
    <x v="6"/>
    <x v="1"/>
    <d v="2021-08-01T00:00:00"/>
    <s v="New Hartford"/>
    <x v="3"/>
    <s v="82 NILES ROAD"/>
    <n v="238980"/>
    <n v="460000"/>
    <n v="0.51949999999999996"/>
    <n v="1.9248472675537702"/>
    <x v="2"/>
    <x v="1"/>
    <x v="0"/>
    <x v="3"/>
  </r>
  <r>
    <n v="200359"/>
    <d v="2021-03-08T00:00:00"/>
    <x v="9"/>
    <x v="1"/>
    <d v="2021-03-01T00:00:00"/>
    <s v="Trumbull"/>
    <x v="9"/>
    <s v="94 NORTH STOWE PLACE"/>
    <n v="256550"/>
    <n v="451000"/>
    <n v="0.56879999999999997"/>
    <n v="1.7579419216526992"/>
    <x v="2"/>
    <x v="1"/>
    <x v="0"/>
    <x v="9"/>
  </r>
  <r>
    <n v="20761"/>
    <d v="2021-05-28T00:00:00"/>
    <x v="3"/>
    <x v="1"/>
    <d v="2021-05-01T00:00:00"/>
    <s v="New Britain"/>
    <x v="3"/>
    <s v="150 GOLD ST"/>
    <n v="212310"/>
    <n v="450000"/>
    <n v="0.4718"/>
    <n v="2.1195421788893598"/>
    <x v="3"/>
    <x v="0"/>
    <x v="0"/>
    <x v="3"/>
  </r>
  <r>
    <n v="201007"/>
    <d v="2021-03-22T00:00:00"/>
    <x v="9"/>
    <x v="1"/>
    <d v="2021-03-01T00:00:00"/>
    <s v="Norwalk"/>
    <x v="3"/>
    <s v="29 GREGORY BLVD"/>
    <n v="261800"/>
    <n v="450000"/>
    <n v="0.58169999999999999"/>
    <n v="1.7188693659281895"/>
    <x v="2"/>
    <x v="1"/>
    <x v="0"/>
    <x v="3"/>
  </r>
  <r>
    <n v="202281"/>
    <d v="2021-09-07T00:00:00"/>
    <x v="10"/>
    <x v="1"/>
    <d v="2021-09-01T00:00:00"/>
    <s v="North Haven"/>
    <x v="3"/>
    <s v="108 MULHOLLAND WAY"/>
    <n v="276010"/>
    <n v="443165"/>
    <n v="0.62280000000000002"/>
    <n v="1.6056121155030614"/>
    <x v="2"/>
    <x v="1"/>
    <x v="0"/>
    <x v="3"/>
  </r>
  <r>
    <n v="20360"/>
    <d v="2021-01-22T00:00:00"/>
    <x v="7"/>
    <x v="1"/>
    <d v="2021-01-01T00:00:00"/>
    <s v="Hartford"/>
    <x v="16"/>
    <s v="1301 MAIN ST"/>
    <n v="173670"/>
    <n v="439900"/>
    <n v="0.3947"/>
    <n v="2.5329648183336211"/>
    <x v="1"/>
    <x v="0"/>
    <x v="0"/>
    <x v="16"/>
  </r>
  <r>
    <n v="200552"/>
    <d v="2021-09-23T00:00:00"/>
    <x v="10"/>
    <x v="1"/>
    <d v="2021-09-01T00:00:00"/>
    <s v="Stonington"/>
    <x v="8"/>
    <s v="12 CUTTER DR"/>
    <n v="213100"/>
    <n v="435000"/>
    <n v="0.48980000000000001"/>
    <n v="2.0412951665884562"/>
    <x v="2"/>
    <x v="0"/>
    <x v="0"/>
    <x v="8"/>
  </r>
  <r>
    <n v="20002"/>
    <d v="2020-10-02T00:00:00"/>
    <x v="8"/>
    <x v="4"/>
    <d v="2020-10-01T00:00:00"/>
    <s v="Ashford"/>
    <x v="7"/>
    <s v="390 TURNPIKE RD"/>
    <n v="253000"/>
    <n v="430000"/>
    <n v="0.58830000000000005"/>
    <n v="1.6996047430830039"/>
    <x v="2"/>
    <x v="1"/>
    <x v="0"/>
    <x v="7"/>
  </r>
  <r>
    <n v="60890"/>
    <d v="2007-04-18T00:00:00"/>
    <x v="1"/>
    <x v="8"/>
    <d v="2007-04-01T00:00:00"/>
    <s v="Norwalk"/>
    <x v="3"/>
    <s v="33 NORTH WATER ST"/>
    <n v="44653"/>
    <n v="429000"/>
    <n v="0.10408624700000001"/>
    <n v="9.6074171948133387"/>
    <x v="0"/>
    <x v="0"/>
    <x v="0"/>
    <x v="3"/>
  </r>
  <r>
    <n v="162063"/>
    <d v="2017-09-27T00:00:00"/>
    <x v="10"/>
    <x v="3"/>
    <d v="2017-09-01T00:00:00"/>
    <s v="Stamford"/>
    <x v="8"/>
    <s v="101 GROVE STREET G-17"/>
    <n v="8190"/>
    <n v="427500"/>
    <n v="1.9157895000000001E-2"/>
    <n v="52.197802197802197"/>
    <x v="0"/>
    <x v="0"/>
    <x v="0"/>
    <x v="8"/>
  </r>
  <r>
    <n v="200125"/>
    <d v="2021-03-31T00:00:00"/>
    <x v="9"/>
    <x v="1"/>
    <d v="2021-03-01T00:00:00"/>
    <s v="Essex"/>
    <x v="6"/>
    <s v="35 DEER LA"/>
    <n v="220500"/>
    <n v="425000"/>
    <n v="0.51880000000000004"/>
    <n v="1.9274376417233561"/>
    <x v="2"/>
    <x v="1"/>
    <x v="0"/>
    <x v="6"/>
  </r>
  <r>
    <n v="200236"/>
    <d v="2021-03-18T00:00:00"/>
    <x v="9"/>
    <x v="1"/>
    <d v="2021-03-01T00:00:00"/>
    <s v="East Lyme"/>
    <x v="6"/>
    <s v="8 N EDGEWOOD RD"/>
    <n v="238140"/>
    <n v="421000"/>
    <n v="0.56559999999999999"/>
    <n v="1.7678676408835139"/>
    <x v="2"/>
    <x v="1"/>
    <x v="0"/>
    <x v="6"/>
  </r>
  <r>
    <n v="200599"/>
    <d v="2021-07-02T00:00:00"/>
    <x v="4"/>
    <x v="1"/>
    <d v="2021-07-01T00:00:00"/>
    <s v="Trumbull"/>
    <x v="9"/>
    <s v="29 WALNUT AVE"/>
    <n v="237440"/>
    <n v="420000"/>
    <n v="0.56530000000000002"/>
    <n v="1.7688679245283019"/>
    <x v="2"/>
    <x v="1"/>
    <x v="0"/>
    <x v="9"/>
  </r>
  <r>
    <n v="200078"/>
    <d v="2021-09-20T00:00:00"/>
    <x v="10"/>
    <x v="1"/>
    <d v="2021-09-01T00:00:00"/>
    <s v="Chester"/>
    <x v="1"/>
    <s v="6 SUNSET AVE"/>
    <n v="250100"/>
    <n v="418800"/>
    <n v="0.59709999999999996"/>
    <n v="1.67453018792483"/>
    <x v="2"/>
    <x v="1"/>
    <x v="0"/>
    <x v="1"/>
  </r>
  <r>
    <n v="200305"/>
    <d v="2021-01-26T00:00:00"/>
    <x v="7"/>
    <x v="1"/>
    <d v="2021-01-01T00:00:00"/>
    <s v="Enfield"/>
    <x v="6"/>
    <s v="15 SALERNO DR"/>
    <n v="233660"/>
    <n v="410000"/>
    <n v="0.56989999999999996"/>
    <n v="1.7546862963279979"/>
    <x v="2"/>
    <x v="1"/>
    <x v="0"/>
    <x v="6"/>
  </r>
  <r>
    <n v="2001493"/>
    <d v="2021-05-03T00:00:00"/>
    <x v="3"/>
    <x v="1"/>
    <d v="2021-05-01T00:00:00"/>
    <s v="Stamford"/>
    <x v="8"/>
    <s v="18 BUNGALOW PARK"/>
    <n v="238890"/>
    <n v="400000"/>
    <n v="0.59719999999999995"/>
    <n v="1.6744108166938758"/>
    <x v="2"/>
    <x v="1"/>
    <x v="0"/>
    <x v="8"/>
  </r>
  <r>
    <n v="201057"/>
    <d v="2021-08-12T00:00:00"/>
    <x v="6"/>
    <x v="1"/>
    <d v="2021-08-01T00:00:00"/>
    <s v="New Britain"/>
    <x v="3"/>
    <s v="5 ARCH ST"/>
    <n v="264390"/>
    <n v="400000"/>
    <n v="0.66090000000000004"/>
    <n v="1.5129165248307426"/>
    <x v="1"/>
    <x v="1"/>
    <x v="0"/>
    <x v="3"/>
  </r>
  <r>
    <n v="20200824"/>
    <d v="2021-05-03T00:00:00"/>
    <x v="3"/>
    <x v="1"/>
    <d v="2021-05-01T00:00:00"/>
    <s v="Stratford"/>
    <x v="8"/>
    <s v="758A QUINNIPIAC LANE"/>
    <n v="193340"/>
    <n v="395000"/>
    <n v="0.4894"/>
    <n v="2.0430329988621083"/>
    <x v="2"/>
    <x v="0"/>
    <x v="0"/>
    <x v="8"/>
  </r>
  <r>
    <n v="200035"/>
    <d v="2020-10-29T00:00:00"/>
    <x v="8"/>
    <x v="4"/>
    <d v="2020-10-01T00:00:00"/>
    <s v="Colchester"/>
    <x v="1"/>
    <s v="160 SHADBUSH DR"/>
    <n v="223900"/>
    <n v="392000"/>
    <n v="0.57110000000000005"/>
    <n v="1.7507815989280928"/>
    <x v="2"/>
    <x v="1"/>
    <x v="0"/>
    <x v="1"/>
  </r>
  <r>
    <n v="200510"/>
    <d v="2021-09-15T00:00:00"/>
    <x v="10"/>
    <x v="1"/>
    <d v="2021-09-01T00:00:00"/>
    <s v="East Lyme"/>
    <x v="6"/>
    <s v="3 CARLISE LN"/>
    <n v="212100"/>
    <n v="390500"/>
    <n v="0.54310000000000003"/>
    <n v="1.8411126826968411"/>
    <x v="2"/>
    <x v="1"/>
    <x v="0"/>
    <x v="6"/>
  </r>
  <r>
    <n v="200074"/>
    <d v="2021-09-01T00:00:00"/>
    <x v="10"/>
    <x v="1"/>
    <d v="2021-09-01T00:00:00"/>
    <s v="Cornwall"/>
    <x v="1"/>
    <s v="131 KENT RD"/>
    <n v="246100"/>
    <n v="385000"/>
    <n v="0.63919999999999999"/>
    <n v="1.564404713531085"/>
    <x v="1"/>
    <x v="1"/>
    <x v="0"/>
    <x v="1"/>
  </r>
  <r>
    <n v="200014"/>
    <d v="2020-10-13T00:00:00"/>
    <x v="8"/>
    <x v="4"/>
    <d v="2020-10-01T00:00:00"/>
    <s v="Westbrook"/>
    <x v="5"/>
    <s v="233 KENROSE TER"/>
    <n v="245790"/>
    <n v="382000"/>
    <n v="0.64339999999999997"/>
    <n v="1.554172260873103"/>
    <x v="2"/>
    <x v="1"/>
    <x v="0"/>
    <x v="5"/>
  </r>
  <r>
    <n v="200245"/>
    <d v="2021-01-06T00:00:00"/>
    <x v="7"/>
    <x v="1"/>
    <d v="2021-01-01T00:00:00"/>
    <s v="Shelton"/>
    <x v="8"/>
    <s v="172-176 CORAM AVE"/>
    <n v="310660"/>
    <n v="375000"/>
    <n v="0.82840000000000003"/>
    <n v="1.2071074486576965"/>
    <x v="1"/>
    <x v="1"/>
    <x v="0"/>
    <x v="8"/>
  </r>
  <r>
    <n v="162000"/>
    <d v="2017-09-14T00:00:00"/>
    <x v="10"/>
    <x v="3"/>
    <d v="2017-09-01T00:00:00"/>
    <s v="Stamford"/>
    <x v="8"/>
    <s v="61 SEAVIEW AVENUE D-39"/>
    <n v="264700"/>
    <n v="373000"/>
    <n v="0.70965147500000003"/>
    <n v="1.4091424253872309"/>
    <x v="0"/>
    <x v="1"/>
    <x v="0"/>
    <x v="8"/>
  </r>
  <r>
    <n v="200081"/>
    <d v="2020-11-09T00:00:00"/>
    <x v="11"/>
    <x v="4"/>
    <d v="2020-11-01T00:00:00"/>
    <s v="Simsbury"/>
    <x v="8"/>
    <s v="2C MILL PONDO LANE"/>
    <n v="270440"/>
    <n v="372000"/>
    <n v="0.72689999999999999"/>
    <n v="1.3755361632894543"/>
    <x v="2"/>
    <x v="1"/>
    <x v="0"/>
    <x v="8"/>
  </r>
  <r>
    <n v="200011"/>
    <d v="2020-10-13T00:00:00"/>
    <x v="8"/>
    <x v="4"/>
    <d v="2020-10-01T00:00:00"/>
    <s v="Trumbull"/>
    <x v="9"/>
    <s v="14 WOODLAWN DR"/>
    <n v="183190"/>
    <n v="370000"/>
    <n v="0.49509999999999998"/>
    <n v="2.0197609039794751"/>
    <x v="2"/>
    <x v="0"/>
    <x v="0"/>
    <x v="9"/>
  </r>
  <r>
    <n v="900420"/>
    <d v="2010-09-07T00:00:00"/>
    <x v="10"/>
    <x v="9"/>
    <d v="2010-09-01T00:00:00"/>
    <s v="Farmington"/>
    <x v="15"/>
    <s v="98 BRADFORD WALK"/>
    <n v="265580"/>
    <n v="369900"/>
    <n v="0.71797783199999998"/>
    <n v="1.3928006627005045"/>
    <x v="0"/>
    <x v="1"/>
    <x v="0"/>
    <x v="15"/>
  </r>
  <r>
    <n v="200233"/>
    <d v="2020-12-31T00:00:00"/>
    <x v="0"/>
    <x v="4"/>
    <d v="2020-12-01T00:00:00"/>
    <s v="Trumbull"/>
    <x v="9"/>
    <s v="8 TURNER AVE"/>
    <n v="202160"/>
    <n v="365000"/>
    <n v="0.55379999999999996"/>
    <n v="1.8055005935892363"/>
    <x v="2"/>
    <x v="1"/>
    <x v="0"/>
    <x v="9"/>
  </r>
  <r>
    <n v="2000230"/>
    <d v="2021-03-16T00:00:00"/>
    <x v="9"/>
    <x v="1"/>
    <d v="2021-03-01T00:00:00"/>
    <s v="Cheshire"/>
    <x v="1"/>
    <s v="50 ABBEY CT"/>
    <n v="210940"/>
    <n v="365000"/>
    <n v="0.57789999999999997"/>
    <n v="1.7303498625201479"/>
    <x v="2"/>
    <x v="1"/>
    <x v="0"/>
    <x v="1"/>
  </r>
  <r>
    <n v="201129"/>
    <d v="2021-08-19T00:00:00"/>
    <x v="6"/>
    <x v="1"/>
    <d v="2021-08-01T00:00:00"/>
    <s v="Hartford"/>
    <x v="16"/>
    <s v="20 GIDDINGS ST"/>
    <n v="114954"/>
    <n v="360000"/>
    <n v="0.31929999999999997"/>
    <n v="3.1316874575917324"/>
    <x v="2"/>
    <x v="0"/>
    <x v="0"/>
    <x v="16"/>
  </r>
  <r>
    <n v="20293"/>
    <d v="2021-06-07T00:00:00"/>
    <x v="2"/>
    <x v="1"/>
    <d v="2021-06-01T00:00:00"/>
    <s v="Plainfield"/>
    <x v="10"/>
    <s v="404 PLAINFIELD PIKE RD"/>
    <n v="193560"/>
    <n v="360000"/>
    <n v="0.53759999999999997"/>
    <n v="1.8598884066955983"/>
    <x v="2"/>
    <x v="1"/>
    <x v="0"/>
    <x v="10"/>
  </r>
  <r>
    <n v="200125"/>
    <d v="2021-09-07T00:00:00"/>
    <x v="10"/>
    <x v="1"/>
    <d v="2021-09-01T00:00:00"/>
    <s v="Harwinton"/>
    <x v="16"/>
    <s v="167 BIRGE PARK RD"/>
    <n v="194790"/>
    <n v="360000"/>
    <n v="0.54100000000000004"/>
    <n v="1.8481441552441091"/>
    <x v="2"/>
    <x v="1"/>
    <x v="0"/>
    <x v="16"/>
  </r>
  <r>
    <n v="200652"/>
    <d v="2021-06-29T00:00:00"/>
    <x v="2"/>
    <x v="1"/>
    <d v="2021-06-01T00:00:00"/>
    <s v="Enfield"/>
    <x v="6"/>
    <s v="12 KELLY DR"/>
    <n v="203470"/>
    <n v="360000"/>
    <n v="0.56510000000000005"/>
    <n v="1.7693025998918759"/>
    <x v="2"/>
    <x v="1"/>
    <x v="0"/>
    <x v="6"/>
  </r>
  <r>
    <n v="2002299"/>
    <d v="2021-08-04T00:00:00"/>
    <x v="6"/>
    <x v="1"/>
    <d v="2021-08-01T00:00:00"/>
    <s v="Stamford"/>
    <x v="8"/>
    <s v="1400 BEDFORD STREET #4"/>
    <n v="169050"/>
    <n v="355000"/>
    <n v="0.47610000000000002"/>
    <n v="2.0999704229517895"/>
    <x v="2"/>
    <x v="0"/>
    <x v="0"/>
    <x v="8"/>
  </r>
  <r>
    <n v="202876"/>
    <d v="2021-08-18T00:00:00"/>
    <x v="6"/>
    <x v="1"/>
    <d v="2021-08-01T00:00:00"/>
    <s v="Norwalk"/>
    <x v="3"/>
    <s v="17 HADIK PKWY"/>
    <n v="256270"/>
    <n v="355000"/>
    <n v="0.7218"/>
    <n v="1.3852577359815819"/>
    <x v="2"/>
    <x v="1"/>
    <x v="0"/>
    <x v="3"/>
  </r>
  <r>
    <n v="200086"/>
    <d v="2021-08-10T00:00:00"/>
    <x v="6"/>
    <x v="1"/>
    <d v="2021-08-01T00:00:00"/>
    <s v="Bethlehem"/>
    <x v="12"/>
    <s v="39 WOODLAND RD"/>
    <n v="168900"/>
    <n v="352000"/>
    <n v="0.4798"/>
    <n v="2.0840734162226169"/>
    <x v="2"/>
    <x v="0"/>
    <x v="0"/>
    <x v="12"/>
  </r>
  <r>
    <n v="200656"/>
    <d v="2021-04-30T00:00:00"/>
    <x v="1"/>
    <x v="1"/>
    <d v="2021-04-01T00:00:00"/>
    <s v="Norwich"/>
    <x v="3"/>
    <s v="112-116 MAIN ST"/>
    <n v="262300"/>
    <n v="352000"/>
    <n v="0.74509999999999998"/>
    <n v="1.341974837971788"/>
    <x v="1"/>
    <x v="1"/>
    <x v="0"/>
    <x v="3"/>
  </r>
  <r>
    <n v="200210"/>
    <d v="2021-07-12T00:00:00"/>
    <x v="4"/>
    <x v="1"/>
    <d v="2021-07-01T00:00:00"/>
    <s v="Mansfield"/>
    <x v="11"/>
    <s v="156 HILLYNDALE RD"/>
    <n v="169400"/>
    <n v="345000"/>
    <n v="0.49099999999999999"/>
    <n v="2.0365997638724913"/>
    <x v="2"/>
    <x v="0"/>
    <x v="0"/>
    <x v="11"/>
  </r>
  <r>
    <n v="2000212"/>
    <d v="2020-10-28T00:00:00"/>
    <x v="8"/>
    <x v="4"/>
    <d v="2020-10-01T00:00:00"/>
    <s v="Stamford"/>
    <x v="8"/>
    <s v="197 BRIDGE STREET # 3"/>
    <n v="199330"/>
    <n v="342500"/>
    <n v="0.58189999999999997"/>
    <n v="1.7182561581297346"/>
    <x v="2"/>
    <x v="1"/>
    <x v="0"/>
    <x v="8"/>
  </r>
  <r>
    <n v="200149"/>
    <d v="2021-07-12T00:00:00"/>
    <x v="4"/>
    <x v="1"/>
    <d v="2021-07-01T00:00:00"/>
    <s v="Thomaston"/>
    <x v="9"/>
    <s v="97 TWIN POND RD"/>
    <n v="204000"/>
    <n v="337500"/>
    <n v="0.60440000000000005"/>
    <n v="1.6544117647058822"/>
    <x v="2"/>
    <x v="1"/>
    <x v="0"/>
    <x v="9"/>
  </r>
  <r>
    <n v="20139"/>
    <d v="2020-12-16T00:00:00"/>
    <x v="0"/>
    <x v="4"/>
    <d v="2020-12-01T00:00:00"/>
    <s v="Bethel"/>
    <x v="12"/>
    <s v="16 DEEPWOOD DRIVE"/>
    <n v="171360"/>
    <n v="335000"/>
    <n v="0.51149999999999995"/>
    <n v="1.9549486461251167"/>
    <x v="2"/>
    <x v="1"/>
    <x v="0"/>
    <x v="12"/>
  </r>
  <r>
    <n v="200522"/>
    <d v="2021-03-04T00:00:00"/>
    <x v="9"/>
    <x v="1"/>
    <d v="2021-03-01T00:00:00"/>
    <s v="Norwich"/>
    <x v="3"/>
    <s v="49 WHITE PLAINS RD"/>
    <n v="174400"/>
    <n v="335000"/>
    <n v="0.52049999999999996"/>
    <n v="1.9208715596330275"/>
    <x v="2"/>
    <x v="1"/>
    <x v="0"/>
    <x v="3"/>
  </r>
  <r>
    <n v="200289"/>
    <d v="2020-11-23T00:00:00"/>
    <x v="11"/>
    <x v="4"/>
    <d v="2020-11-01T00:00:00"/>
    <s v="Norwalk"/>
    <x v="3"/>
    <s v="188 FLAX HILL RD UNIT B/6"/>
    <n v="173040"/>
    <n v="330000"/>
    <n v="0.52429999999999999"/>
    <n v="1.9070735090152566"/>
    <x v="2"/>
    <x v="1"/>
    <x v="0"/>
    <x v="3"/>
  </r>
  <r>
    <n v="100035"/>
    <d v="2010-11-30T00:00:00"/>
    <x v="11"/>
    <x v="9"/>
    <d v="2010-11-01T00:00:00"/>
    <s v="Guilford"/>
    <x v="2"/>
    <s v="8 PADDOCK LN"/>
    <n v="257040"/>
    <n v="330000"/>
    <n v="0.77890909100000005"/>
    <n v="1.2838468720821663"/>
    <x v="0"/>
    <x v="1"/>
    <x v="0"/>
    <x v="2"/>
  </r>
  <r>
    <n v="200494"/>
    <d v="2021-02-19T00:00:00"/>
    <x v="5"/>
    <x v="1"/>
    <d v="2021-02-01T00:00:00"/>
    <s v="West Hartford"/>
    <x v="5"/>
    <s v="82 WHITE AVENUE"/>
    <n v="181720"/>
    <n v="327900"/>
    <n v="0.55410000000000004"/>
    <n v="1.8044243891701519"/>
    <x v="2"/>
    <x v="1"/>
    <x v="0"/>
    <x v="5"/>
  </r>
  <r>
    <n v="2020348"/>
    <d v="2021-09-13T00:00:00"/>
    <x v="10"/>
    <x v="1"/>
    <d v="2021-09-01T00:00:00"/>
    <s v="Ansonia"/>
    <x v="7"/>
    <s v="230 WAKELEE AVE"/>
    <n v="150500"/>
    <n v="325000"/>
    <n v="0.46300000000000002"/>
    <n v="2.1594684385382061"/>
    <x v="1"/>
    <x v="0"/>
    <x v="0"/>
    <x v="7"/>
  </r>
  <r>
    <n v="201443"/>
    <d v="2021-09-01T00:00:00"/>
    <x v="10"/>
    <x v="1"/>
    <d v="2021-09-01T00:00:00"/>
    <s v="Danbury"/>
    <x v="4"/>
    <s v="4 COOPER RD"/>
    <n v="158700"/>
    <n v="325000"/>
    <n v="0.48830000000000001"/>
    <n v="2.0478890989287963"/>
    <x v="2"/>
    <x v="0"/>
    <x v="0"/>
    <x v="4"/>
  </r>
  <r>
    <n v="200175"/>
    <d v="2020-10-29T00:00:00"/>
    <x v="8"/>
    <x v="4"/>
    <d v="2020-10-01T00:00:00"/>
    <s v="Milford"/>
    <x v="11"/>
    <s v="16 SEABREEZE AVE"/>
    <n v="180950"/>
    <n v="325000"/>
    <n v="0.55669999999999997"/>
    <n v="1.7960762641613706"/>
    <x v="2"/>
    <x v="1"/>
    <x v="0"/>
    <x v="11"/>
  </r>
  <r>
    <n v="160717"/>
    <d v="2017-09-01T00:00:00"/>
    <x v="10"/>
    <x v="3"/>
    <d v="2017-09-01T00:00:00"/>
    <s v="Wallingford"/>
    <x v="5"/>
    <s v="47 OLDE VILLAGE CIR"/>
    <n v="199400"/>
    <n v="320000"/>
    <n v="0.62312500000000004"/>
    <n v="1.60481444332999"/>
    <x v="0"/>
    <x v="1"/>
    <x v="0"/>
    <x v="5"/>
  </r>
  <r>
    <n v="2000448"/>
    <d v="2021-06-17T00:00:00"/>
    <x v="2"/>
    <x v="1"/>
    <d v="2021-06-01T00:00:00"/>
    <s v="Wethersfield"/>
    <x v="5"/>
    <s v="938 RIDGE RD"/>
    <n v="158870"/>
    <n v="315000"/>
    <n v="0.50429999999999997"/>
    <n v="1.9827531944357022"/>
    <x v="2"/>
    <x v="1"/>
    <x v="0"/>
    <x v="5"/>
  </r>
  <r>
    <n v="160943"/>
    <d v="2017-05-19T00:00:00"/>
    <x v="3"/>
    <x v="3"/>
    <d v="2017-05-01T00:00:00"/>
    <s v="Norwalk"/>
    <x v="3"/>
    <s v="71 AIKEN ST"/>
    <n v="189500"/>
    <n v="313000"/>
    <n v="0.60543130999999994"/>
    <n v="1.6517150395778364"/>
    <x v="0"/>
    <x v="1"/>
    <x v="0"/>
    <x v="3"/>
  </r>
  <r>
    <n v="20492"/>
    <d v="2021-08-19T00:00:00"/>
    <x v="6"/>
    <x v="1"/>
    <d v="2021-08-01T00:00:00"/>
    <s v="Plainfield"/>
    <x v="10"/>
    <s v="22 FERNWOOD ST"/>
    <n v="142910"/>
    <n v="310000"/>
    <n v="0.46100000000000002"/>
    <n v="2.1691973969631237"/>
    <x v="2"/>
    <x v="0"/>
    <x v="0"/>
    <x v="10"/>
  </r>
  <r>
    <n v="200700"/>
    <d v="2021-07-13T00:00:00"/>
    <x v="4"/>
    <x v="1"/>
    <d v="2021-07-01T00:00:00"/>
    <s v="Enfield"/>
    <x v="6"/>
    <s v="8 SHANNON DR"/>
    <n v="161590"/>
    <n v="310000"/>
    <n v="0.5212"/>
    <n v="1.9184355467541307"/>
    <x v="2"/>
    <x v="1"/>
    <x v="0"/>
    <x v="6"/>
  </r>
  <r>
    <n v="200038"/>
    <d v="2020-10-09T00:00:00"/>
    <x v="8"/>
    <x v="4"/>
    <d v="2020-10-01T00:00:00"/>
    <s v="Meriden"/>
    <x v="11"/>
    <s v="41 SUNNY LANE"/>
    <n v="209440"/>
    <n v="307000"/>
    <n v="0.68220000000000003"/>
    <n v="1.4658135981665394"/>
    <x v="2"/>
    <x v="1"/>
    <x v="0"/>
    <x v="11"/>
  </r>
  <r>
    <n v="200961"/>
    <d v="2021-07-01T00:00:00"/>
    <x v="4"/>
    <x v="1"/>
    <d v="2021-07-01T00:00:00"/>
    <s v="Meriden"/>
    <x v="11"/>
    <s v="5                    2 ROYAL OAK CIR"/>
    <n v="130340"/>
    <n v="305000"/>
    <n v="0.42730000000000001"/>
    <n v="2.340033757864048"/>
    <x v="2"/>
    <x v="0"/>
    <x v="0"/>
    <x v="11"/>
  </r>
  <r>
    <n v="200557"/>
    <d v="2021-03-12T00:00:00"/>
    <x v="9"/>
    <x v="1"/>
    <d v="2021-03-01T00:00:00"/>
    <s v="West Hartford"/>
    <x v="5"/>
    <s v="23 TIMBERWOOD ROAD"/>
    <n v="166670"/>
    <n v="305000"/>
    <n v="0.5464"/>
    <n v="1.8299634007319854"/>
    <x v="2"/>
    <x v="1"/>
    <x v="0"/>
    <x v="5"/>
  </r>
  <r>
    <n v="20014"/>
    <d v="2020-10-06T00:00:00"/>
    <x v="8"/>
    <x v="4"/>
    <d v="2020-10-01T00:00:00"/>
    <s v="Monroe"/>
    <x v="11"/>
    <s v="22 MEADOWVIEW TER"/>
    <n v="189100"/>
    <n v="305000"/>
    <n v="0.62"/>
    <n v="1.6129032258064515"/>
    <x v="2"/>
    <x v="1"/>
    <x v="0"/>
    <x v="11"/>
  </r>
  <r>
    <n v="200376"/>
    <d v="2021-01-04T00:00:00"/>
    <x v="7"/>
    <x v="1"/>
    <d v="2021-01-01T00:00:00"/>
    <s v="West Hartford"/>
    <x v="5"/>
    <s v="1838 ASYLUM AVENUE"/>
    <n v="216580"/>
    <n v="305000"/>
    <n v="0.71"/>
    <n v="1.4082556099362822"/>
    <x v="2"/>
    <x v="1"/>
    <x v="0"/>
    <x v="5"/>
  </r>
  <r>
    <n v="201078"/>
    <d v="2020-12-21T00:00:00"/>
    <x v="0"/>
    <x v="4"/>
    <d v="2020-12-01T00:00:00"/>
    <s v="Griswold"/>
    <x v="2"/>
    <s v="22 CROSS RD"/>
    <n v="173040"/>
    <n v="302000"/>
    <n v="0.57289999999999996"/>
    <n v="1.7452612112806287"/>
    <x v="2"/>
    <x v="1"/>
    <x v="0"/>
    <x v="2"/>
  </r>
  <r>
    <n v="200484"/>
    <d v="2021-07-12T00:00:00"/>
    <x v="4"/>
    <x v="1"/>
    <d v="2021-07-01T00:00:00"/>
    <s v="Vernon"/>
    <x v="17"/>
    <s v="90 MONTAUK DR"/>
    <n v="126800"/>
    <n v="300000"/>
    <n v="0.42259999999999998"/>
    <n v="2.3659305993690851"/>
    <x v="2"/>
    <x v="0"/>
    <x v="0"/>
    <x v="17"/>
  </r>
  <r>
    <n v="200354"/>
    <d v="2020-12-29T00:00:00"/>
    <x v="0"/>
    <x v="4"/>
    <d v="2020-12-01T00:00:00"/>
    <s v="Bristol"/>
    <x v="12"/>
    <s v="391 TIFFANY LA"/>
    <n v="173740"/>
    <n v="299000"/>
    <n v="0.58099999999999996"/>
    <n v="1.720962357545758"/>
    <x v="2"/>
    <x v="1"/>
    <x v="0"/>
    <x v="12"/>
  </r>
  <r>
    <n v="161101"/>
    <d v="2017-05-09T00:00:00"/>
    <x v="3"/>
    <x v="3"/>
    <d v="2017-05-01T00:00:00"/>
    <s v="Stamford"/>
    <x v="8"/>
    <s v="511 WEST MAIN STREET # 11"/>
    <n v="180350"/>
    <n v="299000"/>
    <n v="0.60317725799999999"/>
    <n v="1.6578874410867757"/>
    <x v="0"/>
    <x v="1"/>
    <x v="0"/>
    <x v="8"/>
  </r>
  <r>
    <n v="80097"/>
    <d v="2009-03-25T00:00:00"/>
    <x v="9"/>
    <x v="10"/>
    <d v="2009-03-01T00:00:00"/>
    <s v="East Hampton"/>
    <x v="6"/>
    <s v="37 FOREST GLEN DR"/>
    <n v="210600"/>
    <n v="299000"/>
    <n v="0.70434782600000001"/>
    <n v="1.4197530864197532"/>
    <x v="0"/>
    <x v="1"/>
    <x v="0"/>
    <x v="6"/>
  </r>
  <r>
    <n v="70355"/>
    <d v="2008-05-19T00:00:00"/>
    <x v="3"/>
    <x v="5"/>
    <d v="2008-05-01T00:00:00"/>
    <s v="Wallingford"/>
    <x v="5"/>
    <s v="25 ANGELA DR"/>
    <n v="179830"/>
    <n v="292500"/>
    <n v="0.61480341900000002"/>
    <n v="1.6265361730523271"/>
    <x v="0"/>
    <x v="1"/>
    <x v="0"/>
    <x v="5"/>
  </r>
  <r>
    <n v="200046"/>
    <d v="2020-12-14T00:00:00"/>
    <x v="0"/>
    <x v="4"/>
    <d v="2020-12-01T00:00:00"/>
    <s v="Thomaston"/>
    <x v="9"/>
    <s v="3 BRADLEY WAY"/>
    <n v="133210"/>
    <n v="289900"/>
    <n v="0.45950000000000002"/>
    <n v="2.1762630433150663"/>
    <x v="2"/>
    <x v="0"/>
    <x v="0"/>
    <x v="9"/>
  </r>
  <r>
    <n v="20200070"/>
    <d v="2021-04-08T00:00:00"/>
    <x v="1"/>
    <x v="1"/>
    <d v="2021-04-01T00:00:00"/>
    <s v="Sharon"/>
    <x v="8"/>
    <s v="101 MILLERTON RD"/>
    <n v="170200"/>
    <n v="287000"/>
    <n v="0.59299999999999997"/>
    <n v="1.6862514688601644"/>
    <x v="2"/>
    <x v="1"/>
    <x v="0"/>
    <x v="8"/>
  </r>
  <r>
    <n v="200709"/>
    <d v="2021-04-16T00:00:00"/>
    <x v="1"/>
    <x v="1"/>
    <d v="2021-04-01T00:00:00"/>
    <s v="Manchester"/>
    <x v="11"/>
    <s v="152 GREEN ROAD"/>
    <n v="138100"/>
    <n v="282500"/>
    <n v="0.48884955800000002"/>
    <n v="2.0456191165821869"/>
    <x v="2"/>
    <x v="0"/>
    <x v="0"/>
    <x v="11"/>
  </r>
  <r>
    <n v="200117"/>
    <d v="2021-04-12T00:00:00"/>
    <x v="1"/>
    <x v="1"/>
    <d v="2021-04-01T00:00:00"/>
    <s v="Canton"/>
    <x v="1"/>
    <s v="52 COUNTRY LANE"/>
    <n v="160850"/>
    <n v="280000"/>
    <n v="0.57440000000000002"/>
    <n v="1.7407522536524713"/>
    <x v="2"/>
    <x v="1"/>
    <x v="0"/>
    <x v="1"/>
  </r>
  <r>
    <n v="90472"/>
    <d v="2010-06-02T00:00:00"/>
    <x v="2"/>
    <x v="9"/>
    <d v="2010-06-01T00:00:00"/>
    <s v="Fairfield"/>
    <x v="15"/>
    <s v="245 SUNNYRIDGE AVENUE UNIT#16"/>
    <n v="220920"/>
    <n v="280000"/>
    <n v="0.78900000000000003"/>
    <n v="1.267427122940431"/>
    <x v="0"/>
    <x v="1"/>
    <x v="0"/>
    <x v="15"/>
  </r>
  <r>
    <n v="20899"/>
    <d v="2021-06-21T00:00:00"/>
    <x v="2"/>
    <x v="1"/>
    <d v="2021-06-01T00:00:00"/>
    <s v="Hartford"/>
    <x v="16"/>
    <s v="159 RUSS ST"/>
    <n v="137270"/>
    <n v="278500"/>
    <n v="0.49280000000000002"/>
    <n v="2.0288482552633496"/>
    <x v="3"/>
    <x v="0"/>
    <x v="0"/>
    <x v="16"/>
  </r>
  <r>
    <n v="160197"/>
    <d v="2016-11-01T00:00:00"/>
    <x v="11"/>
    <x v="0"/>
    <d v="2016-11-01T00:00:00"/>
    <s v="Stamford"/>
    <x v="8"/>
    <s v="300 BROAD STREET # 502"/>
    <n v="143650"/>
    <n v="278000"/>
    <n v="0.51672661900000005"/>
    <n v="1.9352593108249216"/>
    <x v="0"/>
    <x v="1"/>
    <x v="0"/>
    <x v="8"/>
  </r>
  <r>
    <n v="2000327"/>
    <d v="2021-03-03T00:00:00"/>
    <x v="9"/>
    <x v="1"/>
    <d v="2021-03-01T00:00:00"/>
    <s v="Naugatuck"/>
    <x v="3"/>
    <s v="31 PILGRIM LN"/>
    <n v="157810"/>
    <n v="276500"/>
    <n v="0.57069999999999999"/>
    <n v="1.7521069640707179"/>
    <x v="2"/>
    <x v="1"/>
    <x v="0"/>
    <x v="3"/>
  </r>
  <r>
    <n v="20200059"/>
    <d v="2020-10-13T00:00:00"/>
    <x v="8"/>
    <x v="4"/>
    <d v="2020-10-01T00:00:00"/>
    <s v="Stratford"/>
    <x v="8"/>
    <s v="653B OSAGE LANE"/>
    <n v="156380"/>
    <n v="276000"/>
    <n v="0.5665"/>
    <n v="1.7649315769279958"/>
    <x v="2"/>
    <x v="1"/>
    <x v="0"/>
    <x v="8"/>
  </r>
  <r>
    <n v="90042"/>
    <d v="2009-10-20T00:00:00"/>
    <x v="8"/>
    <x v="10"/>
    <d v="2009-10-01T00:00:00"/>
    <s v="Hamden"/>
    <x v="16"/>
    <s v="1151 WHITNEY AVE UB4"/>
    <n v="219870"/>
    <n v="275000"/>
    <n v="0.79952727300000004"/>
    <n v="1.2507390730886432"/>
    <x v="0"/>
    <x v="1"/>
    <x v="0"/>
    <x v="16"/>
  </r>
  <r>
    <n v="90113"/>
    <d v="2009-12-03T00:00:00"/>
    <x v="0"/>
    <x v="10"/>
    <d v="2009-12-01T00:00:00"/>
    <s v="Vernon"/>
    <x v="17"/>
    <s v="13 LANTERN LN"/>
    <n v="176220"/>
    <n v="270000"/>
    <n v="0.65266666699999998"/>
    <n v="1.5321756894790604"/>
    <x v="0"/>
    <x v="1"/>
    <x v="0"/>
    <x v="17"/>
  </r>
  <r>
    <n v="200025"/>
    <d v="2020-10-20T00:00:00"/>
    <x v="8"/>
    <x v="4"/>
    <d v="2020-10-01T00:00:00"/>
    <s v="Suffield"/>
    <x v="8"/>
    <s v="930 BRANCH RD"/>
    <n v="159180"/>
    <n v="261000"/>
    <n v="0.60980000000000001"/>
    <n v="1.6396532227666791"/>
    <x v="2"/>
    <x v="1"/>
    <x v="0"/>
    <x v="8"/>
  </r>
  <r>
    <n v="201245"/>
    <d v="2021-09-14T00:00:00"/>
    <x v="10"/>
    <x v="1"/>
    <d v="2021-09-01T00:00:00"/>
    <s v="Meriden"/>
    <x v="11"/>
    <s v="223 REYNOLDS DR"/>
    <n v="128170"/>
    <n v="260000"/>
    <n v="0.4929"/>
    <n v="2.0285558242958572"/>
    <x v="2"/>
    <x v="0"/>
    <x v="0"/>
    <x v="11"/>
  </r>
  <r>
    <n v="200408"/>
    <d v="2020-12-24T00:00:00"/>
    <x v="0"/>
    <x v="4"/>
    <d v="2020-12-01T00:00:00"/>
    <s v="Danbury"/>
    <x v="4"/>
    <s v="15 SCUPPO RD 1503"/>
    <n v="130800"/>
    <n v="260000"/>
    <n v="0.503"/>
    <n v="1.9877675840978593"/>
    <x v="2"/>
    <x v="1"/>
    <x v="0"/>
    <x v="4"/>
  </r>
  <r>
    <n v="10037"/>
    <d v="2010-11-18T00:00:00"/>
    <x v="11"/>
    <x v="9"/>
    <d v="2010-11-01T00:00:00"/>
    <s v="Madison"/>
    <x v="11"/>
    <s v="5B YANKEE GLEN DRIVE"/>
    <n v="203600"/>
    <n v="260000"/>
    <n v="0.78307692299999998"/>
    <n v="1.2770137524557956"/>
    <x v="0"/>
    <x v="1"/>
    <x v="0"/>
    <x v="11"/>
  </r>
  <r>
    <n v="2000513"/>
    <d v="2021-07-20T00:00:00"/>
    <x v="4"/>
    <x v="1"/>
    <d v="2021-07-01T00:00:00"/>
    <s v="Wethersfield"/>
    <x v="5"/>
    <s v="215 NOTT ST"/>
    <n v="144050"/>
    <n v="257500"/>
    <n v="0.55940000000000001"/>
    <n v="1.7875737591114196"/>
    <x v="2"/>
    <x v="1"/>
    <x v="0"/>
    <x v="5"/>
  </r>
  <r>
    <n v="20118"/>
    <d v="2021-09-30T00:00:00"/>
    <x v="10"/>
    <x v="1"/>
    <d v="2021-09-01T00:00:00"/>
    <s v="Sterling"/>
    <x v="8"/>
    <s v="174 CHURCH ST"/>
    <n v="92890"/>
    <n v="255000"/>
    <n v="0.36420000000000002"/>
    <n v="2.7451824738938528"/>
    <x v="2"/>
    <x v="0"/>
    <x v="0"/>
    <x v="8"/>
  </r>
  <r>
    <n v="170178"/>
    <d v="2017-12-20T00:00:00"/>
    <x v="0"/>
    <x v="3"/>
    <d v="2017-12-01T00:00:00"/>
    <s v="New Haven"/>
    <x v="3"/>
    <s v="95 AUDUBON ST UNIT 38"/>
    <n v="169400"/>
    <n v="252500"/>
    <n v="0.67089108900000005"/>
    <n v="1.4905548996458087"/>
    <x v="0"/>
    <x v="1"/>
    <x v="0"/>
    <x v="3"/>
  </r>
  <r>
    <n v="200002"/>
    <d v="2020-10-01T00:00:00"/>
    <x v="8"/>
    <x v="4"/>
    <d v="2020-10-01T00:00:00"/>
    <s v="Simsbury"/>
    <x v="8"/>
    <s v="24 BRETTONWOOD DRIVE"/>
    <n v="186610"/>
    <n v="252000"/>
    <n v="0.74050000000000005"/>
    <n v="1.3504099458764267"/>
    <x v="2"/>
    <x v="1"/>
    <x v="0"/>
    <x v="8"/>
  </r>
  <r>
    <n v="2000381"/>
    <d v="2021-09-13T00:00:00"/>
    <x v="10"/>
    <x v="1"/>
    <d v="2021-09-01T00:00:00"/>
    <s v="Bloomfield"/>
    <x v="12"/>
    <s v="9 SADDLE RIDGE"/>
    <n v="163730"/>
    <n v="250000"/>
    <n v="0.65490000000000004"/>
    <n v="1.5269040493495389"/>
    <x v="2"/>
    <x v="1"/>
    <x v="0"/>
    <x v="12"/>
  </r>
  <r>
    <n v="201295"/>
    <d v="2021-09-09T00:00:00"/>
    <x v="10"/>
    <x v="1"/>
    <d v="2021-09-01T00:00:00"/>
    <s v="Bristol"/>
    <x v="12"/>
    <s v="609 CAMP ST"/>
    <n v="144340"/>
    <n v="249900"/>
    <n v="0.57750000000000001"/>
    <n v="1.7313288069835111"/>
    <x v="2"/>
    <x v="1"/>
    <x v="0"/>
    <x v="12"/>
  </r>
  <r>
    <n v="20565"/>
    <d v="2021-03-29T00:00:00"/>
    <x v="9"/>
    <x v="1"/>
    <d v="2021-03-01T00:00:00"/>
    <s v="Hartford"/>
    <x v="16"/>
    <s v="31 EATON ST"/>
    <n v="61915"/>
    <n v="249000"/>
    <n v="0.24859999999999999"/>
    <n v="4.021642574497295"/>
    <x v="2"/>
    <x v="0"/>
    <x v="0"/>
    <x v="16"/>
  </r>
  <r>
    <n v="70113"/>
    <d v="2007-12-10T00:00:00"/>
    <x v="0"/>
    <x v="8"/>
    <d v="2007-12-01T00:00:00"/>
    <s v="Newington"/>
    <x v="3"/>
    <s v="6 MALLARD LN"/>
    <n v="175770"/>
    <n v="248000"/>
    <n v="0.70874999999999999"/>
    <n v="1.4109347442680775"/>
    <x v="0"/>
    <x v="1"/>
    <x v="0"/>
    <x v="3"/>
  </r>
  <r>
    <n v="200537"/>
    <d v="2021-05-21T00:00:00"/>
    <x v="3"/>
    <x v="1"/>
    <d v="2021-05-01T00:00:00"/>
    <s v="Enfield"/>
    <x v="6"/>
    <s v="104 BREWSTER RD"/>
    <n v="117380"/>
    <n v="245000"/>
    <n v="0.47910000000000003"/>
    <n v="2.0872380303288467"/>
    <x v="2"/>
    <x v="0"/>
    <x v="0"/>
    <x v="6"/>
  </r>
  <r>
    <n v="200101"/>
    <d v="2021-01-07T00:00:00"/>
    <x v="7"/>
    <x v="1"/>
    <d v="2021-01-01T00:00:00"/>
    <s v="Coventry"/>
    <x v="1"/>
    <s v="74 LAKEVIEW DR"/>
    <n v="142800"/>
    <n v="245000"/>
    <n v="0.58279999999999998"/>
    <n v="1.7156862745098038"/>
    <x v="2"/>
    <x v="1"/>
    <x v="0"/>
    <x v="1"/>
  </r>
  <r>
    <n v="70258"/>
    <d v="2007-12-31T00:00:00"/>
    <x v="0"/>
    <x v="8"/>
    <d v="2007-12-01T00:00:00"/>
    <s v="W Hartford"/>
    <x v="5"/>
    <s v="24 WOODBURY LN"/>
    <n v="171700"/>
    <n v="244000"/>
    <n v="0.70368852500000001"/>
    <n v="1.4210832847990682"/>
    <x v="0"/>
    <x v="1"/>
    <x v="0"/>
    <x v="5"/>
  </r>
  <r>
    <n v="17128"/>
    <d v="2018-04-13T00:00:00"/>
    <x v="1"/>
    <x v="2"/>
    <d v="2018-04-01T00:00:00"/>
    <s v="Darien"/>
    <x v="4"/>
    <s v="54 GIDEON LANE"/>
    <n v="132650"/>
    <n v="241368"/>
    <n v="0.54949999999999999"/>
    <n v="1.8195853750471165"/>
    <x v="0"/>
    <x v="1"/>
    <x v="0"/>
    <x v="4"/>
  </r>
  <r>
    <n v="200264"/>
    <d v="2021-06-10T00:00:00"/>
    <x v="2"/>
    <x v="1"/>
    <d v="2021-06-01T00:00:00"/>
    <s v="New Fairfield"/>
    <x v="3"/>
    <s v="10 BROOK DR"/>
    <n v="107500"/>
    <n v="240000"/>
    <n v="0.44790000000000002"/>
    <n v="2.2325581395348837"/>
    <x v="2"/>
    <x v="0"/>
    <x v="0"/>
    <x v="3"/>
  </r>
  <r>
    <n v="200226"/>
    <d v="2020-12-18T00:00:00"/>
    <x v="0"/>
    <x v="4"/>
    <d v="2020-12-01T00:00:00"/>
    <s v="Enfield"/>
    <x v="6"/>
    <s v="106 RAFFIA RD"/>
    <n v="145570"/>
    <n v="240000"/>
    <n v="0.60650000000000004"/>
    <n v="1.6486913512399533"/>
    <x v="2"/>
    <x v="1"/>
    <x v="0"/>
    <x v="6"/>
  </r>
  <r>
    <n v="200886"/>
    <d v="2021-05-03T00:00:00"/>
    <x v="3"/>
    <x v="1"/>
    <d v="2021-05-01T00:00:00"/>
    <s v="Danbury"/>
    <x v="4"/>
    <s v="86 MERRIMAC ST B"/>
    <n v="189800"/>
    <n v="240000"/>
    <n v="0.79079999999999995"/>
    <n v="1.2644889357218125"/>
    <x v="2"/>
    <x v="1"/>
    <x v="0"/>
    <x v="4"/>
  </r>
  <r>
    <n v="90695"/>
    <d v="2010-06-30T00:00:00"/>
    <x v="2"/>
    <x v="9"/>
    <d v="2010-06-01T00:00:00"/>
    <s v="Norwalk"/>
    <x v="3"/>
    <s v="310 ELY AVE H"/>
    <n v="45757"/>
    <n v="239900"/>
    <n v="0.19073363900000001"/>
    <n v="5.2429136525558935"/>
    <x v="0"/>
    <x v="0"/>
    <x v="0"/>
    <x v="3"/>
  </r>
  <r>
    <n v="90073"/>
    <d v="2009-11-25T00:00:00"/>
    <x v="11"/>
    <x v="10"/>
    <d v="2009-11-01T00:00:00"/>
    <s v="Windsor"/>
    <x v="5"/>
    <s v="13 LAST LEAF CIR"/>
    <n v="111300"/>
    <n v="238521"/>
    <n v="0.46662557999999998"/>
    <n v="2.143045822102426"/>
    <x v="0"/>
    <x v="0"/>
    <x v="0"/>
    <x v="5"/>
  </r>
  <r>
    <n v="201133"/>
    <d v="2021-09-02T00:00:00"/>
    <x v="10"/>
    <x v="1"/>
    <d v="2021-09-01T00:00:00"/>
    <s v="New Britain"/>
    <x v="3"/>
    <s v="103 LEWIS RD"/>
    <n v="123480"/>
    <n v="235000"/>
    <n v="0.52539999999999998"/>
    <n v="1.9031422092646582"/>
    <x v="2"/>
    <x v="1"/>
    <x v="0"/>
    <x v="3"/>
  </r>
  <r>
    <n v="200207"/>
    <d v="2021-06-10T00:00:00"/>
    <x v="2"/>
    <x v="1"/>
    <d v="2021-06-01T00:00:00"/>
    <s v="Rocky Hill"/>
    <x v="0"/>
    <s v="402 THE MEWS"/>
    <n v="120890"/>
    <n v="234900"/>
    <n v="0.51459999999999995"/>
    <n v="1.9430887583753826"/>
    <x v="2"/>
    <x v="1"/>
    <x v="0"/>
    <x v="0"/>
  </r>
  <r>
    <n v="200938"/>
    <d v="2021-05-13T00:00:00"/>
    <x v="3"/>
    <x v="1"/>
    <d v="2021-05-01T00:00:00"/>
    <s v="Danbury"/>
    <x v="4"/>
    <s v="15-17 BOUGHTON ST #1-5"/>
    <n v="118900"/>
    <n v="230000"/>
    <n v="0.51690000000000003"/>
    <n v="1.9343986543313709"/>
    <x v="2"/>
    <x v="1"/>
    <x v="0"/>
    <x v="4"/>
  </r>
  <r>
    <n v="100002"/>
    <d v="2010-10-04T00:00:00"/>
    <x v="8"/>
    <x v="9"/>
    <d v="2010-10-01T00:00:00"/>
    <s v="Branford"/>
    <x v="12"/>
    <s v="4C EDGEWATER"/>
    <n v="184500"/>
    <n v="230000"/>
    <n v="0.80217391299999996"/>
    <n v="1.2466124661246611"/>
    <x v="0"/>
    <x v="1"/>
    <x v="0"/>
    <x v="12"/>
  </r>
  <r>
    <n v="20059"/>
    <d v="2021-02-18T00:00:00"/>
    <x v="5"/>
    <x v="1"/>
    <d v="2021-02-01T00:00:00"/>
    <s v="Lebanon"/>
    <x v="18"/>
    <s v="54 FIRST ST"/>
    <n v="121510"/>
    <n v="229900"/>
    <n v="0.52849999999999997"/>
    <n v="1.8920253477080076"/>
    <x v="2"/>
    <x v="1"/>
    <x v="0"/>
    <x v="18"/>
  </r>
  <r>
    <n v="70052"/>
    <d v="2007-10-12T00:00:00"/>
    <x v="8"/>
    <x v="8"/>
    <d v="2007-10-01T00:00:00"/>
    <s v="New Haven"/>
    <x v="3"/>
    <s v="916 QUINNIPIAC AVE #31"/>
    <n v="161700"/>
    <n v="227000"/>
    <n v="0.71233480199999999"/>
    <n v="1.4038342609771182"/>
    <x v="0"/>
    <x v="1"/>
    <x v="0"/>
    <x v="3"/>
  </r>
  <r>
    <n v="200374"/>
    <d v="2021-05-18T00:00:00"/>
    <x v="3"/>
    <x v="1"/>
    <d v="2021-05-01T00:00:00"/>
    <s v="Vernon"/>
    <x v="17"/>
    <s v="27 TRACY DRIVE"/>
    <n v="129190"/>
    <n v="226800"/>
    <n v="0.5696"/>
    <n v="1.7555538354361793"/>
    <x v="2"/>
    <x v="1"/>
    <x v="0"/>
    <x v="17"/>
  </r>
  <r>
    <n v="200106"/>
    <d v="2020-11-02T00:00:00"/>
    <x v="11"/>
    <x v="4"/>
    <d v="2020-11-01T00:00:00"/>
    <s v="Torrington"/>
    <x v="9"/>
    <s v="2651 TORRINGFORD W ST"/>
    <n v="126570"/>
    <n v="225005"/>
    <n v="0.5625"/>
    <n v="1.7777119380579915"/>
    <x v="2"/>
    <x v="1"/>
    <x v="0"/>
    <x v="9"/>
  </r>
  <r>
    <n v="160452"/>
    <d v="2017-09-11T00:00:00"/>
    <x v="10"/>
    <x v="3"/>
    <d v="2017-09-01T00:00:00"/>
    <s v="Rocky Hill"/>
    <x v="0"/>
    <s v="37 ROSE COURT"/>
    <n v="145950"/>
    <n v="225000"/>
    <n v="0.64866666699999997"/>
    <n v="1.5416238437821173"/>
    <x v="0"/>
    <x v="1"/>
    <x v="0"/>
    <x v="0"/>
  </r>
  <r>
    <n v="20086"/>
    <d v="2020-10-22T00:00:00"/>
    <x v="8"/>
    <x v="4"/>
    <d v="2020-10-01T00:00:00"/>
    <s v="New Britain"/>
    <x v="3"/>
    <s v="23 PARKMORE ST"/>
    <n v="122220"/>
    <n v="223000"/>
    <n v="0.54800000000000004"/>
    <n v="1.82457862870234"/>
    <x v="2"/>
    <x v="1"/>
    <x v="0"/>
    <x v="3"/>
  </r>
  <r>
    <n v="20102"/>
    <d v="2020-12-09T00:00:00"/>
    <x v="0"/>
    <x v="4"/>
    <d v="2020-12-01T00:00:00"/>
    <s v="Watertown"/>
    <x v="5"/>
    <s v="12 CHARLES ST"/>
    <n v="127000"/>
    <n v="223000"/>
    <n v="0.56950000000000001"/>
    <n v="1.7559055118110236"/>
    <x v="2"/>
    <x v="1"/>
    <x v="0"/>
    <x v="5"/>
  </r>
  <r>
    <n v="20614"/>
    <d v="2021-04-08T00:00:00"/>
    <x v="1"/>
    <x v="1"/>
    <d v="2021-04-01T00:00:00"/>
    <s v="Hartford"/>
    <x v="16"/>
    <s v="55 STERLING ST"/>
    <n v="52500"/>
    <n v="220000"/>
    <n v="0.23860000000000001"/>
    <n v="4.1904761904761907"/>
    <x v="2"/>
    <x v="0"/>
    <x v="0"/>
    <x v="16"/>
  </r>
  <r>
    <n v="200179"/>
    <d v="2021-06-22T00:00:00"/>
    <x v="2"/>
    <x v="1"/>
    <d v="2021-06-01T00:00:00"/>
    <s v="Portland"/>
    <x v="10"/>
    <s v="724 GLASTONBURY TPKE"/>
    <n v="134750"/>
    <n v="220000"/>
    <n v="0.61250000000000004"/>
    <n v="1.6326530612244898"/>
    <x v="2"/>
    <x v="1"/>
    <x v="0"/>
    <x v="10"/>
  </r>
  <r>
    <n v="70073"/>
    <d v="2008-03-14T00:00:00"/>
    <x v="9"/>
    <x v="5"/>
    <d v="2008-03-01T00:00:00"/>
    <s v="Canton"/>
    <x v="1"/>
    <s v="8 BROOKVIEW CIRCLE"/>
    <n v="126000"/>
    <n v="217500"/>
    <n v="0.579310345"/>
    <n v="1.7261904761904763"/>
    <x v="0"/>
    <x v="1"/>
    <x v="0"/>
    <x v="1"/>
  </r>
  <r>
    <n v="202611"/>
    <d v="2021-07-06T00:00:00"/>
    <x v="4"/>
    <x v="1"/>
    <d v="2021-07-01T00:00:00"/>
    <s v="Norwalk"/>
    <x v="3"/>
    <s v="126 WASHINGTON ST UNIT R203"/>
    <n v="144380"/>
    <n v="217500"/>
    <n v="0.66379999999999995"/>
    <n v="1.506441335365009"/>
    <x v="2"/>
    <x v="1"/>
    <x v="0"/>
    <x v="3"/>
  </r>
  <r>
    <n v="160773"/>
    <d v="2017-06-19T00:00:00"/>
    <x v="2"/>
    <x v="3"/>
    <d v="2017-06-01T00:00:00"/>
    <s v="Stratford"/>
    <x v="8"/>
    <s v="30A HAPPY HOLLOW CIR"/>
    <n v="153230"/>
    <n v="215000"/>
    <n v="0.71269767399999995"/>
    <n v="1.4031194935717548"/>
    <x v="0"/>
    <x v="1"/>
    <x v="0"/>
    <x v="8"/>
  </r>
  <r>
    <n v="201440"/>
    <d v="2021-09-15T00:00:00"/>
    <x v="10"/>
    <x v="1"/>
    <d v="2021-09-01T00:00:00"/>
    <s v="New Haven"/>
    <x v="3"/>
    <s v="889 CONGRESS AV"/>
    <n v="80150"/>
    <n v="214000"/>
    <n v="0.3745"/>
    <n v="2.6699937616968183"/>
    <x v="2"/>
    <x v="0"/>
    <x v="0"/>
    <x v="3"/>
  </r>
  <r>
    <n v="90002"/>
    <d v="2009-10-01T00:00:00"/>
    <x v="8"/>
    <x v="10"/>
    <d v="2009-10-01T00:00:00"/>
    <s v="Torrington"/>
    <x v="9"/>
    <s v="144 MILL LN #144"/>
    <n v="150710"/>
    <n v="210000"/>
    <n v="0.71766666700000004"/>
    <n v="1.3934045517882026"/>
    <x v="0"/>
    <x v="1"/>
    <x v="0"/>
    <x v="9"/>
  </r>
  <r>
    <n v="20064"/>
    <d v="2021-08-31T00:00:00"/>
    <x v="6"/>
    <x v="1"/>
    <d v="2021-08-01T00:00:00"/>
    <s v="Franklin"/>
    <x v="15"/>
    <s v="888 ROUTE 32"/>
    <n v="186770"/>
    <n v="209000"/>
    <n v="0.89359999999999995"/>
    <n v="1.1190233977619533"/>
    <x v="1"/>
    <x v="1"/>
    <x v="0"/>
    <x v="15"/>
  </r>
  <r>
    <n v="70280"/>
    <d v="2008-07-21T00:00:00"/>
    <x v="4"/>
    <x v="5"/>
    <d v="2008-07-01T00:00:00"/>
    <s v="Cheshire"/>
    <x v="1"/>
    <s v="12 FAIRWAY DR"/>
    <n v="98180"/>
    <n v="204900"/>
    <n v="0.47916056600000001"/>
    <n v="2.0869830922794868"/>
    <x v="0"/>
    <x v="0"/>
    <x v="0"/>
    <x v="1"/>
  </r>
  <r>
    <n v="2000330"/>
    <d v="2021-05-20T00:00:00"/>
    <x v="3"/>
    <x v="1"/>
    <d v="2021-05-01T00:00:00"/>
    <s v="Cheshire"/>
    <x v="1"/>
    <s v="844 HIGHLAND AVE"/>
    <n v="144220"/>
    <n v="204000"/>
    <n v="0.70689999999999997"/>
    <n v="1.4145056164193592"/>
    <x v="2"/>
    <x v="1"/>
    <x v="0"/>
    <x v="1"/>
  </r>
  <r>
    <n v="20135"/>
    <d v="2021-01-21T00:00:00"/>
    <x v="7"/>
    <x v="1"/>
    <d v="2021-01-01T00:00:00"/>
    <s v="Plainfield"/>
    <x v="10"/>
    <s v="30-32 GREENE AVE"/>
    <n v="98580"/>
    <n v="200000"/>
    <n v="0.4929"/>
    <n v="2.028809089064719"/>
    <x v="2"/>
    <x v="0"/>
    <x v="0"/>
    <x v="10"/>
  </r>
  <r>
    <n v="161187"/>
    <d v="2017-07-14T00:00:00"/>
    <x v="4"/>
    <x v="3"/>
    <d v="2017-07-01T00:00:00"/>
    <s v="Norwalk"/>
    <x v="3"/>
    <s v="25 GRAND ST"/>
    <n v="143240"/>
    <n v="200000"/>
    <n v="0.71619999999999995"/>
    <n v="1.3962580284836639"/>
    <x v="0"/>
    <x v="1"/>
    <x v="0"/>
    <x v="3"/>
  </r>
  <r>
    <n v="200052"/>
    <d v="2020-11-16T00:00:00"/>
    <x v="11"/>
    <x v="4"/>
    <d v="2020-11-01T00:00:00"/>
    <s v="Litchfield"/>
    <x v="18"/>
    <s v="68 BEACH ST"/>
    <n v="149570"/>
    <n v="200000"/>
    <n v="0.74780000000000002"/>
    <n v="1.3371665440930669"/>
    <x v="2"/>
    <x v="1"/>
    <x v="0"/>
    <x v="18"/>
  </r>
  <r>
    <n v="170327"/>
    <d v="2018-04-18T00:00:00"/>
    <x v="1"/>
    <x v="2"/>
    <d v="2018-04-01T00:00:00"/>
    <s v="Enfield"/>
    <x v="6"/>
    <s v="95 LAURELS B20UD"/>
    <n v="124660"/>
    <n v="196000"/>
    <n v="0.63600000000000001"/>
    <n v="1.5722765923311408"/>
    <x v="0"/>
    <x v="1"/>
    <x v="0"/>
    <x v="6"/>
  </r>
  <r>
    <n v="2000857"/>
    <d v="2021-01-21T00:00:00"/>
    <x v="7"/>
    <x v="1"/>
    <d v="2021-01-01T00:00:00"/>
    <s v="Stamford"/>
    <x v="8"/>
    <s v="0 SUMMER STREET #116-2A"/>
    <n v="109420"/>
    <n v="195000"/>
    <n v="0.56110000000000004"/>
    <n v="1.7821239261560957"/>
    <x v="2"/>
    <x v="1"/>
    <x v="0"/>
    <x v="8"/>
  </r>
  <r>
    <n v="2000296"/>
    <d v="2021-02-12T00:00:00"/>
    <x v="5"/>
    <x v="1"/>
    <d v="2021-02-01T00:00:00"/>
    <s v="Naugatuck"/>
    <x v="3"/>
    <s v="464 MULBERRY ST"/>
    <n v="114660"/>
    <n v="195000"/>
    <n v="0.58799999999999997"/>
    <n v="1.7006802721088434"/>
    <x v="2"/>
    <x v="1"/>
    <x v="0"/>
    <x v="3"/>
  </r>
  <r>
    <n v="900039"/>
    <d v="2009-11-19T00:00:00"/>
    <x v="11"/>
    <x v="10"/>
    <d v="2009-11-01T00:00:00"/>
    <s v="Rocky Hill"/>
    <x v="0"/>
    <s v="8 BUTTERNIUT LANE"/>
    <n v="138950"/>
    <n v="195000"/>
    <n v="0.71256410299999995"/>
    <n v="1.4033825116948542"/>
    <x v="0"/>
    <x v="1"/>
    <x v="0"/>
    <x v="0"/>
  </r>
  <r>
    <n v="2000022"/>
    <d v="2020-10-13T00:00:00"/>
    <x v="8"/>
    <x v="4"/>
    <d v="2020-10-01T00:00:00"/>
    <s v="Naugatuck"/>
    <x v="3"/>
    <s v="41 ANDERSON ST"/>
    <n v="108070"/>
    <n v="193500"/>
    <n v="0.5585"/>
    <n v="1.7905061534190803"/>
    <x v="2"/>
    <x v="1"/>
    <x v="0"/>
    <x v="3"/>
  </r>
  <r>
    <n v="200010"/>
    <d v="2020-10-22T00:00:00"/>
    <x v="8"/>
    <x v="4"/>
    <d v="2020-10-01T00:00:00"/>
    <s v="Rocky Hill"/>
    <x v="0"/>
    <s v="59 HIGHCREST DRIVE"/>
    <n v="128870"/>
    <n v="193000"/>
    <n v="0.66769999999999996"/>
    <n v="1.4976332738418561"/>
    <x v="2"/>
    <x v="1"/>
    <x v="0"/>
    <x v="0"/>
  </r>
  <r>
    <n v="201176"/>
    <d v="2021-03-09T00:00:00"/>
    <x v="9"/>
    <x v="1"/>
    <d v="2021-03-01T00:00:00"/>
    <s v="New London"/>
    <x v="3"/>
    <s v="400 BANK ST UNIT 201"/>
    <n v="165550"/>
    <n v="191000"/>
    <n v="0.86670000000000003"/>
    <n v="1.1537299909392933"/>
    <x v="2"/>
    <x v="1"/>
    <x v="0"/>
    <x v="3"/>
  </r>
  <r>
    <n v="200419"/>
    <d v="2021-02-04T00:00:00"/>
    <x v="5"/>
    <x v="1"/>
    <d v="2021-02-01T00:00:00"/>
    <s v="New Haven"/>
    <x v="3"/>
    <s v="769 DIXWELL AV"/>
    <n v="74200"/>
    <n v="190000"/>
    <n v="0.39050000000000001"/>
    <n v="2.5606469002695418"/>
    <x v="2"/>
    <x v="0"/>
    <x v="0"/>
    <x v="3"/>
  </r>
  <r>
    <n v="70149"/>
    <d v="2008-02-26T00:00:00"/>
    <x v="5"/>
    <x v="5"/>
    <d v="2008-02-01T00:00:00"/>
    <s v="East Haven"/>
    <x v="6"/>
    <s v="140 THOMPSON ST #9C"/>
    <n v="125300"/>
    <n v="190000"/>
    <n v="0.65947368399999995"/>
    <n v="1.5163607342378291"/>
    <x v="0"/>
    <x v="1"/>
    <x v="0"/>
    <x v="6"/>
  </r>
  <r>
    <n v="20486"/>
    <d v="2021-06-15T00:00:00"/>
    <x v="2"/>
    <x v="1"/>
    <d v="2021-06-01T00:00:00"/>
    <s v="Southbury"/>
    <x v="8"/>
    <s v="808 A HERITAGE VILLAGE"/>
    <n v="92080"/>
    <n v="185000"/>
    <n v="0.49769999999999998"/>
    <n v="2.0091225021720245"/>
    <x v="2"/>
    <x v="0"/>
    <x v="0"/>
    <x v="8"/>
  </r>
  <r>
    <n v="200759"/>
    <d v="2021-07-21T00:00:00"/>
    <x v="4"/>
    <x v="1"/>
    <d v="2021-07-01T00:00:00"/>
    <s v="Shelton"/>
    <x v="8"/>
    <s v="104 MAPLE AVE"/>
    <n v="144410"/>
    <n v="185000"/>
    <n v="0.78049999999999997"/>
    <n v="1.2810747178173256"/>
    <x v="2"/>
    <x v="1"/>
    <x v="0"/>
    <x v="8"/>
  </r>
  <r>
    <n v="2000473"/>
    <d v="2021-05-18T00:00:00"/>
    <x v="3"/>
    <x v="1"/>
    <d v="2021-05-01T00:00:00"/>
    <s v="Naugatuck"/>
    <x v="3"/>
    <s v="33 FAIRCHILD ST"/>
    <n v="98900"/>
    <n v="184500"/>
    <n v="0.53600000000000003"/>
    <n v="1.865520728008089"/>
    <x v="2"/>
    <x v="1"/>
    <x v="0"/>
    <x v="3"/>
  </r>
  <r>
    <n v="200527"/>
    <d v="2021-03-01T00:00:00"/>
    <x v="9"/>
    <x v="1"/>
    <d v="2021-03-01T00:00:00"/>
    <s v="Bristol"/>
    <x v="12"/>
    <s v="25 WARD ST"/>
    <n v="85680"/>
    <n v="183000"/>
    <n v="0.46810000000000002"/>
    <n v="2.1358543417366946"/>
    <x v="2"/>
    <x v="0"/>
    <x v="0"/>
    <x v="12"/>
  </r>
  <r>
    <n v="161740"/>
    <d v="2017-08-04T00:00:00"/>
    <x v="6"/>
    <x v="3"/>
    <d v="2017-08-01T00:00:00"/>
    <s v="Stamford"/>
    <x v="8"/>
    <s v="44 STRAWBERRY HILL AVE #3P"/>
    <n v="102440"/>
    <n v="180450"/>
    <n v="0.56769188100000001"/>
    <n v="1.761518937914877"/>
    <x v="0"/>
    <x v="1"/>
    <x v="0"/>
    <x v="8"/>
  </r>
  <r>
    <n v="200362"/>
    <d v="2021-05-24T00:00:00"/>
    <x v="3"/>
    <x v="1"/>
    <d v="2021-05-01T00:00:00"/>
    <s v="Simsbury"/>
    <x v="8"/>
    <s v="75 HILLTOP DRIVE"/>
    <n v="99660"/>
    <n v="180000"/>
    <n v="0.55359999999999998"/>
    <n v="1.8061408789885611"/>
    <x v="2"/>
    <x v="1"/>
    <x v="0"/>
    <x v="8"/>
  </r>
  <r>
    <n v="20750"/>
    <d v="2021-05-06T00:00:00"/>
    <x v="3"/>
    <x v="1"/>
    <d v="2021-05-01T00:00:00"/>
    <s v="Hartford"/>
    <x v="16"/>
    <s v="3371 MAIN ST"/>
    <n v="126560"/>
    <n v="180000"/>
    <n v="0.70309999999999995"/>
    <n v="1.4222503160556257"/>
    <x v="1"/>
    <x v="1"/>
    <x v="0"/>
    <x v="16"/>
  </r>
  <r>
    <n v="200212"/>
    <d v="2021-03-09T00:00:00"/>
    <x v="9"/>
    <x v="1"/>
    <d v="2021-03-01T00:00:00"/>
    <s v="Avon"/>
    <x v="7"/>
    <s v="5 CHESTNUT DRIVE"/>
    <n v="130400"/>
    <n v="179900"/>
    <n v="0.7248"/>
    <n v="1.3796012269938651"/>
    <x v="2"/>
    <x v="1"/>
    <x v="0"/>
    <x v="7"/>
  </r>
  <r>
    <n v="160539"/>
    <d v="2017-01-06T00:00:00"/>
    <x v="7"/>
    <x v="3"/>
    <d v="2017-01-01T00:00:00"/>
    <s v="Stamford"/>
    <x v="8"/>
    <s v="186 SEATON ROAD # 22-C3"/>
    <n v="74670"/>
    <n v="176500"/>
    <n v="0.42305948999999998"/>
    <n v="2.36373376188563"/>
    <x v="0"/>
    <x v="0"/>
    <x v="0"/>
    <x v="8"/>
  </r>
  <r>
    <n v="900251"/>
    <d v="2010-05-03T00:00:00"/>
    <x v="3"/>
    <x v="9"/>
    <d v="2010-05-01T00:00:00"/>
    <s v="Farmington"/>
    <x v="15"/>
    <s v="251 NEW BRITAIN AVE"/>
    <n v="118860"/>
    <n v="175000"/>
    <n v="0.67920000000000003"/>
    <n v="1.4723203769140165"/>
    <x v="0"/>
    <x v="1"/>
    <x v="0"/>
    <x v="15"/>
  </r>
  <r>
    <n v="60610"/>
    <d v="2007-06-19T00:00:00"/>
    <x v="2"/>
    <x v="8"/>
    <d v="2007-06-01T00:00:00"/>
    <s v="West Haven"/>
    <x v="5"/>
    <s v="225 BEACH ST UT 1G"/>
    <n v="124250"/>
    <n v="175000"/>
    <n v="0.71"/>
    <n v="1.408450704225352"/>
    <x v="0"/>
    <x v="1"/>
    <x v="0"/>
    <x v="5"/>
  </r>
  <r>
    <n v="100052"/>
    <d v="2011-02-22T00:00:00"/>
    <x v="5"/>
    <x v="11"/>
    <d v="2011-02-01T00:00:00"/>
    <s v="Ansonia"/>
    <x v="7"/>
    <s v="15 APPLEWOOD CONDO"/>
    <n v="137300"/>
    <n v="175000"/>
    <n v="0.78457142899999999"/>
    <n v="1.2745812090313182"/>
    <x v="0"/>
    <x v="1"/>
    <x v="0"/>
    <x v="7"/>
  </r>
  <r>
    <n v="70125"/>
    <d v="2008-01-25T00:00:00"/>
    <x v="7"/>
    <x v="5"/>
    <d v="2008-01-01T00:00:00"/>
    <s v="Wethersfield"/>
    <x v="5"/>
    <s v="191 SPRING ST"/>
    <n v="87500"/>
    <n v="173700"/>
    <n v="0.50374208399999998"/>
    <n v="1.9851428571428571"/>
    <x v="0"/>
    <x v="1"/>
    <x v="0"/>
    <x v="5"/>
  </r>
  <r>
    <n v="130311"/>
    <d v="2014-06-05T00:00:00"/>
    <x v="2"/>
    <x v="7"/>
    <d v="2014-06-01T00:00:00"/>
    <s v="Enfield"/>
    <x v="6"/>
    <s v="71 CANDLEWOOD DR"/>
    <n v="125840"/>
    <n v="173000"/>
    <n v="0.72739884399999999"/>
    <n v="1.3747616020343294"/>
    <x v="0"/>
    <x v="1"/>
    <x v="0"/>
    <x v="6"/>
  </r>
  <r>
    <n v="200192"/>
    <d v="2020-11-20T00:00:00"/>
    <x v="11"/>
    <x v="4"/>
    <d v="2020-11-01T00:00:00"/>
    <s v="New Haven"/>
    <x v="3"/>
    <s v="459 BLATCHLEY AV"/>
    <n v="71150"/>
    <n v="170000"/>
    <n v="0.41849999999999998"/>
    <n v="2.3893183415319745"/>
    <x v="2"/>
    <x v="0"/>
    <x v="0"/>
    <x v="3"/>
  </r>
  <r>
    <n v="20000179"/>
    <d v="2021-02-22T00:00:00"/>
    <x v="5"/>
    <x v="1"/>
    <d v="2021-02-01T00:00:00"/>
    <s v="Brookfield"/>
    <x v="12"/>
    <s v="72 HOMESTEAD LN"/>
    <n v="94770"/>
    <n v="170000"/>
    <n v="0.55740000000000001"/>
    <n v="1.7938166086314233"/>
    <x v="2"/>
    <x v="1"/>
    <x v="0"/>
    <x v="12"/>
  </r>
  <r>
    <n v="200468"/>
    <d v="2021-02-12T00:00:00"/>
    <x v="5"/>
    <x v="1"/>
    <d v="2021-02-01T00:00:00"/>
    <s v="Meriden"/>
    <x v="11"/>
    <s v="28 STANLEY ST"/>
    <n v="100520"/>
    <n v="170000"/>
    <n v="0.59119999999999995"/>
    <n v="1.6912057302029446"/>
    <x v="2"/>
    <x v="1"/>
    <x v="0"/>
    <x v="11"/>
  </r>
  <r>
    <n v="160293"/>
    <d v="2017-04-20T00:00:00"/>
    <x v="1"/>
    <x v="3"/>
    <d v="2017-04-01T00:00:00"/>
    <s v="Southbury"/>
    <x v="8"/>
    <s v="329 A HERITAGE VILLAGE"/>
    <n v="102830"/>
    <n v="170000"/>
    <n v="0.60488235300000004"/>
    <n v="1.6532140425945736"/>
    <x v="0"/>
    <x v="1"/>
    <x v="0"/>
    <x v="8"/>
  </r>
  <r>
    <n v="200113"/>
    <d v="2021-01-14T00:00:00"/>
    <x v="7"/>
    <x v="1"/>
    <d v="2021-01-01T00:00:00"/>
    <s v="Suffield"/>
    <x v="8"/>
    <s v="4 CHELTENHAM CT"/>
    <n v="98280"/>
    <n v="169900"/>
    <n v="0.57840000000000003"/>
    <n v="1.7287342287342287"/>
    <x v="2"/>
    <x v="1"/>
    <x v="0"/>
    <x v="8"/>
  </r>
  <r>
    <n v="70491"/>
    <d v="2008-05-28T00:00:00"/>
    <x v="3"/>
    <x v="5"/>
    <d v="2008-05-01T00:00:00"/>
    <s v="Hamden"/>
    <x v="16"/>
    <s v="74 SHEPARD AVE."/>
    <n v="101990"/>
    <n v="169000"/>
    <n v="0.60349112400000005"/>
    <n v="1.6570251985488773"/>
    <x v="0"/>
    <x v="1"/>
    <x v="0"/>
    <x v="16"/>
  </r>
  <r>
    <n v="160427"/>
    <d v="2017-08-29T00:00:00"/>
    <x v="6"/>
    <x v="3"/>
    <d v="2017-08-01T00:00:00"/>
    <s v="Wethersfield"/>
    <x v="5"/>
    <s v="9B BARRINGTON DR"/>
    <n v="113800"/>
    <n v="169000"/>
    <n v="0.67337278099999998"/>
    <n v="1.4850615114235501"/>
    <x v="0"/>
    <x v="1"/>
    <x v="0"/>
    <x v="5"/>
  </r>
  <r>
    <n v="170091"/>
    <d v="2017-11-27T00:00:00"/>
    <x v="11"/>
    <x v="3"/>
    <d v="2017-11-01T00:00:00"/>
    <s v="Branford"/>
    <x v="12"/>
    <s v="103 CEDAR KNOLLS"/>
    <n v="112800"/>
    <n v="167450"/>
    <n v="0.67363392099999997"/>
    <n v="1.4844858156028369"/>
    <x v="0"/>
    <x v="1"/>
    <x v="0"/>
    <x v="12"/>
  </r>
  <r>
    <n v="20522"/>
    <d v="2021-03-11T00:00:00"/>
    <x v="9"/>
    <x v="1"/>
    <d v="2021-03-01T00:00:00"/>
    <s v="Hartford"/>
    <x v="16"/>
    <s v="26 BRANFORD ST"/>
    <n v="35875"/>
    <n v="165000"/>
    <n v="0.21740000000000001"/>
    <n v="4.5993031358885021"/>
    <x v="2"/>
    <x v="0"/>
    <x v="0"/>
    <x v="16"/>
  </r>
  <r>
    <n v="20513"/>
    <d v="2021-03-11T00:00:00"/>
    <x v="9"/>
    <x v="1"/>
    <d v="2021-03-01T00:00:00"/>
    <s v="New Britain"/>
    <x v="3"/>
    <s v="32 HIGHLAND TERR"/>
    <n v="97580"/>
    <n v="163300"/>
    <n v="0.59750000000000003"/>
    <n v="1.673498667759787"/>
    <x v="2"/>
    <x v="1"/>
    <x v="0"/>
    <x v="3"/>
  </r>
  <r>
    <n v="100533"/>
    <d v="2011-06-29T00:00:00"/>
    <x v="2"/>
    <x v="11"/>
    <d v="2011-06-01T00:00:00"/>
    <s v="Danbury"/>
    <x v="4"/>
    <s v="166 OLD BROOKFIELD RD #27B1"/>
    <n v="146800"/>
    <n v="162800"/>
    <n v="0.90171990199999996"/>
    <n v="1.1089918256130791"/>
    <x v="0"/>
    <x v="1"/>
    <x v="0"/>
    <x v="4"/>
  </r>
  <r>
    <n v="90163"/>
    <d v="2009-11-24T00:00:00"/>
    <x v="11"/>
    <x v="10"/>
    <d v="2009-11-01T00:00:00"/>
    <s v="West Hartford"/>
    <x v="5"/>
    <s v="893 FARMINGTON AVE 2-2E"/>
    <n v="105000"/>
    <n v="161000"/>
    <n v="0.65217391300000005"/>
    <n v="1.5333333333333334"/>
    <x v="0"/>
    <x v="1"/>
    <x v="0"/>
    <x v="5"/>
  </r>
  <r>
    <n v="10113"/>
    <d v="2010-12-22T00:00:00"/>
    <x v="0"/>
    <x v="9"/>
    <d v="2010-12-01T00:00:00"/>
    <s v="Glastonbury"/>
    <x v="2"/>
    <s v="70 SPRINGBROOK RD"/>
    <n v="119400"/>
    <n v="161000"/>
    <n v="0.74161490699999999"/>
    <n v="1.3484087102177555"/>
    <x v="0"/>
    <x v="1"/>
    <x v="0"/>
    <x v="2"/>
  </r>
  <r>
    <n v="200991"/>
    <d v="2021-07-08T00:00:00"/>
    <x v="4"/>
    <x v="1"/>
    <d v="2021-07-01T00:00:00"/>
    <s v="Manchester"/>
    <x v="11"/>
    <s v="64 MILFORD ROAD"/>
    <n v="104300"/>
    <n v="160000"/>
    <n v="0.65180000000000005"/>
    <n v="1.5340364333652925"/>
    <x v="2"/>
    <x v="1"/>
    <x v="0"/>
    <x v="11"/>
  </r>
  <r>
    <n v="20000050"/>
    <d v="2020-11-05T00:00:00"/>
    <x v="11"/>
    <x v="4"/>
    <d v="2020-11-01T00:00:00"/>
    <s v="Brookfield"/>
    <x v="12"/>
    <s v="4 CHELSEA CT"/>
    <n v="105110"/>
    <n v="160000"/>
    <n v="0.65693749999999995"/>
    <n v="1.5222148225668348"/>
    <x v="2"/>
    <x v="1"/>
    <x v="0"/>
    <x v="12"/>
  </r>
  <r>
    <n v="80588"/>
    <d v="2009-07-21T00:00:00"/>
    <x v="4"/>
    <x v="10"/>
    <d v="2009-07-01T00:00:00"/>
    <s v="Danbury"/>
    <x v="4"/>
    <s v="55 MILL PLAIN RD #33-3"/>
    <n v="125900"/>
    <n v="160000"/>
    <n v="0.78687499999999999"/>
    <n v="1.2708498808578237"/>
    <x v="0"/>
    <x v="1"/>
    <x v="0"/>
    <x v="4"/>
  </r>
  <r>
    <n v="70130"/>
    <d v="2008-08-29T00:00:00"/>
    <x v="6"/>
    <x v="5"/>
    <d v="2008-08-01T00:00:00"/>
    <s v="Putnam"/>
    <x v="10"/>
    <s v="257 SABIN ST #18"/>
    <n v="91700"/>
    <n v="157000"/>
    <n v="0.58407643300000001"/>
    <n v="1.7121046892039258"/>
    <x v="0"/>
    <x v="1"/>
    <x v="0"/>
    <x v="10"/>
  </r>
  <r>
    <n v="180207"/>
    <d v="2019-02-27T00:00:00"/>
    <x v="5"/>
    <x v="12"/>
    <d v="2019-02-01T00:00:00"/>
    <s v="Branford"/>
    <x v="12"/>
    <s v="406 THOREAU ST"/>
    <n v="100800"/>
    <n v="156000"/>
    <n v="0.64615384600000003"/>
    <n v="1.5476190476190477"/>
    <x v="0"/>
    <x v="1"/>
    <x v="0"/>
    <x v="12"/>
  </r>
  <r>
    <n v="200032"/>
    <d v="2020-10-08T00:00:00"/>
    <x v="8"/>
    <x v="4"/>
    <d v="2020-10-01T00:00:00"/>
    <s v="Bristol"/>
    <x v="12"/>
    <s v="9 LESLIE COURT"/>
    <n v="94920"/>
    <n v="155000"/>
    <n v="0.61229999999999996"/>
    <n v="1.6329540665823852"/>
    <x v="2"/>
    <x v="1"/>
    <x v="0"/>
    <x v="12"/>
  </r>
  <r>
    <n v="161240"/>
    <d v="2017-07-26T00:00:00"/>
    <x v="4"/>
    <x v="3"/>
    <d v="2017-07-01T00:00:00"/>
    <s v="Norwalk"/>
    <x v="3"/>
    <s v="18 PROSPECT ST"/>
    <n v="95050"/>
    <n v="155000"/>
    <n v="0.61322580599999998"/>
    <n v="1.6307206733298265"/>
    <x v="0"/>
    <x v="1"/>
    <x v="0"/>
    <x v="3"/>
  </r>
  <r>
    <n v="62389"/>
    <d v="2007-08-24T00:00:00"/>
    <x v="6"/>
    <x v="8"/>
    <d v="2007-08-01T00:00:00"/>
    <s v="Bridgeport"/>
    <x v="12"/>
    <s v="166 KENNEDY DR"/>
    <n v="80521"/>
    <n v="154500"/>
    <n v="0.52117152099999997"/>
    <n v="1.9187541138336583"/>
    <x v="0"/>
    <x v="1"/>
    <x v="0"/>
    <x v="12"/>
  </r>
  <r>
    <n v="12323"/>
    <d v="2013-07-08T00:00:00"/>
    <x v="4"/>
    <x v="13"/>
    <d v="2013-07-01T00:00:00"/>
    <s v="West Haven"/>
    <x v="5"/>
    <s v="45 SAVIN PARK"/>
    <n v="126280"/>
    <n v="153500"/>
    <n v="0.82267100999999998"/>
    <n v="1.2155527399429837"/>
    <x v="0"/>
    <x v="1"/>
    <x v="0"/>
    <x v="5"/>
  </r>
  <r>
    <n v="190443"/>
    <d v="2020-04-29T00:00:00"/>
    <x v="1"/>
    <x v="4"/>
    <d v="2020-04-01T00:00:00"/>
    <s v="Middletown"/>
    <x v="11"/>
    <s v="94 CYNTHIA LA #B-6"/>
    <n v="92280"/>
    <n v="153000"/>
    <n v="0.60309999999999997"/>
    <n v="1.6579973992197659"/>
    <x v="0"/>
    <x v="1"/>
    <x v="0"/>
    <x v="11"/>
  </r>
  <r>
    <n v="90035"/>
    <d v="2009-12-01T00:00:00"/>
    <x v="0"/>
    <x v="10"/>
    <d v="2009-12-01T00:00:00"/>
    <s v="Woodstock"/>
    <x v="5"/>
    <s v="2 WOODSTOCK HILLS"/>
    <n v="110700"/>
    <n v="151000"/>
    <n v="0.73311258300000004"/>
    <n v="1.3640469738030714"/>
    <x v="0"/>
    <x v="1"/>
    <x v="0"/>
    <x v="5"/>
  </r>
  <r>
    <n v="201777"/>
    <d v="2021-06-08T00:00:00"/>
    <x v="2"/>
    <x v="1"/>
    <d v="2021-06-01T00:00:00"/>
    <s v="Waterbury"/>
    <x v="5"/>
    <s v="18 CAMP ST"/>
    <n v="36770"/>
    <n v="150000"/>
    <n v="0.24510000000000001"/>
    <n v="4.0794125645906991"/>
    <x v="2"/>
    <x v="0"/>
    <x v="0"/>
    <x v="5"/>
  </r>
  <r>
    <n v="200285"/>
    <d v="2021-04-12T00:00:00"/>
    <x v="1"/>
    <x v="1"/>
    <d v="2021-04-01T00:00:00"/>
    <s v="Guilford"/>
    <x v="2"/>
    <s v="30 GRANITE RD"/>
    <n v="77840"/>
    <n v="150000"/>
    <n v="0.51890000000000003"/>
    <n v="1.9270298047276464"/>
    <x v="2"/>
    <x v="1"/>
    <x v="0"/>
    <x v="2"/>
  </r>
  <r>
    <n v="201018"/>
    <d v="2021-06-03T00:00:00"/>
    <x v="2"/>
    <x v="1"/>
    <d v="2021-06-01T00:00:00"/>
    <s v="Danbury"/>
    <x v="4"/>
    <s v="55 FOREST AV"/>
    <n v="136900"/>
    <n v="150000"/>
    <n v="0.91259999999999997"/>
    <n v="1.0956902848794741"/>
    <x v="2"/>
    <x v="1"/>
    <x v="0"/>
    <x v="4"/>
  </r>
  <r>
    <n v="200230"/>
    <d v="2021-04-26T00:00:00"/>
    <x v="1"/>
    <x v="1"/>
    <d v="2021-04-01T00:00:00"/>
    <s v="Killingly"/>
    <x v="13"/>
    <s v="152 NORTH ST"/>
    <n v="143220"/>
    <n v="150000"/>
    <n v="0.95479999999999998"/>
    <n v="1.0473397570171763"/>
    <x v="3"/>
    <x v="1"/>
    <x v="0"/>
    <x v="13"/>
  </r>
  <r>
    <n v="90347"/>
    <d v="2009-12-30T00:00:00"/>
    <x v="0"/>
    <x v="10"/>
    <d v="2009-12-01T00:00:00"/>
    <s v="Waterbury"/>
    <x v="5"/>
    <s v="210 STONEFIELD DR #48"/>
    <n v="87700"/>
    <n v="149850"/>
    <n v="0.58525191899999995"/>
    <n v="1.7086659064994298"/>
    <x v="0"/>
    <x v="1"/>
    <x v="0"/>
    <x v="5"/>
  </r>
  <r>
    <n v="90832"/>
    <d v="2010-06-30T00:00:00"/>
    <x v="2"/>
    <x v="9"/>
    <d v="2010-06-01T00:00:00"/>
    <s v="New Haven"/>
    <x v="3"/>
    <s v="418 WOODWARD AVE UNIT 16"/>
    <n v="99960"/>
    <n v="146000"/>
    <n v="0.68465753399999996"/>
    <n v="1.4605842336934773"/>
    <x v="0"/>
    <x v="1"/>
    <x v="0"/>
    <x v="3"/>
  </r>
  <r>
    <n v="150007"/>
    <d v="2015-10-28T00:00:00"/>
    <x v="8"/>
    <x v="6"/>
    <d v="2015-10-01T00:00:00"/>
    <s v="East Granby"/>
    <x v="6"/>
    <s v="32 CHELSEA LANE"/>
    <n v="100900"/>
    <n v="144900"/>
    <n v="0.69634230500000005"/>
    <n v="1.4360753221010902"/>
    <x v="0"/>
    <x v="1"/>
    <x v="0"/>
    <x v="6"/>
  </r>
  <r>
    <n v="100020"/>
    <d v="2010-10-22T00:00:00"/>
    <x v="8"/>
    <x v="9"/>
    <d v="2010-10-01T00:00:00"/>
    <s v="Branford"/>
    <x v="12"/>
    <s v="6B ROCKLEDGE"/>
    <n v="123700"/>
    <n v="143800"/>
    <n v="0.86022253100000001"/>
    <n v="1.1624898949070332"/>
    <x v="0"/>
    <x v="1"/>
    <x v="0"/>
    <x v="12"/>
  </r>
  <r>
    <n v="60190"/>
    <d v="2006-12-11T00:00:00"/>
    <x v="0"/>
    <x v="14"/>
    <d v="2006-12-01T00:00:00"/>
    <s v="Wallingford"/>
    <x v="5"/>
    <s v="19 TERRACE GDNS"/>
    <n v="78260"/>
    <n v="143000"/>
    <n v="0.54727272699999996"/>
    <n v="1.8272425249169435"/>
    <x v="0"/>
    <x v="1"/>
    <x v="0"/>
    <x v="5"/>
  </r>
  <r>
    <n v="9347"/>
    <d v="2010-02-23T00:00:00"/>
    <x v="5"/>
    <x v="9"/>
    <d v="2010-02-01T00:00:00"/>
    <s v="Meriden"/>
    <x v="11"/>
    <s v="28 STERLING VLG"/>
    <n v="93050"/>
    <n v="143000"/>
    <n v="0.65069930099999995"/>
    <n v="1.5368081676518002"/>
    <x v="0"/>
    <x v="1"/>
    <x v="0"/>
    <x v="11"/>
  </r>
  <r>
    <n v="17141"/>
    <d v="2017-11-30T00:00:00"/>
    <x v="11"/>
    <x v="3"/>
    <d v="2017-11-01T00:00:00"/>
    <s v="West Haven"/>
    <x v="5"/>
    <s v="375 CAPT THOMAS BLVD #14"/>
    <n v="119630"/>
    <n v="142650"/>
    <n v="0.83860000000000001"/>
    <n v="1.1924266488339046"/>
    <x v="0"/>
    <x v="1"/>
    <x v="0"/>
    <x v="5"/>
  </r>
  <r>
    <n v="200375"/>
    <d v="2021-04-06T00:00:00"/>
    <x v="1"/>
    <x v="1"/>
    <d v="2021-04-01T00:00:00"/>
    <s v="East Haven"/>
    <x v="6"/>
    <s v="55      THOMPSON ST #5A"/>
    <n v="76960"/>
    <n v="140000"/>
    <n v="0.54969999999999997"/>
    <n v="1.8191268191268191"/>
    <x v="2"/>
    <x v="1"/>
    <x v="0"/>
    <x v="6"/>
  </r>
  <r>
    <n v="14332"/>
    <d v="2015-06-24T00:00:00"/>
    <x v="2"/>
    <x v="6"/>
    <d v="2015-06-01T00:00:00"/>
    <s v="Newington"/>
    <x v="3"/>
    <s v="154 COTTONWOOD ROAD"/>
    <n v="107520"/>
    <n v="140000"/>
    <n v="0.76800000000000002"/>
    <n v="1.3020833333333333"/>
    <x v="0"/>
    <x v="1"/>
    <x v="0"/>
    <x v="3"/>
  </r>
  <r>
    <n v="202250"/>
    <d v="2021-08-09T00:00:00"/>
    <x v="6"/>
    <x v="1"/>
    <d v="2021-08-01T00:00:00"/>
    <s v="Waterbury"/>
    <x v="5"/>
    <s v="94 SOUTHMAYD RD #3"/>
    <n v="63100"/>
    <n v="139900"/>
    <n v="0.45100000000000001"/>
    <n v="2.2171156893819335"/>
    <x v="2"/>
    <x v="0"/>
    <x v="0"/>
    <x v="5"/>
  </r>
  <r>
    <n v="150498"/>
    <d v="2016-05-02T00:00:00"/>
    <x v="3"/>
    <x v="0"/>
    <d v="2016-05-01T00:00:00"/>
    <s v="Meriden"/>
    <x v="11"/>
    <s v="160 SUFFOLK CT"/>
    <n v="94570"/>
    <n v="135000"/>
    <n v="0.70051851899999995"/>
    <n v="1.4275140107856614"/>
    <x v="0"/>
    <x v="1"/>
    <x v="0"/>
    <x v="11"/>
  </r>
  <r>
    <n v="13105"/>
    <d v="2014-03-11T00:00:00"/>
    <x v="9"/>
    <x v="7"/>
    <d v="2014-03-01T00:00:00"/>
    <s v="Bloomfield"/>
    <x v="12"/>
    <s v="42 SILO WAY"/>
    <n v="124460"/>
    <n v="133000"/>
    <n v="0.93578947400000001"/>
    <n v="1.0686164229471316"/>
    <x v="0"/>
    <x v="1"/>
    <x v="0"/>
    <x v="12"/>
  </r>
  <r>
    <n v="200436"/>
    <d v="2021-05-04T00:00:00"/>
    <x v="3"/>
    <x v="1"/>
    <d v="2021-05-01T00:00:00"/>
    <s v="Groton"/>
    <x v="2"/>
    <s v="67 LEAFWOOD LN S250"/>
    <n v="71960"/>
    <n v="130000"/>
    <n v="0.55349999999999999"/>
    <n v="1.8065591995553085"/>
    <x v="2"/>
    <x v="1"/>
    <x v="0"/>
    <x v="2"/>
  </r>
  <r>
    <n v="200377"/>
    <d v="2021-05-28T00:00:00"/>
    <x v="3"/>
    <x v="1"/>
    <d v="2021-05-01T00:00:00"/>
    <s v="Simsbury"/>
    <x v="8"/>
    <s v="108 LIBRARY LANE"/>
    <n v="80010"/>
    <n v="130000"/>
    <n v="0.61539999999999995"/>
    <n v="1.6247969003874516"/>
    <x v="2"/>
    <x v="1"/>
    <x v="0"/>
    <x v="8"/>
  </r>
  <r>
    <n v="90097"/>
    <d v="2010-06-03T00:00:00"/>
    <x v="2"/>
    <x v="9"/>
    <d v="2010-06-01T00:00:00"/>
    <s v="Woodstock"/>
    <x v="5"/>
    <s v="5 WOODSTOCK MEADOWS"/>
    <n v="126200"/>
    <n v="130000"/>
    <n v="0.97076923100000001"/>
    <n v="1.0301109350237718"/>
    <x v="0"/>
    <x v="1"/>
    <x v="0"/>
    <x v="5"/>
  </r>
  <r>
    <n v="140129"/>
    <d v="2015-07-13T00:00:00"/>
    <x v="4"/>
    <x v="6"/>
    <d v="2015-07-01T00:00:00"/>
    <s v="North Branford"/>
    <x v="3"/>
    <s v="229 BRANFORD RD #222"/>
    <n v="88000"/>
    <n v="128866"/>
    <n v="0.68287989100000002"/>
    <n v="1.4643863636363637"/>
    <x v="0"/>
    <x v="1"/>
    <x v="0"/>
    <x v="3"/>
  </r>
  <r>
    <n v="20273"/>
    <d v="2021-01-11T00:00:00"/>
    <x v="7"/>
    <x v="1"/>
    <d v="2021-01-01T00:00:00"/>
    <s v="Ridgefield"/>
    <x v="0"/>
    <s v="12 CARPENTER CLOSE"/>
    <n v="89810"/>
    <n v="128300"/>
    <n v="0.7"/>
    <n v="1.4285714285714286"/>
    <x v="2"/>
    <x v="1"/>
    <x v="0"/>
    <x v="0"/>
  </r>
  <r>
    <n v="900152"/>
    <d v="2010-05-03T00:00:00"/>
    <x v="3"/>
    <x v="9"/>
    <d v="2010-05-01T00:00:00"/>
    <s v="Rocky Hill"/>
    <x v="0"/>
    <s v="5D CARILLON DRIVE"/>
    <n v="88620"/>
    <n v="127000"/>
    <n v="0.69779527600000002"/>
    <n v="1.4330850823741819"/>
    <x v="0"/>
    <x v="1"/>
    <x v="0"/>
    <x v="0"/>
  </r>
  <r>
    <n v="160624"/>
    <d v="2017-08-17T00:00:00"/>
    <x v="6"/>
    <x v="3"/>
    <d v="2017-08-01T00:00:00"/>
    <s v="Norwich"/>
    <x v="3"/>
    <s v="306 SALEM TPKE UNIT#4"/>
    <n v="96100"/>
    <n v="125500"/>
    <n v="0.76573705199999997"/>
    <n v="1.3059313215400625"/>
    <x v="0"/>
    <x v="1"/>
    <x v="0"/>
    <x v="3"/>
  </r>
  <r>
    <n v="160521"/>
    <d v="2017-06-30T00:00:00"/>
    <x v="2"/>
    <x v="3"/>
    <d v="2017-06-01T00:00:00"/>
    <s v="Torrington"/>
    <x v="9"/>
    <s v="442 EVERGREEN RD"/>
    <n v="88000"/>
    <n v="125000"/>
    <n v="0.70399999999999996"/>
    <n v="1.4204545454545454"/>
    <x v="0"/>
    <x v="1"/>
    <x v="0"/>
    <x v="9"/>
  </r>
  <r>
    <n v="130523"/>
    <d v="2014-09-26T00:00:00"/>
    <x v="10"/>
    <x v="7"/>
    <d v="2014-09-01T00:00:00"/>
    <s v="Enfield"/>
    <x v="6"/>
    <s v="156 WYNWOOD DR"/>
    <n v="97940"/>
    <n v="125000"/>
    <n v="0.78351999999999999"/>
    <n v="1.2762916071063917"/>
    <x v="0"/>
    <x v="1"/>
    <x v="0"/>
    <x v="6"/>
  </r>
  <r>
    <n v="160010"/>
    <d v="2016-10-13T00:00:00"/>
    <x v="8"/>
    <x v="0"/>
    <d v="2016-10-01T00:00:00"/>
    <s v="Rocky Hill"/>
    <x v="0"/>
    <s v="29A CARILLON DRIVE"/>
    <n v="76930"/>
    <n v="124500"/>
    <n v="0.61791164700000001"/>
    <n v="1.6183543481086702"/>
    <x v="0"/>
    <x v="1"/>
    <x v="0"/>
    <x v="0"/>
  </r>
  <r>
    <n v="70133"/>
    <d v="2008-03-20T00:00:00"/>
    <x v="9"/>
    <x v="5"/>
    <d v="2008-03-01T00:00:00"/>
    <s v="Ledyard"/>
    <x v="18"/>
    <s v="3N LAKESIDE DR"/>
    <n v="92820"/>
    <n v="124000"/>
    <n v="0.74854838700000004"/>
    <n v="1.3359189829778064"/>
    <x v="0"/>
    <x v="1"/>
    <x v="0"/>
    <x v="18"/>
  </r>
  <r>
    <n v="200174"/>
    <d v="2020-11-20T00:00:00"/>
    <x v="11"/>
    <x v="4"/>
    <d v="2020-11-01T00:00:00"/>
    <s v="Torrington"/>
    <x v="9"/>
    <s v="194 LEDGE DR"/>
    <n v="58020"/>
    <n v="122500"/>
    <n v="0.47360000000000002"/>
    <n v="2.1113409169251982"/>
    <x v="2"/>
    <x v="0"/>
    <x v="0"/>
    <x v="9"/>
  </r>
  <r>
    <n v="160065"/>
    <d v="2016-12-05T00:00:00"/>
    <x v="0"/>
    <x v="0"/>
    <d v="2016-12-01T00:00:00"/>
    <s v="Rocky Hill"/>
    <x v="0"/>
    <s v="4 COPPER BEECH DRIVE"/>
    <n v="89950"/>
    <n v="122500"/>
    <n v="0.73428571399999998"/>
    <n v="1.3618677042801557"/>
    <x v="0"/>
    <x v="1"/>
    <x v="0"/>
    <x v="0"/>
  </r>
  <r>
    <n v="201592"/>
    <d v="2021-05-12T00:00:00"/>
    <x v="3"/>
    <x v="1"/>
    <d v="2021-05-01T00:00:00"/>
    <s v="Waterbury"/>
    <x v="5"/>
    <s v="26 COOPER ST"/>
    <n v="73860"/>
    <n v="122000"/>
    <n v="0.60540000000000005"/>
    <n v="1.6517736257784998"/>
    <x v="2"/>
    <x v="1"/>
    <x v="0"/>
    <x v="5"/>
  </r>
  <r>
    <n v="100226"/>
    <d v="2011-02-25T00:00:00"/>
    <x v="5"/>
    <x v="11"/>
    <d v="2011-02-01T00:00:00"/>
    <s v="Bristol"/>
    <x v="12"/>
    <s v="35 RUTH ST #60"/>
    <n v="93450"/>
    <n v="120000"/>
    <n v="0.77875000000000005"/>
    <n v="1.2841091492776886"/>
    <x v="0"/>
    <x v="1"/>
    <x v="0"/>
    <x v="12"/>
  </r>
  <r>
    <n v="100254"/>
    <d v="2011-07-07T00:00:00"/>
    <x v="4"/>
    <x v="11"/>
    <d v="2011-07-01T00:00:00"/>
    <s v="Farmington"/>
    <x v="15"/>
    <s v="11-A4 BYRNE COURT"/>
    <n v="91000"/>
    <n v="115000"/>
    <n v="0.79130434800000005"/>
    <n v="1.2637362637362637"/>
    <x v="0"/>
    <x v="1"/>
    <x v="0"/>
    <x v="15"/>
  </r>
  <r>
    <n v="90010"/>
    <d v="2009-10-19T00:00:00"/>
    <x v="8"/>
    <x v="10"/>
    <d v="2009-10-01T00:00:00"/>
    <s v="Plymouth"/>
    <x v="10"/>
    <s v="13 HOLT ST #4"/>
    <n v="94260"/>
    <n v="115000"/>
    <n v="0.81965217400000001"/>
    <n v="1.22002970507108"/>
    <x v="0"/>
    <x v="1"/>
    <x v="0"/>
    <x v="10"/>
  </r>
  <r>
    <n v="800234"/>
    <d v="2009-06-03T00:00:00"/>
    <x v="2"/>
    <x v="10"/>
    <d v="2009-06-01T00:00:00"/>
    <s v="Farmington"/>
    <x v="15"/>
    <s v="1622 FARMINGTON AV UNIT 11"/>
    <n v="82250"/>
    <n v="112500"/>
    <n v="0.73111111100000004"/>
    <n v="1.3677811550151975"/>
    <x v="0"/>
    <x v="1"/>
    <x v="0"/>
    <x v="15"/>
  </r>
  <r>
    <n v="160444"/>
    <d v="2017-07-10T00:00:00"/>
    <x v="4"/>
    <x v="3"/>
    <d v="2017-07-01T00:00:00"/>
    <s v="Southbury"/>
    <x v="8"/>
    <s v="73 B HERITAGE VILLAGE"/>
    <n v="58510"/>
    <n v="110000"/>
    <n v="0.53190909099999995"/>
    <n v="1.8800205093146471"/>
    <x v="0"/>
    <x v="1"/>
    <x v="0"/>
    <x v="8"/>
  </r>
  <r>
    <n v="180650"/>
    <d v="2019-01-24T00:00:00"/>
    <x v="7"/>
    <x v="12"/>
    <d v="2019-01-01T00:00:00"/>
    <s v="Bridgeport"/>
    <x v="12"/>
    <s v="333 VINCELLETTE ST UNIT 82"/>
    <n v="64720"/>
    <n v="108000"/>
    <n v="0.59919999999999995"/>
    <n v="1.6687268232385661"/>
    <x v="0"/>
    <x v="1"/>
    <x v="0"/>
    <x v="12"/>
  </r>
  <r>
    <n v="908206"/>
    <d v="2010-09-10T00:00:00"/>
    <x v="10"/>
    <x v="9"/>
    <d v="2010-09-01T00:00:00"/>
    <s v="West Haven"/>
    <x v="5"/>
    <s v="155 BULL HILL LA #S2"/>
    <n v="69020"/>
    <n v="107500"/>
    <n v="0.64204651199999996"/>
    <n v="1.5575195595479572"/>
    <x v="0"/>
    <x v="1"/>
    <x v="0"/>
    <x v="5"/>
  </r>
  <r>
    <n v="171321"/>
    <d v="2018-05-14T00:00:00"/>
    <x v="3"/>
    <x v="2"/>
    <d v="2018-05-01T00:00:00"/>
    <s v="Bridgeport"/>
    <x v="12"/>
    <s v="50 GREENHOUSE RD UNIT 57C"/>
    <n v="59750"/>
    <n v="107000"/>
    <n v="0.55840000000000001"/>
    <n v="1.7907949790794979"/>
    <x v="0"/>
    <x v="1"/>
    <x v="0"/>
    <x v="12"/>
  </r>
  <r>
    <n v="200953"/>
    <d v="2021-05-28T00:00:00"/>
    <x v="3"/>
    <x v="1"/>
    <d v="2021-05-01T00:00:00"/>
    <s v="New Haven"/>
    <x v="3"/>
    <s v="44 FRONT ST"/>
    <n v="64470"/>
    <n v="105000"/>
    <n v="0.61399999999999999"/>
    <n v="1.6286644951140066"/>
    <x v="2"/>
    <x v="1"/>
    <x v="0"/>
    <x v="3"/>
  </r>
  <r>
    <n v="200007"/>
    <d v="2020-10-02T00:00:00"/>
    <x v="8"/>
    <x v="4"/>
    <d v="2020-10-01T00:00:00"/>
    <s v="South Windsor"/>
    <x v="8"/>
    <s v="23-D AMATO DR"/>
    <n v="68300"/>
    <n v="105000"/>
    <n v="0.65039999999999998"/>
    <n v="1.5373352855051245"/>
    <x v="2"/>
    <x v="1"/>
    <x v="0"/>
    <x v="8"/>
  </r>
  <r>
    <n v="120151"/>
    <d v="2013-09-13T00:00:00"/>
    <x v="10"/>
    <x v="13"/>
    <d v="2013-09-01T00:00:00"/>
    <s v="Plymouth"/>
    <x v="10"/>
    <s v="30 SEYMOUR RD UNIT C-2"/>
    <n v="76270"/>
    <n v="105000"/>
    <n v="0.72638095199999997"/>
    <n v="1.3766880818146061"/>
    <x v="0"/>
    <x v="1"/>
    <x v="0"/>
    <x v="10"/>
  </r>
  <r>
    <n v="160052"/>
    <d v="2017-02-01T00:00:00"/>
    <x v="5"/>
    <x v="3"/>
    <d v="2017-02-01T00:00:00"/>
    <s v="Winchester"/>
    <x v="5"/>
    <s v="230 E WAKEFIELD BLVD"/>
    <n v="79310"/>
    <n v="100000"/>
    <n v="0.79310000000000003"/>
    <n v="1.2608750472828143"/>
    <x v="0"/>
    <x v="1"/>
    <x v="0"/>
    <x v="5"/>
  </r>
  <r>
    <n v="160606"/>
    <d v="2017-07-18T00:00:00"/>
    <x v="4"/>
    <x v="3"/>
    <d v="2017-07-01T00:00:00"/>
    <s v="Southington"/>
    <x v="8"/>
    <s v="22 VILLAGE RD"/>
    <n v="68800"/>
    <n v="95000"/>
    <n v="0.72421052600000002"/>
    <n v="1.3808139534883721"/>
    <x v="0"/>
    <x v="1"/>
    <x v="0"/>
    <x v="8"/>
  </r>
  <r>
    <n v="201212"/>
    <d v="2021-08-23T00:00:00"/>
    <x v="6"/>
    <x v="1"/>
    <d v="2021-08-01T00:00:00"/>
    <s v="Bristol"/>
    <x v="12"/>
    <s v="8 JENNINGS TERR"/>
    <n v="88060"/>
    <n v="91000"/>
    <n v="0.96760000000000002"/>
    <n v="1.0333863275039745"/>
    <x v="2"/>
    <x v="1"/>
    <x v="0"/>
    <x v="12"/>
  </r>
  <r>
    <n v="2020065"/>
    <d v="2020-12-20T00:00:00"/>
    <x v="0"/>
    <x v="4"/>
    <d v="2020-12-01T00:00:00"/>
    <s v="Tolland"/>
    <x v="9"/>
    <s v="H2 TOLLAND MEADOWS"/>
    <n v="55200"/>
    <n v="90000"/>
    <n v="0.61329999999999996"/>
    <n v="1.6304347826086956"/>
    <x v="2"/>
    <x v="1"/>
    <x v="0"/>
    <x v="9"/>
  </r>
  <r>
    <n v="200377"/>
    <d v="2021-08-16T00:00:00"/>
    <x v="6"/>
    <x v="1"/>
    <d v="2021-08-01T00:00:00"/>
    <s v="Plainville"/>
    <x v="10"/>
    <s v="492 EAST ST B-36"/>
    <n v="41090"/>
    <n v="89900"/>
    <n v="0.45700000000000002"/>
    <n v="2.1878802628376732"/>
    <x v="2"/>
    <x v="0"/>
    <x v="0"/>
    <x v="10"/>
  </r>
  <r>
    <n v="2020256"/>
    <d v="2021-06-23T00:00:00"/>
    <x v="2"/>
    <x v="1"/>
    <d v="2021-06-01T00:00:00"/>
    <s v="Tolland"/>
    <x v="9"/>
    <s v="D3 TOLLAND MEADOWS"/>
    <n v="55200"/>
    <n v="89900"/>
    <n v="0.61401557299999998"/>
    <n v="1.6286231884057971"/>
    <x v="2"/>
    <x v="1"/>
    <x v="0"/>
    <x v="9"/>
  </r>
  <r>
    <n v="90706"/>
    <d v="2010-07-01T00:00:00"/>
    <x v="4"/>
    <x v="9"/>
    <d v="2010-07-01T00:00:00"/>
    <s v="West Hartford"/>
    <x v="5"/>
    <s v="140 KANE ST B1"/>
    <n v="76500"/>
    <n v="86000"/>
    <n v="0.88953488400000003"/>
    <n v="1.1241830065359477"/>
    <x v="0"/>
    <x v="1"/>
    <x v="0"/>
    <x v="5"/>
  </r>
  <r>
    <n v="160697"/>
    <d v="2017-02-16T00:00:00"/>
    <x v="5"/>
    <x v="3"/>
    <d v="2017-02-01T00:00:00"/>
    <s v="Stamford"/>
    <x v="8"/>
    <s v="22 GLENBROOK ROAD # 103"/>
    <n v="47960"/>
    <n v="85000"/>
    <n v="0.56423529400000005"/>
    <n v="1.7723102585487907"/>
    <x v="0"/>
    <x v="1"/>
    <x v="0"/>
    <x v="8"/>
  </r>
  <r>
    <n v="160400"/>
    <d v="2017-06-21T00:00:00"/>
    <x v="2"/>
    <x v="3"/>
    <d v="2017-06-01T00:00:00"/>
    <s v="Southbury"/>
    <x v="8"/>
    <s v="270 D HERITAGE VILLAGE"/>
    <n v="57720"/>
    <n v="85000"/>
    <n v="0.67905882399999995"/>
    <n v="1.4726264726264726"/>
    <x v="0"/>
    <x v="1"/>
    <x v="0"/>
    <x v="8"/>
  </r>
  <r>
    <n v="200821"/>
    <d v="2021-05-27T00:00:00"/>
    <x v="3"/>
    <x v="1"/>
    <d v="2021-05-01T00:00:00"/>
    <s v="Meriden"/>
    <x v="11"/>
    <s v="7 CARRIAGE CRSNG"/>
    <n v="67270"/>
    <n v="82000"/>
    <n v="0.82030000000000003"/>
    <n v="1.2189683365541846"/>
    <x v="2"/>
    <x v="1"/>
    <x v="0"/>
    <x v="11"/>
  </r>
  <r>
    <n v="90111"/>
    <d v="2009-12-02T00:00:00"/>
    <x v="0"/>
    <x v="10"/>
    <d v="2009-12-01T00:00:00"/>
    <s v="Vernon"/>
    <x v="17"/>
    <s v="165-53 SOUTH ST"/>
    <n v="62630"/>
    <n v="74000"/>
    <n v="0.84635135100000003"/>
    <n v="1.1815423918250041"/>
    <x v="0"/>
    <x v="1"/>
    <x v="0"/>
    <x v="17"/>
  </r>
  <r>
    <n v="200242"/>
    <d v="2021-01-27T00:00:00"/>
    <x v="7"/>
    <x v="1"/>
    <d v="2021-01-01T00:00:00"/>
    <s v="East Haven"/>
    <x v="6"/>
    <s v="130 COE AVE #51"/>
    <n v="28240"/>
    <n v="73000"/>
    <n v="0.38684931500000003"/>
    <n v="2.5849858356940509"/>
    <x v="2"/>
    <x v="0"/>
    <x v="0"/>
    <x v="6"/>
  </r>
  <r>
    <n v="91123"/>
    <d v="2010-07-12T00:00:00"/>
    <x v="4"/>
    <x v="9"/>
    <d v="2010-07-01T00:00:00"/>
    <s v="Waterbury"/>
    <x v="5"/>
    <s v="192 MAYBURY CIRCLE #5"/>
    <n v="52580"/>
    <n v="65000"/>
    <n v="0.80892307699999999"/>
    <n v="1.2362114872575123"/>
    <x v="0"/>
    <x v="1"/>
    <x v="0"/>
    <x v="5"/>
  </r>
  <r>
    <n v="190767"/>
    <d v="2020-03-02T00:00:00"/>
    <x v="9"/>
    <x v="4"/>
    <d v="2020-03-01T00:00:00"/>
    <s v="Waterbury"/>
    <x v="5"/>
    <s v="1424 THOMASTON AVE #2"/>
    <n v="28490"/>
    <n v="61000"/>
    <n v="0.46700000000000003"/>
    <n v="2.1411021411021411"/>
    <x v="0"/>
    <x v="0"/>
    <x v="0"/>
    <x v="5"/>
  </r>
  <r>
    <n v="170668"/>
    <d v="2018-01-31T00:00:00"/>
    <x v="7"/>
    <x v="2"/>
    <d v="2018-01-01T00:00:00"/>
    <s v="Bridgeport"/>
    <x v="12"/>
    <s v="120 HUNTINGTON TPKE UNIT 708"/>
    <n v="27570"/>
    <n v="59000"/>
    <n v="0.4672"/>
    <n v="2.1400072542618789"/>
    <x v="0"/>
    <x v="0"/>
    <x v="0"/>
    <x v="12"/>
  </r>
  <r>
    <n v="160606"/>
    <d v="2017-08-10T00:00:00"/>
    <x v="6"/>
    <x v="3"/>
    <d v="2017-08-01T00:00:00"/>
    <s v="Norwich"/>
    <x v="3"/>
    <s v="1913 OLD POND LN"/>
    <n v="41000"/>
    <n v="55000"/>
    <n v="0.74545454499999997"/>
    <n v="1.3414634146341464"/>
    <x v="0"/>
    <x v="1"/>
    <x v="0"/>
    <x v="3"/>
  </r>
  <r>
    <n v="181369"/>
    <d v="2019-06-07T00:00:00"/>
    <x v="2"/>
    <x v="12"/>
    <d v="2019-06-01T00:00:00"/>
    <s v="Bridgeport"/>
    <x v="12"/>
    <s v="265-A TEXAS AVE"/>
    <n v="36950"/>
    <n v="52000"/>
    <n v="0.71050000000000002"/>
    <n v="1.4073071718538566"/>
    <x v="0"/>
    <x v="1"/>
    <x v="0"/>
    <x v="12"/>
  </r>
  <r>
    <n v="100418"/>
    <d v="2011-08-10T00:00:00"/>
    <x v="6"/>
    <x v="11"/>
    <d v="2011-08-01T00:00:00"/>
    <s v="East Hartford"/>
    <x v="6"/>
    <s v="233 ELLINGTON RD #312"/>
    <n v="38500"/>
    <n v="50000"/>
    <n v="0.77"/>
    <n v="1.2987012987012987"/>
    <x v="0"/>
    <x v="1"/>
    <x v="0"/>
    <x v="6"/>
  </r>
  <r>
    <n v="10470"/>
    <d v="2011-06-06T00:00:00"/>
    <x v="2"/>
    <x v="11"/>
    <d v="2011-06-01T00:00:00"/>
    <s v="Hartford"/>
    <x v="16"/>
    <s v="29 MORRIS ST. UNIT M29C"/>
    <n v="27874"/>
    <n v="42000"/>
    <n v="0.66366666699999999"/>
    <n v="1.5067805123053741"/>
    <x v="0"/>
    <x v="1"/>
    <x v="0"/>
    <x v="16"/>
  </r>
  <r>
    <n v="17568"/>
    <d v="2018-05-24T00:00:00"/>
    <x v="3"/>
    <x v="2"/>
    <d v="2018-05-01T00:00:00"/>
    <s v="Hartford"/>
    <x v="16"/>
    <s v="755 WETHERSFIELD AV UNIT B2"/>
    <n v="11620"/>
    <n v="38500"/>
    <n v="0.30180000000000001"/>
    <n v="3.3132530120481927"/>
    <x v="0"/>
    <x v="0"/>
    <x v="0"/>
    <x v="16"/>
  </r>
  <r>
    <n v="61464"/>
    <d v="2007-05-25T00:00:00"/>
    <x v="3"/>
    <x v="8"/>
    <d v="2007-05-01T00:00:00"/>
    <s v="Waterbury"/>
    <x v="5"/>
    <s v="21 THIRD ST UT 6B"/>
    <n v="14770"/>
    <n v="33000"/>
    <n v="0.44757575799999999"/>
    <n v="2.2342586323628977"/>
    <x v="0"/>
    <x v="0"/>
    <x v="0"/>
    <x v="5"/>
  </r>
  <r>
    <n v="180558"/>
    <d v="2019-05-21T00:00:00"/>
    <x v="3"/>
    <x v="12"/>
    <d v="2019-05-01T00:00:00"/>
    <s v="New Haven"/>
    <x v="3"/>
    <s v="1203 ELLA T GRASSO BLVD # B"/>
    <n v="28910"/>
    <n v="30000"/>
    <n v="0.96360000000000001"/>
    <n v="1.0377032168799722"/>
    <x v="0"/>
    <x v="1"/>
    <x v="0"/>
    <x v="3"/>
  </r>
  <r>
    <n v="2000720"/>
    <d v="2021-01-05T00:00:00"/>
    <x v="7"/>
    <x v="1"/>
    <d v="2021-01-01T00:00:00"/>
    <s v="Stamford"/>
    <x v="8"/>
    <s v="57 HARBOR DRIVE GARAGE G-105B"/>
    <n v="19110"/>
    <n v="27500"/>
    <n v="0.69489999999999996"/>
    <n v="1.4390371533228676"/>
    <x v="2"/>
    <x v="1"/>
    <x v="0"/>
    <x v="8"/>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2">
  <r>
    <n v="160092"/>
    <d v="2016-12-20T00:00:00"/>
    <x v="0"/>
    <x v="0"/>
    <d v="2016-12-01T00:00:00"/>
    <x v="0"/>
    <x v="0"/>
    <s v="13D ROBBINS LANE"/>
    <n v="45150"/>
    <n v="13650000"/>
    <n v="3.3076920000000001E-3"/>
    <n v="302.32558139534882"/>
    <x v="0"/>
    <x v="0"/>
    <x v="0"/>
    <x v="0"/>
  </r>
  <r>
    <n v="200195"/>
    <d v="2021-04-26T00:00:00"/>
    <x v="1"/>
    <x v="1"/>
    <d v="2021-04-01T00:00:00"/>
    <x v="1"/>
    <x v="1"/>
    <s v="34      SHUNPIKE      ROAD"/>
    <n v="3360000"/>
    <n v="5214750"/>
    <n v="0.64429999999999998"/>
    <n v="1.5520089285714285"/>
    <x v="1"/>
    <x v="1"/>
    <x v="0"/>
    <x v="1"/>
  </r>
  <r>
    <n v="201233"/>
    <d v="2021-06-22T00:00:00"/>
    <x v="2"/>
    <x v="1"/>
    <d v="2021-06-01T00:00:00"/>
    <x v="2"/>
    <x v="2"/>
    <s v="11 BAYBERRY LANE"/>
    <n v="4259500"/>
    <n v="4300000"/>
    <n v="0.99050000000000005"/>
    <n v="1.0095081582345347"/>
    <x v="2"/>
    <x v="1"/>
    <x v="0"/>
    <x v="2"/>
  </r>
  <r>
    <n v="170261"/>
    <d v="2018-05-01T00:00:00"/>
    <x v="3"/>
    <x v="2"/>
    <d v="2018-05-01T00:00:00"/>
    <x v="3"/>
    <x v="3"/>
    <s v="83 MANSFIELD RD 228"/>
    <n v="30660"/>
    <n v="3266250"/>
    <n v="9.3869120000000007E-3"/>
    <n v="106.53131115459882"/>
    <x v="0"/>
    <x v="0"/>
    <x v="0"/>
    <x v="3"/>
  </r>
  <r>
    <n v="170255"/>
    <d v="2018-05-01T00:00:00"/>
    <x v="3"/>
    <x v="2"/>
    <d v="2018-05-01T00:00:00"/>
    <x v="3"/>
    <x v="3"/>
    <s v="83 MANSFIELD RD 220"/>
    <n v="30660"/>
    <n v="3266250"/>
    <n v="9.3869120000000007E-3"/>
    <n v="106.53131115459882"/>
    <x v="0"/>
    <x v="0"/>
    <x v="0"/>
    <x v="3"/>
  </r>
  <r>
    <n v="201186"/>
    <d v="2021-07-12T00:00:00"/>
    <x v="4"/>
    <x v="1"/>
    <d v="2021-07-01T00:00:00"/>
    <x v="4"/>
    <x v="4"/>
    <s v="28 MAIN ST"/>
    <n v="695500"/>
    <n v="3200000"/>
    <n v="0.21734375"/>
    <n v="4.6010064701653484"/>
    <x v="1"/>
    <x v="0"/>
    <x v="0"/>
    <x v="4"/>
  </r>
  <r>
    <n v="200645"/>
    <d v="2021-02-17T00:00:00"/>
    <x v="5"/>
    <x v="1"/>
    <d v="2021-02-01T00:00:00"/>
    <x v="2"/>
    <x v="2"/>
    <s v="123 VALLEY DRIVE"/>
    <n v="2661200"/>
    <n v="3000000"/>
    <n v="0.88700000000000001"/>
    <n v="1.1273109875244252"/>
    <x v="2"/>
    <x v="1"/>
    <x v="0"/>
    <x v="2"/>
  </r>
  <r>
    <n v="200661"/>
    <d v="2021-08-30T00:00:00"/>
    <x v="6"/>
    <x v="1"/>
    <d v="2021-08-01T00:00:00"/>
    <x v="5"/>
    <x v="3"/>
    <s v="322 MAIN ST"/>
    <n v="1279460"/>
    <n v="2400000"/>
    <n v="0.53310000000000002"/>
    <n v="1.87579134947556"/>
    <x v="2"/>
    <x v="1"/>
    <x v="0"/>
    <x v="3"/>
  </r>
  <r>
    <n v="201437"/>
    <d v="2021-07-20T00:00:00"/>
    <x v="4"/>
    <x v="1"/>
    <d v="2021-07-01T00:00:00"/>
    <x v="2"/>
    <x v="2"/>
    <s v="552 RIVER ROAD"/>
    <n v="1337630"/>
    <n v="2300000"/>
    <n v="0.58150000000000002"/>
    <n v="1.7194590432331811"/>
    <x v="2"/>
    <x v="1"/>
    <x v="0"/>
    <x v="2"/>
  </r>
  <r>
    <n v="200055"/>
    <d v="2021-01-25T00:00:00"/>
    <x v="7"/>
    <x v="1"/>
    <d v="2021-01-01T00:00:00"/>
    <x v="6"/>
    <x v="5"/>
    <s v="136 OLD LITCHFIELD RD"/>
    <n v="1030330"/>
    <n v="2285000"/>
    <n v="0.45090000000000002"/>
    <n v="2.2177360651441771"/>
    <x v="2"/>
    <x v="0"/>
    <x v="0"/>
    <x v="5"/>
  </r>
  <r>
    <n v="2016743"/>
    <d v="2021-07-19T00:00:00"/>
    <x v="4"/>
    <x v="1"/>
    <d v="2021-07-01T00:00:00"/>
    <x v="7"/>
    <x v="0"/>
    <s v="241 ETHAN ALLEN HIGHWAY"/>
    <n v="1769800"/>
    <n v="1800000"/>
    <n v="0.98319999999999996"/>
    <n v="1.0170640750367272"/>
    <x v="1"/>
    <x v="1"/>
    <x v="0"/>
    <x v="0"/>
  </r>
  <r>
    <n v="200320"/>
    <d v="2021-05-10T00:00:00"/>
    <x v="3"/>
    <x v="1"/>
    <d v="2021-05-01T00:00:00"/>
    <x v="8"/>
    <x v="6"/>
    <s v="9 FREEDOM WAY"/>
    <n v="776230"/>
    <n v="1525000"/>
    <n v="0.50900000000000001"/>
    <n v="1.9646238872499131"/>
    <x v="1"/>
    <x v="1"/>
    <x v="0"/>
    <x v="6"/>
  </r>
  <r>
    <n v="200377"/>
    <d v="2021-07-02T00:00:00"/>
    <x v="4"/>
    <x v="1"/>
    <d v="2021-07-01T00:00:00"/>
    <x v="9"/>
    <x v="7"/>
    <s v="70 FAR HILLS DRIVE"/>
    <n v="862330"/>
    <n v="1447500"/>
    <n v="0.59570000000000001"/>
    <n v="1.6785917224264493"/>
    <x v="2"/>
    <x v="1"/>
    <x v="0"/>
    <x v="7"/>
  </r>
  <r>
    <n v="161304"/>
    <d v="2017-06-15T00:00:00"/>
    <x v="2"/>
    <x v="3"/>
    <d v="2017-06-01T00:00:00"/>
    <x v="10"/>
    <x v="8"/>
    <s v="12 DRYDEN STREET 1B"/>
    <n v="91980"/>
    <n v="1323338"/>
    <n v="6.9506051999999999E-2"/>
    <n v="14.387236355729506"/>
    <x v="0"/>
    <x v="0"/>
    <x v="0"/>
    <x v="8"/>
  </r>
  <r>
    <n v="201494"/>
    <d v="2021-07-28T00:00:00"/>
    <x v="4"/>
    <x v="1"/>
    <d v="2021-07-01T00:00:00"/>
    <x v="2"/>
    <x v="2"/>
    <s v="20 EAST LYON FARM DRIVE"/>
    <n v="632170"/>
    <n v="1250000"/>
    <n v="0.50570000000000004"/>
    <n v="1.9773162282297483"/>
    <x v="2"/>
    <x v="1"/>
    <x v="0"/>
    <x v="2"/>
  </r>
  <r>
    <n v="200109"/>
    <d v="2020-12-09T00:00:00"/>
    <x v="0"/>
    <x v="4"/>
    <d v="2020-12-01T00:00:00"/>
    <x v="9"/>
    <x v="7"/>
    <s v="57 FAR HILLS DRIVE"/>
    <n v="847520"/>
    <n v="1250000"/>
    <n v="0.67800000000000005"/>
    <n v="1.474891447989428"/>
    <x v="2"/>
    <x v="1"/>
    <x v="0"/>
    <x v="7"/>
  </r>
  <r>
    <n v="200020"/>
    <d v="2020-10-06T00:00:00"/>
    <x v="8"/>
    <x v="4"/>
    <d v="2020-10-01T00:00:00"/>
    <x v="11"/>
    <x v="2"/>
    <s v="98 EAST SHORE AVE"/>
    <n v="654570"/>
    <n v="990000"/>
    <n v="0.66118181799999998"/>
    <n v="1.5124432833768733"/>
    <x v="2"/>
    <x v="1"/>
    <x v="0"/>
    <x v="2"/>
  </r>
  <r>
    <n v="2001101"/>
    <d v="2021-03-04T00:00:00"/>
    <x v="9"/>
    <x v="1"/>
    <d v="2021-03-01T00:00:00"/>
    <x v="10"/>
    <x v="8"/>
    <s v="385 ERSKINE ROAD"/>
    <n v="599810"/>
    <n v="950000"/>
    <n v="0.63129999999999997"/>
    <n v="1.5838348810456644"/>
    <x v="2"/>
    <x v="1"/>
    <x v="0"/>
    <x v="8"/>
  </r>
  <r>
    <n v="200427"/>
    <d v="2021-02-05T00:00:00"/>
    <x v="5"/>
    <x v="1"/>
    <d v="2021-02-01T00:00:00"/>
    <x v="12"/>
    <x v="3"/>
    <s v="287-291 MAIN ST"/>
    <n v="587600"/>
    <n v="939000"/>
    <n v="0.62570000000000003"/>
    <n v="1.5980258679373724"/>
    <x v="1"/>
    <x v="1"/>
    <x v="0"/>
    <x v="3"/>
  </r>
  <r>
    <n v="2001570"/>
    <d v="2021-05-14T00:00:00"/>
    <x v="3"/>
    <x v="1"/>
    <d v="2021-05-01T00:00:00"/>
    <x v="10"/>
    <x v="8"/>
    <s v="52 ORCHARD STREET"/>
    <n v="486230"/>
    <n v="930000"/>
    <n v="0.52280000000000004"/>
    <n v="1.9126750714682352"/>
    <x v="1"/>
    <x v="1"/>
    <x v="0"/>
    <x v="8"/>
  </r>
  <r>
    <n v="20771"/>
    <d v="2021-09-16T00:00:00"/>
    <x v="10"/>
    <x v="1"/>
    <d v="2021-09-01T00:00:00"/>
    <x v="13"/>
    <x v="3"/>
    <s v="3 SHORT HILL ROAD"/>
    <n v="451770"/>
    <n v="910000"/>
    <n v="0.49645054900000002"/>
    <n v="2.0142993115966088"/>
    <x v="2"/>
    <x v="0"/>
    <x v="0"/>
    <x v="3"/>
  </r>
  <r>
    <n v="200627"/>
    <d v="2021-07-20T00:00:00"/>
    <x v="4"/>
    <x v="1"/>
    <d v="2021-07-01T00:00:00"/>
    <x v="14"/>
    <x v="9"/>
    <s v="12 ROSEVIEW COURT"/>
    <n v="475160"/>
    <n v="905000"/>
    <n v="0.52500000000000002"/>
    <n v="1.9046216011448776"/>
    <x v="2"/>
    <x v="1"/>
    <x v="0"/>
    <x v="9"/>
  </r>
  <r>
    <n v="200243"/>
    <d v="2021-04-13T00:00:00"/>
    <x v="1"/>
    <x v="1"/>
    <d v="2021-04-01T00:00:00"/>
    <x v="9"/>
    <x v="7"/>
    <s v="111 NORTHINGTON DRIVE"/>
    <n v="619290"/>
    <n v="890000"/>
    <n v="0.69579999999999997"/>
    <n v="1.4371296161733598"/>
    <x v="2"/>
    <x v="1"/>
    <x v="0"/>
    <x v="7"/>
  </r>
  <r>
    <n v="20129"/>
    <d v="2021-03-30T00:00:00"/>
    <x v="9"/>
    <x v="1"/>
    <d v="2021-03-01T00:00:00"/>
    <x v="15"/>
    <x v="4"/>
    <s v="196 ELIZABETH ST"/>
    <n v="351260"/>
    <n v="873000"/>
    <n v="0.40229999999999999"/>
    <n v="2.4853384957011899"/>
    <x v="1"/>
    <x v="0"/>
    <x v="0"/>
    <x v="4"/>
  </r>
  <r>
    <n v="201207"/>
    <d v="2021-07-21T00:00:00"/>
    <x v="4"/>
    <x v="1"/>
    <d v="2021-07-01T00:00:00"/>
    <x v="16"/>
    <x v="3"/>
    <s v="40 TEMPLE CT # 40"/>
    <n v="368130"/>
    <n v="850000"/>
    <n v="0.433"/>
    <n v="2.3089669410262679"/>
    <x v="2"/>
    <x v="0"/>
    <x v="0"/>
    <x v="3"/>
  </r>
  <r>
    <n v="2000344"/>
    <d v="2020-11-10T00:00:00"/>
    <x v="11"/>
    <x v="4"/>
    <d v="2020-11-01T00:00:00"/>
    <x v="10"/>
    <x v="8"/>
    <s v="11 LYNAM ROAD"/>
    <n v="539700"/>
    <n v="850000"/>
    <n v="0.63490000000000002"/>
    <n v="1.5749490457661663"/>
    <x v="2"/>
    <x v="1"/>
    <x v="0"/>
    <x v="8"/>
  </r>
  <r>
    <n v="200338"/>
    <d v="2021-04-23T00:00:00"/>
    <x v="1"/>
    <x v="1"/>
    <d v="2021-04-01T00:00:00"/>
    <x v="5"/>
    <x v="3"/>
    <s v="116 ROCKY BROOK RD"/>
    <n v="620760"/>
    <n v="850000"/>
    <n v="0.73029999999999995"/>
    <n v="1.3692892583285006"/>
    <x v="2"/>
    <x v="1"/>
    <x v="0"/>
    <x v="3"/>
  </r>
  <r>
    <n v="202000106"/>
    <d v="2021-01-28T00:00:00"/>
    <x v="7"/>
    <x v="1"/>
    <d v="2021-01-01T00:00:00"/>
    <x v="17"/>
    <x v="10"/>
    <s v="325 MAIN ST"/>
    <n v="596470"/>
    <n v="833111"/>
    <n v="0.71589999999999998"/>
    <n v="1.3967357955974316"/>
    <x v="1"/>
    <x v="1"/>
    <x v="0"/>
    <x v="10"/>
  </r>
  <r>
    <n v="2001250"/>
    <d v="2021-03-25T00:00:00"/>
    <x v="9"/>
    <x v="1"/>
    <d v="2021-03-01T00:00:00"/>
    <x v="10"/>
    <x v="8"/>
    <s v="28 VERNON PLACE"/>
    <n v="403190"/>
    <n v="810000"/>
    <n v="0.49769999999999998"/>
    <n v="2.0089783972816786"/>
    <x v="2"/>
    <x v="0"/>
    <x v="0"/>
    <x v="8"/>
  </r>
  <r>
    <n v="201027"/>
    <d v="2021-07-19T00:00:00"/>
    <x v="4"/>
    <x v="1"/>
    <d v="2021-07-01T00:00:00"/>
    <x v="18"/>
    <x v="11"/>
    <s v="200 SHELDON ROAD"/>
    <n v="517700"/>
    <n v="800000"/>
    <n v="0.64710000000000001"/>
    <n v="1.5452965037666602"/>
    <x v="1"/>
    <x v="1"/>
    <x v="0"/>
    <x v="11"/>
  </r>
  <r>
    <n v="2002453"/>
    <d v="2021-08-27T00:00:00"/>
    <x v="6"/>
    <x v="1"/>
    <d v="2021-08-01T00:00:00"/>
    <x v="10"/>
    <x v="8"/>
    <s v="34 FIFTH STREET"/>
    <n v="596290"/>
    <n v="800000"/>
    <n v="0.74529999999999996"/>
    <n v="1.3416290731020142"/>
    <x v="1"/>
    <x v="1"/>
    <x v="0"/>
    <x v="8"/>
  </r>
  <r>
    <n v="200097"/>
    <d v="2021-06-04T00:00:00"/>
    <x v="2"/>
    <x v="1"/>
    <d v="2021-06-01T00:00:00"/>
    <x v="19"/>
    <x v="12"/>
    <s v="23 AMITY RD"/>
    <n v="511000"/>
    <n v="795000"/>
    <n v="0.64270000000000005"/>
    <n v="1.5557729941291585"/>
    <x v="1"/>
    <x v="1"/>
    <x v="0"/>
    <x v="12"/>
  </r>
  <r>
    <n v="2002537"/>
    <d v="2021-09-07T00:00:00"/>
    <x v="10"/>
    <x v="1"/>
    <d v="2021-09-01T00:00:00"/>
    <x v="10"/>
    <x v="8"/>
    <s v="56 ETHAN ALLEN LANE"/>
    <n v="441560"/>
    <n v="785000"/>
    <n v="0.56240000000000001"/>
    <n v="1.7777878431017302"/>
    <x v="2"/>
    <x v="1"/>
    <x v="0"/>
    <x v="8"/>
  </r>
  <r>
    <n v="20274"/>
    <d v="2021-01-08T00:00:00"/>
    <x v="7"/>
    <x v="1"/>
    <d v="2021-01-01T00:00:00"/>
    <x v="13"/>
    <x v="3"/>
    <s v="16 SILVER BROOK LANE"/>
    <n v="419590"/>
    <n v="779000"/>
    <n v="0.53859999999999997"/>
    <n v="1.8565742748873901"/>
    <x v="2"/>
    <x v="1"/>
    <x v="0"/>
    <x v="3"/>
  </r>
  <r>
    <n v="2000120"/>
    <d v="2020-10-16T00:00:00"/>
    <x v="8"/>
    <x v="4"/>
    <d v="2020-10-01T00:00:00"/>
    <x v="10"/>
    <x v="8"/>
    <s v="61 SEAVIEW AVENUE # 1"/>
    <n v="497000"/>
    <n v="755000"/>
    <n v="0.65820000000000001"/>
    <n v="1.5191146881287727"/>
    <x v="2"/>
    <x v="1"/>
    <x v="0"/>
    <x v="8"/>
  </r>
  <r>
    <n v="200098"/>
    <d v="2020-11-06T00:00:00"/>
    <x v="11"/>
    <x v="4"/>
    <d v="2020-11-01T00:00:00"/>
    <x v="11"/>
    <x v="2"/>
    <s v="70 ATLANTIC AVE"/>
    <n v="354550"/>
    <n v="742500"/>
    <n v="0.47749999999999998"/>
    <n v="2.094203920462558"/>
    <x v="2"/>
    <x v="0"/>
    <x v="0"/>
    <x v="2"/>
  </r>
  <r>
    <n v="201328"/>
    <d v="2021-08-06T00:00:00"/>
    <x v="6"/>
    <x v="1"/>
    <d v="2021-08-01T00:00:00"/>
    <x v="1"/>
    <x v="1"/>
    <s v="6 BELHAVEN"/>
    <n v="410670"/>
    <n v="740000"/>
    <n v="0.55489999999999995"/>
    <n v="1.8019334258650499"/>
    <x v="2"/>
    <x v="1"/>
    <x v="0"/>
    <x v="1"/>
  </r>
  <r>
    <n v="200170"/>
    <d v="2021-06-14T00:00:00"/>
    <x v="2"/>
    <x v="1"/>
    <d v="2021-06-01T00:00:00"/>
    <x v="20"/>
    <x v="5"/>
    <s v="104 CHAPMAN BEACH RD"/>
    <n v="271120"/>
    <n v="725000"/>
    <n v="0.37390000000000001"/>
    <n v="2.6740926526999114"/>
    <x v="2"/>
    <x v="0"/>
    <x v="0"/>
    <x v="5"/>
  </r>
  <r>
    <n v="20458"/>
    <d v="2021-06-18T00:00:00"/>
    <x v="2"/>
    <x v="1"/>
    <d v="2021-06-01T00:00:00"/>
    <x v="21"/>
    <x v="5"/>
    <s v="4 DONNA ST"/>
    <n v="271240"/>
    <n v="710000"/>
    <n v="0.38200000000000001"/>
    <n v="2.6176080224155731"/>
    <x v="2"/>
    <x v="0"/>
    <x v="0"/>
    <x v="5"/>
  </r>
  <r>
    <n v="200421"/>
    <d v="2020-12-24T00:00:00"/>
    <x v="0"/>
    <x v="4"/>
    <d v="2020-12-01T00:00:00"/>
    <x v="2"/>
    <x v="2"/>
    <s v="130 NORTH WATER STREET"/>
    <n v="288190"/>
    <n v="705000"/>
    <n v="0.40870000000000001"/>
    <n v="2.4463027863562234"/>
    <x v="2"/>
    <x v="0"/>
    <x v="0"/>
    <x v="2"/>
  </r>
  <r>
    <n v="200258"/>
    <d v="2021-01-22T00:00:00"/>
    <x v="7"/>
    <x v="1"/>
    <d v="2021-01-01T00:00:00"/>
    <x v="22"/>
    <x v="12"/>
    <s v="34 SUNRISE COVE CAMP"/>
    <n v="530500"/>
    <n v="700000"/>
    <n v="0.75780000000000003"/>
    <n v="1.3195098963242224"/>
    <x v="2"/>
    <x v="1"/>
    <x v="0"/>
    <x v="12"/>
  </r>
  <r>
    <n v="2020313"/>
    <d v="2021-07-01T00:00:00"/>
    <x v="4"/>
    <x v="1"/>
    <d v="2021-07-01T00:00:00"/>
    <x v="23"/>
    <x v="12"/>
    <s v="216 WATCH HILL RD"/>
    <n v="412000"/>
    <n v="677500"/>
    <n v="0.60809999999999997"/>
    <n v="1.6444174757281553"/>
    <x v="2"/>
    <x v="1"/>
    <x v="0"/>
    <x v="12"/>
  </r>
  <r>
    <n v="2001286"/>
    <d v="2021-03-30T00:00:00"/>
    <x v="9"/>
    <x v="1"/>
    <d v="2021-03-01T00:00:00"/>
    <x v="10"/>
    <x v="8"/>
    <s v="1156 STILLWATER ROAD"/>
    <n v="438860"/>
    <n v="652000"/>
    <n v="0.67300000000000004"/>
    <n v="1.4856674110194594"/>
    <x v="2"/>
    <x v="1"/>
    <x v="0"/>
    <x v="8"/>
  </r>
  <r>
    <n v="200639"/>
    <d v="2021-07-28T00:00:00"/>
    <x v="4"/>
    <x v="1"/>
    <d v="2021-07-01T00:00:00"/>
    <x v="11"/>
    <x v="2"/>
    <s v="4 TYLER AVE"/>
    <n v="259770"/>
    <n v="650000"/>
    <n v="0.39964615399999998"/>
    <n v="2.5022134965546443"/>
    <x v="2"/>
    <x v="0"/>
    <x v="0"/>
    <x v="2"/>
  </r>
  <r>
    <n v="20200578"/>
    <d v="2021-02-17T00:00:00"/>
    <x v="5"/>
    <x v="1"/>
    <d v="2021-02-01T00:00:00"/>
    <x v="24"/>
    <x v="8"/>
    <s v="2318 MAIN STREET"/>
    <n v="429800"/>
    <n v="650000"/>
    <n v="0.66120000000000001"/>
    <n v="1.5123313168915775"/>
    <x v="1"/>
    <x v="1"/>
    <x v="0"/>
    <x v="8"/>
  </r>
  <r>
    <n v="200804"/>
    <d v="2021-09-28T00:00:00"/>
    <x v="10"/>
    <x v="1"/>
    <d v="2021-09-01T00:00:00"/>
    <x v="22"/>
    <x v="12"/>
    <s v="119 MONTOWESE ST"/>
    <n v="455100"/>
    <n v="650000"/>
    <n v="0.70009999999999994"/>
    <n v="1.4282575258185015"/>
    <x v="1"/>
    <x v="1"/>
    <x v="0"/>
    <x v="12"/>
  </r>
  <r>
    <n v="200043"/>
    <d v="2020-12-09T00:00:00"/>
    <x v="0"/>
    <x v="4"/>
    <d v="2020-12-01T00:00:00"/>
    <x v="25"/>
    <x v="13"/>
    <s v="46 TITUS COAN ROAD"/>
    <n v="354040"/>
    <n v="645000"/>
    <n v="0.54879999999999995"/>
    <n v="1.8218280420291493"/>
    <x v="2"/>
    <x v="1"/>
    <x v="0"/>
    <x v="13"/>
  </r>
  <r>
    <n v="200042"/>
    <d v="2021-05-19T00:00:00"/>
    <x v="3"/>
    <x v="1"/>
    <d v="2021-05-01T00:00:00"/>
    <x v="26"/>
    <x v="1"/>
    <s v="93 MAIN ST"/>
    <n v="355800"/>
    <n v="599000"/>
    <n v="0.59389999999999998"/>
    <n v="1.6835300730747611"/>
    <x v="2"/>
    <x v="1"/>
    <x v="0"/>
    <x v="1"/>
  </r>
  <r>
    <n v="70101"/>
    <d v="2008-03-03T00:00:00"/>
    <x v="9"/>
    <x v="5"/>
    <d v="2008-03-01T00:00:00"/>
    <x v="27"/>
    <x v="11"/>
    <s v="17 PEQUOT CT"/>
    <n v="342230"/>
    <n v="575000"/>
    <n v="0.59518260899999997"/>
    <n v="1.6801566198170821"/>
    <x v="0"/>
    <x v="1"/>
    <x v="0"/>
    <x v="11"/>
  </r>
  <r>
    <n v="200002"/>
    <d v="2020-10-01T00:00:00"/>
    <x v="8"/>
    <x v="4"/>
    <d v="2020-10-01T00:00:00"/>
    <x v="28"/>
    <x v="0"/>
    <s v="20 CHURCH ST"/>
    <n v="439290"/>
    <n v="575000"/>
    <n v="0.76398260900000003"/>
    <n v="1.3089303193789978"/>
    <x v="2"/>
    <x v="1"/>
    <x v="0"/>
    <x v="0"/>
  </r>
  <r>
    <n v="160178"/>
    <d v="2017-06-14T00:00:00"/>
    <x v="2"/>
    <x v="3"/>
    <d v="2017-06-01T00:00:00"/>
    <x v="29"/>
    <x v="14"/>
    <s v="81 COULTER ST #14"/>
    <n v="363600"/>
    <n v="572500"/>
    <n v="0.63510917"/>
    <n v="1.5745324532453244"/>
    <x v="0"/>
    <x v="1"/>
    <x v="0"/>
    <x v="14"/>
  </r>
  <r>
    <n v="20249"/>
    <d v="2021-09-30T00:00:00"/>
    <x v="10"/>
    <x v="1"/>
    <d v="2021-09-01T00:00:00"/>
    <x v="30"/>
    <x v="14"/>
    <s v="387 TIMBERLANE DR"/>
    <n v="297700"/>
    <n v="550000"/>
    <n v="0.54120000000000001"/>
    <n v="1.8474974806852535"/>
    <x v="2"/>
    <x v="1"/>
    <x v="0"/>
    <x v="14"/>
  </r>
  <r>
    <n v="200742"/>
    <d v="2021-03-29T00:00:00"/>
    <x v="9"/>
    <x v="1"/>
    <d v="2021-03-01T00:00:00"/>
    <x v="4"/>
    <x v="4"/>
    <s v="17 OHEHYAHTAH PL"/>
    <n v="339100"/>
    <n v="550000"/>
    <n v="0.61650000000000005"/>
    <n v="1.6219404305514598"/>
    <x v="2"/>
    <x v="1"/>
    <x v="0"/>
    <x v="4"/>
  </r>
  <r>
    <n v="200151"/>
    <d v="2020-12-14T00:00:00"/>
    <x v="0"/>
    <x v="4"/>
    <d v="2020-12-01T00:00:00"/>
    <x v="31"/>
    <x v="15"/>
    <s v="15 MALS WAY"/>
    <n v="356410"/>
    <n v="550000"/>
    <n v="0.64800000000000002"/>
    <n v="1.543166577817682"/>
    <x v="2"/>
    <x v="1"/>
    <x v="0"/>
    <x v="15"/>
  </r>
  <r>
    <n v="70561"/>
    <d v="2008-09-11T00:00:00"/>
    <x v="10"/>
    <x v="5"/>
    <d v="2008-09-01T00:00:00"/>
    <x v="32"/>
    <x v="8"/>
    <s v="11 RUSHBROOKE LN"/>
    <n v="342650"/>
    <n v="542500"/>
    <n v="0.63161290299999995"/>
    <n v="1.5832482124616956"/>
    <x v="0"/>
    <x v="1"/>
    <x v="0"/>
    <x v="8"/>
  </r>
  <r>
    <n v="2001590"/>
    <d v="2021-05-17T00:00:00"/>
    <x v="3"/>
    <x v="1"/>
    <d v="2021-05-01T00:00:00"/>
    <x v="10"/>
    <x v="8"/>
    <s v="37 CROSS ROAD"/>
    <n v="423700"/>
    <n v="533350"/>
    <n v="0.7944"/>
    <n v="1.2587915978286524"/>
    <x v="2"/>
    <x v="1"/>
    <x v="0"/>
    <x v="8"/>
  </r>
  <r>
    <n v="141056"/>
    <d v="2015-06-02T00:00:00"/>
    <x v="2"/>
    <x v="6"/>
    <d v="2015-06-01T00:00:00"/>
    <x v="10"/>
    <x v="8"/>
    <s v="1707 SUMMER STREET UT 3"/>
    <n v="314280"/>
    <n v="526000"/>
    <n v="0.59749049399999998"/>
    <n v="1.673666793941708"/>
    <x v="0"/>
    <x v="1"/>
    <x v="0"/>
    <x v="8"/>
  </r>
  <r>
    <n v="201580"/>
    <d v="2021-09-27T00:00:00"/>
    <x v="10"/>
    <x v="1"/>
    <d v="2021-09-01T00:00:00"/>
    <x v="4"/>
    <x v="4"/>
    <s v="25 CROWN ST"/>
    <n v="192300"/>
    <n v="525000"/>
    <n v="0.36628571399999998"/>
    <n v="2.7301092043681749"/>
    <x v="2"/>
    <x v="0"/>
    <x v="0"/>
    <x v="4"/>
  </r>
  <r>
    <n v="200374"/>
    <d v="2021-03-01T00:00:00"/>
    <x v="9"/>
    <x v="1"/>
    <d v="2021-03-01T00:00:00"/>
    <x v="32"/>
    <x v="8"/>
    <s v="1103 RENAISSANCE"/>
    <n v="227500"/>
    <n v="525000"/>
    <n v="0.43330000000000002"/>
    <n v="2.3076923076923075"/>
    <x v="2"/>
    <x v="0"/>
    <x v="0"/>
    <x v="8"/>
  </r>
  <r>
    <n v="201023"/>
    <d v="2021-07-26T00:00:00"/>
    <x v="4"/>
    <x v="1"/>
    <d v="2021-07-01T00:00:00"/>
    <x v="33"/>
    <x v="16"/>
    <s v="410 MARKET ST"/>
    <n v="435610"/>
    <n v="525000"/>
    <n v="0.82969999999999999"/>
    <n v="1.2052064920456371"/>
    <x v="1"/>
    <x v="1"/>
    <x v="0"/>
    <x v="16"/>
  </r>
  <r>
    <n v="200827"/>
    <d v="2021-09-07T00:00:00"/>
    <x v="10"/>
    <x v="1"/>
    <d v="2021-09-01T00:00:00"/>
    <x v="34"/>
    <x v="2"/>
    <s v="38 MONTAUK WAY"/>
    <n v="332000"/>
    <n v="520000"/>
    <n v="0.63839999999999997"/>
    <n v="1.5662650602409638"/>
    <x v="2"/>
    <x v="1"/>
    <x v="0"/>
    <x v="2"/>
  </r>
  <r>
    <n v="200140"/>
    <d v="2021-04-28T00:00:00"/>
    <x v="1"/>
    <x v="1"/>
    <d v="2021-04-01T00:00:00"/>
    <x v="35"/>
    <x v="6"/>
    <s v="14 ESSEX GLEN DR #12"/>
    <n v="335800"/>
    <n v="520000"/>
    <n v="0.64570000000000005"/>
    <n v="1.5485407980941037"/>
    <x v="2"/>
    <x v="1"/>
    <x v="0"/>
    <x v="6"/>
  </r>
  <r>
    <n v="200499"/>
    <d v="2021-09-10T00:00:00"/>
    <x v="10"/>
    <x v="1"/>
    <d v="2021-09-01T00:00:00"/>
    <x v="8"/>
    <x v="6"/>
    <s v="27 SEA CREST AVE"/>
    <n v="233660"/>
    <n v="517000"/>
    <n v="0.45190000000000002"/>
    <n v="2.2126166224428658"/>
    <x v="2"/>
    <x v="0"/>
    <x v="0"/>
    <x v="6"/>
  </r>
  <r>
    <n v="130962"/>
    <d v="2014-09-08T00:00:00"/>
    <x v="10"/>
    <x v="7"/>
    <d v="2014-09-01T00:00:00"/>
    <x v="36"/>
    <x v="15"/>
    <s v="48 GATE RIDGE ROAD"/>
    <n v="301070"/>
    <n v="515000"/>
    <n v="0.58460194200000004"/>
    <n v="1.7105656491845751"/>
    <x v="0"/>
    <x v="1"/>
    <x v="0"/>
    <x v="15"/>
  </r>
  <r>
    <n v="20588"/>
    <d v="2021-07-29T00:00:00"/>
    <x v="4"/>
    <x v="1"/>
    <d v="2021-07-01T00:00:00"/>
    <x v="37"/>
    <x v="8"/>
    <s v="2005 PURCHASE BROOK RD"/>
    <n v="235950"/>
    <n v="510000"/>
    <n v="0.46260000000000001"/>
    <n v="2.1614748887476161"/>
    <x v="2"/>
    <x v="0"/>
    <x v="0"/>
    <x v="8"/>
  </r>
  <r>
    <n v="20742"/>
    <d v="2021-08-30T00:00:00"/>
    <x v="6"/>
    <x v="1"/>
    <d v="2021-08-01T00:00:00"/>
    <x v="13"/>
    <x v="3"/>
    <s v="157 HANOVER ROAD"/>
    <n v="325640"/>
    <n v="508000"/>
    <n v="0.64100000000000001"/>
    <n v="1.5600049134013021"/>
    <x v="2"/>
    <x v="1"/>
    <x v="0"/>
    <x v="3"/>
  </r>
  <r>
    <n v="150034"/>
    <d v="2016-05-04T00:00:00"/>
    <x v="3"/>
    <x v="0"/>
    <d v="2016-05-01T00:00:00"/>
    <x v="38"/>
    <x v="8"/>
    <s v="9 GREAT ELM DR #1"/>
    <n v="309800"/>
    <n v="505000"/>
    <n v="0.61346534699999999"/>
    <n v="1.6300839251129762"/>
    <x v="0"/>
    <x v="1"/>
    <x v="0"/>
    <x v="8"/>
  </r>
  <r>
    <n v="70535"/>
    <d v="2008-05-02T00:00:00"/>
    <x v="3"/>
    <x v="5"/>
    <d v="2008-05-01T00:00:00"/>
    <x v="39"/>
    <x v="5"/>
    <s v="25 CASSANDRA BLVD #304"/>
    <n v="235800"/>
    <n v="487710"/>
    <n v="0.483484038"/>
    <n v="2.0683206106870231"/>
    <x v="0"/>
    <x v="0"/>
    <x v="0"/>
    <x v="5"/>
  </r>
  <r>
    <n v="200080"/>
    <d v="2020-11-05T00:00:00"/>
    <x v="11"/>
    <x v="4"/>
    <d v="2020-11-01T00:00:00"/>
    <x v="40"/>
    <x v="2"/>
    <s v="2 WINTERBERRY RD"/>
    <n v="239550"/>
    <n v="480000"/>
    <n v="0.499"/>
    <n v="2.0037570444583594"/>
    <x v="2"/>
    <x v="0"/>
    <x v="0"/>
    <x v="2"/>
  </r>
  <r>
    <n v="200282"/>
    <d v="2021-07-15T00:00:00"/>
    <x v="4"/>
    <x v="1"/>
    <d v="2021-07-01T00:00:00"/>
    <x v="41"/>
    <x v="1"/>
    <s v="1467 SOUTH       ST"/>
    <n v="359800"/>
    <n v="480000"/>
    <n v="0.74950000000000006"/>
    <n v="1.3340744858254585"/>
    <x v="1"/>
    <x v="1"/>
    <x v="0"/>
    <x v="1"/>
  </r>
  <r>
    <n v="162511"/>
    <d v="2017-09-07T00:00:00"/>
    <x v="10"/>
    <x v="3"/>
    <d v="2017-09-01T00:00:00"/>
    <x v="32"/>
    <x v="8"/>
    <s v="9 SYLVESTERS WAY"/>
    <n v="306950"/>
    <n v="476549"/>
    <n v="0.64411004999999999"/>
    <n v="1.5525297279687245"/>
    <x v="0"/>
    <x v="1"/>
    <x v="0"/>
    <x v="8"/>
  </r>
  <r>
    <n v="200145"/>
    <d v="2021-08-09T00:00:00"/>
    <x v="6"/>
    <x v="1"/>
    <d v="2021-08-01T00:00:00"/>
    <x v="42"/>
    <x v="3"/>
    <s v="82 NILES ROAD"/>
    <n v="238980"/>
    <n v="460000"/>
    <n v="0.51949999999999996"/>
    <n v="1.9248472675537702"/>
    <x v="2"/>
    <x v="1"/>
    <x v="0"/>
    <x v="3"/>
  </r>
  <r>
    <n v="200359"/>
    <d v="2021-03-08T00:00:00"/>
    <x v="9"/>
    <x v="1"/>
    <d v="2021-03-01T00:00:00"/>
    <x v="14"/>
    <x v="9"/>
    <s v="94 NORTH STOWE PLACE"/>
    <n v="256550"/>
    <n v="451000"/>
    <n v="0.56879999999999997"/>
    <n v="1.7579419216526992"/>
    <x v="2"/>
    <x v="1"/>
    <x v="0"/>
    <x v="9"/>
  </r>
  <r>
    <n v="20761"/>
    <d v="2021-05-28T00:00:00"/>
    <x v="3"/>
    <x v="1"/>
    <d v="2021-05-01T00:00:00"/>
    <x v="43"/>
    <x v="3"/>
    <s v="150 GOLD ST"/>
    <n v="212310"/>
    <n v="450000"/>
    <n v="0.4718"/>
    <n v="2.1195421788893598"/>
    <x v="3"/>
    <x v="0"/>
    <x v="0"/>
    <x v="3"/>
  </r>
  <r>
    <n v="201007"/>
    <d v="2021-03-22T00:00:00"/>
    <x v="9"/>
    <x v="1"/>
    <d v="2021-03-01T00:00:00"/>
    <x v="44"/>
    <x v="3"/>
    <s v="29 GREGORY BLVD"/>
    <n v="261800"/>
    <n v="450000"/>
    <n v="0.58169999999999999"/>
    <n v="1.7188693659281895"/>
    <x v="2"/>
    <x v="1"/>
    <x v="0"/>
    <x v="3"/>
  </r>
  <r>
    <n v="202281"/>
    <d v="2021-09-07T00:00:00"/>
    <x v="10"/>
    <x v="1"/>
    <d v="2021-09-01T00:00:00"/>
    <x v="45"/>
    <x v="3"/>
    <s v="108 MULHOLLAND WAY"/>
    <n v="276010"/>
    <n v="443165"/>
    <n v="0.62280000000000002"/>
    <n v="1.6056121155030614"/>
    <x v="2"/>
    <x v="1"/>
    <x v="0"/>
    <x v="3"/>
  </r>
  <r>
    <n v="20360"/>
    <d v="2021-01-22T00:00:00"/>
    <x v="7"/>
    <x v="1"/>
    <d v="2021-01-01T00:00:00"/>
    <x v="33"/>
    <x v="16"/>
    <s v="1301 MAIN ST"/>
    <n v="173670"/>
    <n v="439900"/>
    <n v="0.3947"/>
    <n v="2.5329648183336211"/>
    <x v="1"/>
    <x v="0"/>
    <x v="0"/>
    <x v="16"/>
  </r>
  <r>
    <n v="200552"/>
    <d v="2021-09-23T00:00:00"/>
    <x v="10"/>
    <x v="1"/>
    <d v="2021-09-01T00:00:00"/>
    <x v="46"/>
    <x v="8"/>
    <s v="12 CUTTER DR"/>
    <n v="213100"/>
    <n v="435000"/>
    <n v="0.48980000000000001"/>
    <n v="2.0412951665884562"/>
    <x v="2"/>
    <x v="0"/>
    <x v="0"/>
    <x v="8"/>
  </r>
  <r>
    <n v="20002"/>
    <d v="2020-10-02T00:00:00"/>
    <x v="8"/>
    <x v="4"/>
    <d v="2020-10-01T00:00:00"/>
    <x v="47"/>
    <x v="7"/>
    <s v="390 TURNPIKE RD"/>
    <n v="253000"/>
    <n v="430000"/>
    <n v="0.58830000000000005"/>
    <n v="1.6996047430830039"/>
    <x v="2"/>
    <x v="1"/>
    <x v="0"/>
    <x v="7"/>
  </r>
  <r>
    <n v="60890"/>
    <d v="2007-04-18T00:00:00"/>
    <x v="1"/>
    <x v="8"/>
    <d v="2007-04-01T00:00:00"/>
    <x v="44"/>
    <x v="3"/>
    <s v="33 NORTH WATER ST"/>
    <n v="44653"/>
    <n v="429000"/>
    <n v="0.10408624700000001"/>
    <n v="9.6074171948133387"/>
    <x v="0"/>
    <x v="0"/>
    <x v="0"/>
    <x v="3"/>
  </r>
  <r>
    <n v="162063"/>
    <d v="2017-09-27T00:00:00"/>
    <x v="10"/>
    <x v="3"/>
    <d v="2017-09-01T00:00:00"/>
    <x v="10"/>
    <x v="8"/>
    <s v="101 GROVE STREET G-17"/>
    <n v="8190"/>
    <n v="427500"/>
    <n v="1.9157895000000001E-2"/>
    <n v="52.197802197802197"/>
    <x v="0"/>
    <x v="0"/>
    <x v="0"/>
    <x v="8"/>
  </r>
  <r>
    <n v="200125"/>
    <d v="2021-03-31T00:00:00"/>
    <x v="9"/>
    <x v="1"/>
    <d v="2021-03-01T00:00:00"/>
    <x v="35"/>
    <x v="6"/>
    <s v="35 DEER LA"/>
    <n v="220500"/>
    <n v="425000"/>
    <n v="0.51880000000000004"/>
    <n v="1.9274376417233561"/>
    <x v="2"/>
    <x v="1"/>
    <x v="0"/>
    <x v="6"/>
  </r>
  <r>
    <n v="200236"/>
    <d v="2021-03-18T00:00:00"/>
    <x v="9"/>
    <x v="1"/>
    <d v="2021-03-01T00:00:00"/>
    <x v="8"/>
    <x v="6"/>
    <s v="8 N EDGEWOOD RD"/>
    <n v="238140"/>
    <n v="421000"/>
    <n v="0.56559999999999999"/>
    <n v="1.7678676408835139"/>
    <x v="2"/>
    <x v="1"/>
    <x v="0"/>
    <x v="6"/>
  </r>
  <r>
    <n v="200599"/>
    <d v="2021-07-02T00:00:00"/>
    <x v="4"/>
    <x v="1"/>
    <d v="2021-07-01T00:00:00"/>
    <x v="14"/>
    <x v="9"/>
    <s v="29 WALNUT AVE"/>
    <n v="237440"/>
    <n v="420000"/>
    <n v="0.56530000000000002"/>
    <n v="1.7688679245283019"/>
    <x v="2"/>
    <x v="1"/>
    <x v="0"/>
    <x v="9"/>
  </r>
  <r>
    <n v="200078"/>
    <d v="2021-09-20T00:00:00"/>
    <x v="10"/>
    <x v="1"/>
    <d v="2021-09-01T00:00:00"/>
    <x v="48"/>
    <x v="1"/>
    <s v="6 SUNSET AVE"/>
    <n v="250100"/>
    <n v="418800"/>
    <n v="0.59709999999999996"/>
    <n v="1.67453018792483"/>
    <x v="2"/>
    <x v="1"/>
    <x v="0"/>
    <x v="1"/>
  </r>
  <r>
    <n v="200305"/>
    <d v="2021-01-26T00:00:00"/>
    <x v="7"/>
    <x v="1"/>
    <d v="2021-01-01T00:00:00"/>
    <x v="49"/>
    <x v="6"/>
    <s v="15 SALERNO DR"/>
    <n v="233660"/>
    <n v="410000"/>
    <n v="0.56989999999999996"/>
    <n v="1.7546862963279979"/>
    <x v="2"/>
    <x v="1"/>
    <x v="0"/>
    <x v="6"/>
  </r>
  <r>
    <n v="2001493"/>
    <d v="2021-05-03T00:00:00"/>
    <x v="3"/>
    <x v="1"/>
    <d v="2021-05-01T00:00:00"/>
    <x v="10"/>
    <x v="8"/>
    <s v="18 BUNGALOW PARK"/>
    <n v="238890"/>
    <n v="400000"/>
    <n v="0.59719999999999995"/>
    <n v="1.6744108166938758"/>
    <x v="2"/>
    <x v="1"/>
    <x v="0"/>
    <x v="8"/>
  </r>
  <r>
    <n v="201057"/>
    <d v="2021-08-12T00:00:00"/>
    <x v="6"/>
    <x v="1"/>
    <d v="2021-08-01T00:00:00"/>
    <x v="43"/>
    <x v="3"/>
    <s v="5 ARCH ST"/>
    <n v="264390"/>
    <n v="400000"/>
    <n v="0.66090000000000004"/>
    <n v="1.5129165248307426"/>
    <x v="1"/>
    <x v="1"/>
    <x v="0"/>
    <x v="3"/>
  </r>
  <r>
    <n v="20200824"/>
    <d v="2021-05-03T00:00:00"/>
    <x v="3"/>
    <x v="1"/>
    <d v="2021-05-01T00:00:00"/>
    <x v="24"/>
    <x v="8"/>
    <s v="758A QUINNIPIAC LANE"/>
    <n v="193340"/>
    <n v="395000"/>
    <n v="0.4894"/>
    <n v="2.0430329988621083"/>
    <x v="2"/>
    <x v="0"/>
    <x v="0"/>
    <x v="8"/>
  </r>
  <r>
    <n v="200035"/>
    <d v="2020-10-29T00:00:00"/>
    <x v="8"/>
    <x v="4"/>
    <d v="2020-10-01T00:00:00"/>
    <x v="50"/>
    <x v="1"/>
    <s v="160 SHADBUSH DR"/>
    <n v="223900"/>
    <n v="392000"/>
    <n v="0.57110000000000005"/>
    <n v="1.7507815989280928"/>
    <x v="2"/>
    <x v="1"/>
    <x v="0"/>
    <x v="1"/>
  </r>
  <r>
    <n v="200510"/>
    <d v="2021-09-15T00:00:00"/>
    <x v="10"/>
    <x v="1"/>
    <d v="2021-09-01T00:00:00"/>
    <x v="8"/>
    <x v="6"/>
    <s v="3 CARLISE LN"/>
    <n v="212100"/>
    <n v="390500"/>
    <n v="0.54310000000000003"/>
    <n v="1.8411126826968411"/>
    <x v="2"/>
    <x v="1"/>
    <x v="0"/>
    <x v="6"/>
  </r>
  <r>
    <n v="200074"/>
    <d v="2021-09-01T00:00:00"/>
    <x v="10"/>
    <x v="1"/>
    <d v="2021-09-01T00:00:00"/>
    <x v="51"/>
    <x v="1"/>
    <s v="131 KENT RD"/>
    <n v="246100"/>
    <n v="385000"/>
    <n v="0.63919999999999999"/>
    <n v="1.564404713531085"/>
    <x v="1"/>
    <x v="1"/>
    <x v="0"/>
    <x v="1"/>
  </r>
  <r>
    <n v="200014"/>
    <d v="2020-10-13T00:00:00"/>
    <x v="8"/>
    <x v="4"/>
    <d v="2020-10-01T00:00:00"/>
    <x v="20"/>
    <x v="5"/>
    <s v="233 KENROSE TER"/>
    <n v="245790"/>
    <n v="382000"/>
    <n v="0.64339999999999997"/>
    <n v="1.554172260873103"/>
    <x v="2"/>
    <x v="1"/>
    <x v="0"/>
    <x v="5"/>
  </r>
  <r>
    <n v="200245"/>
    <d v="2021-01-06T00:00:00"/>
    <x v="7"/>
    <x v="1"/>
    <d v="2021-01-01T00:00:00"/>
    <x v="32"/>
    <x v="8"/>
    <s v="172-176 CORAM AVE"/>
    <n v="310660"/>
    <n v="375000"/>
    <n v="0.82840000000000003"/>
    <n v="1.2071074486576965"/>
    <x v="1"/>
    <x v="1"/>
    <x v="0"/>
    <x v="8"/>
  </r>
  <r>
    <n v="162000"/>
    <d v="2017-09-14T00:00:00"/>
    <x v="10"/>
    <x v="3"/>
    <d v="2017-09-01T00:00:00"/>
    <x v="10"/>
    <x v="8"/>
    <s v="61 SEAVIEW AVENUE D-39"/>
    <n v="264700"/>
    <n v="373000"/>
    <n v="0.70965147500000003"/>
    <n v="1.4091424253872309"/>
    <x v="0"/>
    <x v="1"/>
    <x v="0"/>
    <x v="8"/>
  </r>
  <r>
    <n v="200081"/>
    <d v="2020-11-09T00:00:00"/>
    <x v="11"/>
    <x v="4"/>
    <d v="2020-11-01T00:00:00"/>
    <x v="52"/>
    <x v="8"/>
    <s v="2C MILL PONDO LANE"/>
    <n v="270440"/>
    <n v="372000"/>
    <n v="0.72689999999999999"/>
    <n v="1.3755361632894543"/>
    <x v="2"/>
    <x v="1"/>
    <x v="0"/>
    <x v="8"/>
  </r>
  <r>
    <n v="200011"/>
    <d v="2020-10-13T00:00:00"/>
    <x v="8"/>
    <x v="4"/>
    <d v="2020-10-01T00:00:00"/>
    <x v="14"/>
    <x v="9"/>
    <s v="14 WOODLAWN DR"/>
    <n v="183190"/>
    <n v="370000"/>
    <n v="0.49509999999999998"/>
    <n v="2.0197609039794751"/>
    <x v="2"/>
    <x v="0"/>
    <x v="0"/>
    <x v="9"/>
  </r>
  <r>
    <n v="900420"/>
    <d v="2010-09-07T00:00:00"/>
    <x v="10"/>
    <x v="9"/>
    <d v="2010-09-01T00:00:00"/>
    <x v="31"/>
    <x v="15"/>
    <s v="98 BRADFORD WALK"/>
    <n v="265580"/>
    <n v="369900"/>
    <n v="0.71797783199999998"/>
    <n v="1.3928006627005045"/>
    <x v="0"/>
    <x v="1"/>
    <x v="0"/>
    <x v="15"/>
  </r>
  <r>
    <n v="200233"/>
    <d v="2020-12-31T00:00:00"/>
    <x v="0"/>
    <x v="4"/>
    <d v="2020-12-01T00:00:00"/>
    <x v="14"/>
    <x v="9"/>
    <s v="8 TURNER AVE"/>
    <n v="202160"/>
    <n v="365000"/>
    <n v="0.55379999999999996"/>
    <n v="1.8055005935892363"/>
    <x v="2"/>
    <x v="1"/>
    <x v="0"/>
    <x v="9"/>
  </r>
  <r>
    <n v="2000230"/>
    <d v="2021-03-16T00:00:00"/>
    <x v="9"/>
    <x v="1"/>
    <d v="2021-03-01T00:00:00"/>
    <x v="53"/>
    <x v="1"/>
    <s v="50 ABBEY CT"/>
    <n v="210940"/>
    <n v="365000"/>
    <n v="0.57789999999999997"/>
    <n v="1.7303498625201479"/>
    <x v="2"/>
    <x v="1"/>
    <x v="0"/>
    <x v="1"/>
  </r>
  <r>
    <n v="201129"/>
    <d v="2021-08-19T00:00:00"/>
    <x v="6"/>
    <x v="1"/>
    <d v="2021-08-01T00:00:00"/>
    <x v="33"/>
    <x v="16"/>
    <s v="20 GIDDINGS ST"/>
    <n v="114954"/>
    <n v="360000"/>
    <n v="0.31929999999999997"/>
    <n v="3.1316874575917324"/>
    <x v="2"/>
    <x v="0"/>
    <x v="0"/>
    <x v="16"/>
  </r>
  <r>
    <n v="20293"/>
    <d v="2021-06-07T00:00:00"/>
    <x v="2"/>
    <x v="1"/>
    <d v="2021-06-01T00:00:00"/>
    <x v="54"/>
    <x v="10"/>
    <s v="404 PLAINFIELD PIKE RD"/>
    <n v="193560"/>
    <n v="360000"/>
    <n v="0.53759999999999997"/>
    <n v="1.8598884066955983"/>
    <x v="2"/>
    <x v="1"/>
    <x v="0"/>
    <x v="10"/>
  </r>
  <r>
    <n v="200125"/>
    <d v="2021-09-07T00:00:00"/>
    <x v="10"/>
    <x v="1"/>
    <d v="2021-09-01T00:00:00"/>
    <x v="55"/>
    <x v="16"/>
    <s v="167 BIRGE PARK RD"/>
    <n v="194790"/>
    <n v="360000"/>
    <n v="0.54100000000000004"/>
    <n v="1.8481441552441091"/>
    <x v="2"/>
    <x v="1"/>
    <x v="0"/>
    <x v="16"/>
  </r>
  <r>
    <n v="200652"/>
    <d v="2021-06-29T00:00:00"/>
    <x v="2"/>
    <x v="1"/>
    <d v="2021-06-01T00:00:00"/>
    <x v="49"/>
    <x v="6"/>
    <s v="12 KELLY DR"/>
    <n v="203470"/>
    <n v="360000"/>
    <n v="0.56510000000000005"/>
    <n v="1.7693025998918759"/>
    <x v="2"/>
    <x v="1"/>
    <x v="0"/>
    <x v="6"/>
  </r>
  <r>
    <n v="2002299"/>
    <d v="2021-08-04T00:00:00"/>
    <x v="6"/>
    <x v="1"/>
    <d v="2021-08-01T00:00:00"/>
    <x v="10"/>
    <x v="8"/>
    <s v="1400 BEDFORD STREET #4"/>
    <n v="169050"/>
    <n v="355000"/>
    <n v="0.47610000000000002"/>
    <n v="2.0999704229517895"/>
    <x v="2"/>
    <x v="0"/>
    <x v="0"/>
    <x v="8"/>
  </r>
  <r>
    <n v="202876"/>
    <d v="2021-08-18T00:00:00"/>
    <x v="6"/>
    <x v="1"/>
    <d v="2021-08-01T00:00:00"/>
    <x v="44"/>
    <x v="3"/>
    <s v="17 HADIK PKWY"/>
    <n v="256270"/>
    <n v="355000"/>
    <n v="0.7218"/>
    <n v="1.3852577359815819"/>
    <x v="2"/>
    <x v="1"/>
    <x v="0"/>
    <x v="3"/>
  </r>
  <r>
    <n v="200086"/>
    <d v="2021-08-10T00:00:00"/>
    <x v="6"/>
    <x v="1"/>
    <d v="2021-08-01T00:00:00"/>
    <x v="56"/>
    <x v="12"/>
    <s v="39 WOODLAND RD"/>
    <n v="168900"/>
    <n v="352000"/>
    <n v="0.4798"/>
    <n v="2.0840734162226169"/>
    <x v="2"/>
    <x v="0"/>
    <x v="0"/>
    <x v="12"/>
  </r>
  <r>
    <n v="200656"/>
    <d v="2021-04-30T00:00:00"/>
    <x v="1"/>
    <x v="1"/>
    <d v="2021-04-01T00:00:00"/>
    <x v="12"/>
    <x v="3"/>
    <s v="112-116 MAIN ST"/>
    <n v="262300"/>
    <n v="352000"/>
    <n v="0.74509999999999998"/>
    <n v="1.341974837971788"/>
    <x v="1"/>
    <x v="1"/>
    <x v="0"/>
    <x v="3"/>
  </r>
  <r>
    <n v="200210"/>
    <d v="2021-07-12T00:00:00"/>
    <x v="4"/>
    <x v="1"/>
    <d v="2021-07-01T00:00:00"/>
    <x v="57"/>
    <x v="11"/>
    <s v="156 HILLYNDALE RD"/>
    <n v="169400"/>
    <n v="345000"/>
    <n v="0.49099999999999999"/>
    <n v="2.0365997638724913"/>
    <x v="2"/>
    <x v="0"/>
    <x v="0"/>
    <x v="11"/>
  </r>
  <r>
    <n v="2000212"/>
    <d v="2020-10-28T00:00:00"/>
    <x v="8"/>
    <x v="4"/>
    <d v="2020-10-01T00:00:00"/>
    <x v="10"/>
    <x v="8"/>
    <s v="197 BRIDGE STREET # 3"/>
    <n v="199330"/>
    <n v="342500"/>
    <n v="0.58189999999999997"/>
    <n v="1.7182561581297346"/>
    <x v="2"/>
    <x v="1"/>
    <x v="0"/>
    <x v="8"/>
  </r>
  <r>
    <n v="200149"/>
    <d v="2021-07-12T00:00:00"/>
    <x v="4"/>
    <x v="1"/>
    <d v="2021-07-01T00:00:00"/>
    <x v="58"/>
    <x v="9"/>
    <s v="97 TWIN POND RD"/>
    <n v="204000"/>
    <n v="337500"/>
    <n v="0.60440000000000005"/>
    <n v="1.6544117647058822"/>
    <x v="2"/>
    <x v="1"/>
    <x v="0"/>
    <x v="9"/>
  </r>
  <r>
    <n v="20139"/>
    <d v="2020-12-16T00:00:00"/>
    <x v="0"/>
    <x v="4"/>
    <d v="2020-12-01T00:00:00"/>
    <x v="59"/>
    <x v="12"/>
    <s v="16 DEEPWOOD DRIVE"/>
    <n v="171360"/>
    <n v="335000"/>
    <n v="0.51149999999999995"/>
    <n v="1.9549486461251167"/>
    <x v="2"/>
    <x v="1"/>
    <x v="0"/>
    <x v="12"/>
  </r>
  <r>
    <n v="200522"/>
    <d v="2021-03-04T00:00:00"/>
    <x v="9"/>
    <x v="1"/>
    <d v="2021-03-01T00:00:00"/>
    <x v="12"/>
    <x v="3"/>
    <s v="49 WHITE PLAINS RD"/>
    <n v="174400"/>
    <n v="335000"/>
    <n v="0.52049999999999996"/>
    <n v="1.9208715596330275"/>
    <x v="2"/>
    <x v="1"/>
    <x v="0"/>
    <x v="3"/>
  </r>
  <r>
    <n v="200289"/>
    <d v="2020-11-23T00:00:00"/>
    <x v="11"/>
    <x v="4"/>
    <d v="2020-11-01T00:00:00"/>
    <x v="44"/>
    <x v="3"/>
    <s v="188 FLAX HILL RD UNIT B/6"/>
    <n v="173040"/>
    <n v="330000"/>
    <n v="0.52429999999999999"/>
    <n v="1.9070735090152566"/>
    <x v="2"/>
    <x v="1"/>
    <x v="0"/>
    <x v="3"/>
  </r>
  <r>
    <n v="100035"/>
    <d v="2010-11-30T00:00:00"/>
    <x v="11"/>
    <x v="9"/>
    <d v="2010-11-01T00:00:00"/>
    <x v="40"/>
    <x v="2"/>
    <s v="8 PADDOCK LN"/>
    <n v="257040"/>
    <n v="330000"/>
    <n v="0.77890909100000005"/>
    <n v="1.2838468720821663"/>
    <x v="0"/>
    <x v="1"/>
    <x v="0"/>
    <x v="2"/>
  </r>
  <r>
    <n v="200494"/>
    <d v="2021-02-19T00:00:00"/>
    <x v="5"/>
    <x v="1"/>
    <d v="2021-02-01T00:00:00"/>
    <x v="39"/>
    <x v="5"/>
    <s v="82 WHITE AVENUE"/>
    <n v="181720"/>
    <n v="327900"/>
    <n v="0.55410000000000004"/>
    <n v="1.8044243891701519"/>
    <x v="2"/>
    <x v="1"/>
    <x v="0"/>
    <x v="5"/>
  </r>
  <r>
    <n v="2020348"/>
    <d v="2021-09-13T00:00:00"/>
    <x v="10"/>
    <x v="1"/>
    <d v="2021-09-01T00:00:00"/>
    <x v="60"/>
    <x v="7"/>
    <s v="230 WAKELEE AVE"/>
    <n v="150500"/>
    <n v="325000"/>
    <n v="0.46300000000000002"/>
    <n v="2.1594684385382061"/>
    <x v="1"/>
    <x v="0"/>
    <x v="0"/>
    <x v="7"/>
  </r>
  <r>
    <n v="201443"/>
    <d v="2021-09-01T00:00:00"/>
    <x v="10"/>
    <x v="1"/>
    <d v="2021-09-01T00:00:00"/>
    <x v="4"/>
    <x v="4"/>
    <s v="4 COOPER RD"/>
    <n v="158700"/>
    <n v="325000"/>
    <n v="0.48830000000000001"/>
    <n v="2.0478890989287963"/>
    <x v="2"/>
    <x v="0"/>
    <x v="0"/>
    <x v="4"/>
  </r>
  <r>
    <n v="200175"/>
    <d v="2020-10-29T00:00:00"/>
    <x v="8"/>
    <x v="4"/>
    <d v="2020-10-01T00:00:00"/>
    <x v="61"/>
    <x v="11"/>
    <s v="16 SEABREEZE AVE"/>
    <n v="180950"/>
    <n v="325000"/>
    <n v="0.55669999999999997"/>
    <n v="1.7960762641613706"/>
    <x v="2"/>
    <x v="1"/>
    <x v="0"/>
    <x v="11"/>
  </r>
  <r>
    <n v="160717"/>
    <d v="2017-09-01T00:00:00"/>
    <x v="10"/>
    <x v="3"/>
    <d v="2017-09-01T00:00:00"/>
    <x v="62"/>
    <x v="5"/>
    <s v="47 OLDE VILLAGE CIR"/>
    <n v="199400"/>
    <n v="320000"/>
    <n v="0.62312500000000004"/>
    <n v="1.60481444332999"/>
    <x v="0"/>
    <x v="1"/>
    <x v="0"/>
    <x v="5"/>
  </r>
  <r>
    <n v="2000448"/>
    <d v="2021-06-17T00:00:00"/>
    <x v="2"/>
    <x v="1"/>
    <d v="2021-06-01T00:00:00"/>
    <x v="63"/>
    <x v="5"/>
    <s v="938 RIDGE RD"/>
    <n v="158870"/>
    <n v="315000"/>
    <n v="0.50429999999999997"/>
    <n v="1.9827531944357022"/>
    <x v="2"/>
    <x v="1"/>
    <x v="0"/>
    <x v="5"/>
  </r>
  <r>
    <n v="160943"/>
    <d v="2017-05-19T00:00:00"/>
    <x v="3"/>
    <x v="3"/>
    <d v="2017-05-01T00:00:00"/>
    <x v="44"/>
    <x v="3"/>
    <s v="71 AIKEN ST"/>
    <n v="189500"/>
    <n v="313000"/>
    <n v="0.60543130999999994"/>
    <n v="1.6517150395778364"/>
    <x v="0"/>
    <x v="1"/>
    <x v="0"/>
    <x v="3"/>
  </r>
  <r>
    <n v="20492"/>
    <d v="2021-08-19T00:00:00"/>
    <x v="6"/>
    <x v="1"/>
    <d v="2021-08-01T00:00:00"/>
    <x v="54"/>
    <x v="10"/>
    <s v="22 FERNWOOD ST"/>
    <n v="142910"/>
    <n v="310000"/>
    <n v="0.46100000000000002"/>
    <n v="2.1691973969631237"/>
    <x v="2"/>
    <x v="0"/>
    <x v="0"/>
    <x v="10"/>
  </r>
  <r>
    <n v="200700"/>
    <d v="2021-07-13T00:00:00"/>
    <x v="4"/>
    <x v="1"/>
    <d v="2021-07-01T00:00:00"/>
    <x v="49"/>
    <x v="6"/>
    <s v="8 SHANNON DR"/>
    <n v="161590"/>
    <n v="310000"/>
    <n v="0.5212"/>
    <n v="1.9184355467541307"/>
    <x v="2"/>
    <x v="1"/>
    <x v="0"/>
    <x v="6"/>
  </r>
  <r>
    <n v="200038"/>
    <d v="2020-10-09T00:00:00"/>
    <x v="8"/>
    <x v="4"/>
    <d v="2020-10-01T00:00:00"/>
    <x v="64"/>
    <x v="11"/>
    <s v="41 SUNNY LANE"/>
    <n v="209440"/>
    <n v="307000"/>
    <n v="0.68220000000000003"/>
    <n v="1.4658135981665394"/>
    <x v="2"/>
    <x v="1"/>
    <x v="0"/>
    <x v="11"/>
  </r>
  <r>
    <n v="200961"/>
    <d v="2021-07-01T00:00:00"/>
    <x v="4"/>
    <x v="1"/>
    <d v="2021-07-01T00:00:00"/>
    <x v="64"/>
    <x v="11"/>
    <s v="5                    2 ROYAL OAK CIR"/>
    <n v="130340"/>
    <n v="305000"/>
    <n v="0.42730000000000001"/>
    <n v="2.340033757864048"/>
    <x v="2"/>
    <x v="0"/>
    <x v="0"/>
    <x v="11"/>
  </r>
  <r>
    <n v="200557"/>
    <d v="2021-03-12T00:00:00"/>
    <x v="9"/>
    <x v="1"/>
    <d v="2021-03-01T00:00:00"/>
    <x v="39"/>
    <x v="5"/>
    <s v="23 TIMBERWOOD ROAD"/>
    <n v="166670"/>
    <n v="305000"/>
    <n v="0.5464"/>
    <n v="1.8299634007319854"/>
    <x v="2"/>
    <x v="1"/>
    <x v="0"/>
    <x v="5"/>
  </r>
  <r>
    <n v="20014"/>
    <d v="2020-10-06T00:00:00"/>
    <x v="8"/>
    <x v="4"/>
    <d v="2020-10-01T00:00:00"/>
    <x v="27"/>
    <x v="11"/>
    <s v="22 MEADOWVIEW TER"/>
    <n v="189100"/>
    <n v="305000"/>
    <n v="0.62"/>
    <n v="1.6129032258064515"/>
    <x v="2"/>
    <x v="1"/>
    <x v="0"/>
    <x v="11"/>
  </r>
  <r>
    <n v="200376"/>
    <d v="2021-01-04T00:00:00"/>
    <x v="7"/>
    <x v="1"/>
    <d v="2021-01-01T00:00:00"/>
    <x v="39"/>
    <x v="5"/>
    <s v="1838 ASYLUM AVENUE"/>
    <n v="216580"/>
    <n v="305000"/>
    <n v="0.71"/>
    <n v="1.4082556099362822"/>
    <x v="2"/>
    <x v="1"/>
    <x v="0"/>
    <x v="5"/>
  </r>
  <r>
    <n v="201078"/>
    <d v="2020-12-21T00:00:00"/>
    <x v="0"/>
    <x v="4"/>
    <d v="2020-12-01T00:00:00"/>
    <x v="65"/>
    <x v="2"/>
    <s v="22 CROSS RD"/>
    <n v="173040"/>
    <n v="302000"/>
    <n v="0.57289999999999996"/>
    <n v="1.7452612112806287"/>
    <x v="2"/>
    <x v="1"/>
    <x v="0"/>
    <x v="2"/>
  </r>
  <r>
    <n v="200484"/>
    <d v="2021-07-12T00:00:00"/>
    <x v="4"/>
    <x v="1"/>
    <d v="2021-07-01T00:00:00"/>
    <x v="66"/>
    <x v="17"/>
    <s v="90 MONTAUK DR"/>
    <n v="126800"/>
    <n v="300000"/>
    <n v="0.42259999999999998"/>
    <n v="2.3659305993690851"/>
    <x v="2"/>
    <x v="0"/>
    <x v="0"/>
    <x v="17"/>
  </r>
  <r>
    <n v="200354"/>
    <d v="2020-12-29T00:00:00"/>
    <x v="0"/>
    <x v="4"/>
    <d v="2020-12-01T00:00:00"/>
    <x v="67"/>
    <x v="12"/>
    <s v="391 TIFFANY LA"/>
    <n v="173740"/>
    <n v="299000"/>
    <n v="0.58099999999999996"/>
    <n v="1.720962357545758"/>
    <x v="2"/>
    <x v="1"/>
    <x v="0"/>
    <x v="12"/>
  </r>
  <r>
    <n v="161101"/>
    <d v="2017-05-09T00:00:00"/>
    <x v="3"/>
    <x v="3"/>
    <d v="2017-05-01T00:00:00"/>
    <x v="10"/>
    <x v="8"/>
    <s v="511 WEST MAIN STREET # 11"/>
    <n v="180350"/>
    <n v="299000"/>
    <n v="0.60317725799999999"/>
    <n v="1.6578874410867757"/>
    <x v="0"/>
    <x v="1"/>
    <x v="0"/>
    <x v="8"/>
  </r>
  <r>
    <n v="80097"/>
    <d v="2009-03-25T00:00:00"/>
    <x v="9"/>
    <x v="10"/>
    <d v="2009-03-01T00:00:00"/>
    <x v="68"/>
    <x v="6"/>
    <s v="37 FOREST GLEN DR"/>
    <n v="210600"/>
    <n v="299000"/>
    <n v="0.70434782600000001"/>
    <n v="1.4197530864197532"/>
    <x v="0"/>
    <x v="1"/>
    <x v="0"/>
    <x v="6"/>
  </r>
  <r>
    <n v="70355"/>
    <d v="2008-05-19T00:00:00"/>
    <x v="3"/>
    <x v="5"/>
    <d v="2008-05-01T00:00:00"/>
    <x v="62"/>
    <x v="5"/>
    <s v="25 ANGELA DR"/>
    <n v="179830"/>
    <n v="292500"/>
    <n v="0.61480341900000002"/>
    <n v="1.6265361730523271"/>
    <x v="0"/>
    <x v="1"/>
    <x v="0"/>
    <x v="5"/>
  </r>
  <r>
    <n v="200046"/>
    <d v="2020-12-14T00:00:00"/>
    <x v="0"/>
    <x v="4"/>
    <d v="2020-12-01T00:00:00"/>
    <x v="58"/>
    <x v="9"/>
    <s v="3 BRADLEY WAY"/>
    <n v="133210"/>
    <n v="289900"/>
    <n v="0.45950000000000002"/>
    <n v="2.1762630433150663"/>
    <x v="2"/>
    <x v="0"/>
    <x v="0"/>
    <x v="9"/>
  </r>
  <r>
    <n v="20200070"/>
    <d v="2021-04-08T00:00:00"/>
    <x v="1"/>
    <x v="1"/>
    <d v="2021-04-01T00:00:00"/>
    <x v="38"/>
    <x v="8"/>
    <s v="101 MILLERTON RD"/>
    <n v="170200"/>
    <n v="287000"/>
    <n v="0.59299999999999997"/>
    <n v="1.6862514688601644"/>
    <x v="2"/>
    <x v="1"/>
    <x v="0"/>
    <x v="8"/>
  </r>
  <r>
    <n v="200709"/>
    <d v="2021-04-16T00:00:00"/>
    <x v="1"/>
    <x v="1"/>
    <d v="2021-04-01T00:00:00"/>
    <x v="18"/>
    <x v="11"/>
    <s v="152 GREEN ROAD"/>
    <n v="138100"/>
    <n v="282500"/>
    <n v="0.48884955800000002"/>
    <n v="2.0456191165821869"/>
    <x v="2"/>
    <x v="0"/>
    <x v="0"/>
    <x v="11"/>
  </r>
  <r>
    <n v="200117"/>
    <d v="2021-04-12T00:00:00"/>
    <x v="1"/>
    <x v="1"/>
    <d v="2021-04-01T00:00:00"/>
    <x v="69"/>
    <x v="1"/>
    <s v="52 COUNTRY LANE"/>
    <n v="160850"/>
    <n v="280000"/>
    <n v="0.57440000000000002"/>
    <n v="1.7407522536524713"/>
    <x v="2"/>
    <x v="1"/>
    <x v="0"/>
    <x v="1"/>
  </r>
  <r>
    <n v="90472"/>
    <d v="2010-06-02T00:00:00"/>
    <x v="2"/>
    <x v="9"/>
    <d v="2010-06-01T00:00:00"/>
    <x v="36"/>
    <x v="15"/>
    <s v="245 SUNNYRIDGE AVENUE UNIT#16"/>
    <n v="220920"/>
    <n v="280000"/>
    <n v="0.78900000000000003"/>
    <n v="1.267427122940431"/>
    <x v="0"/>
    <x v="1"/>
    <x v="0"/>
    <x v="15"/>
  </r>
  <r>
    <n v="20899"/>
    <d v="2021-06-21T00:00:00"/>
    <x v="2"/>
    <x v="1"/>
    <d v="2021-06-01T00:00:00"/>
    <x v="33"/>
    <x v="16"/>
    <s v="159 RUSS ST"/>
    <n v="137270"/>
    <n v="278500"/>
    <n v="0.49280000000000002"/>
    <n v="2.0288482552633496"/>
    <x v="3"/>
    <x v="0"/>
    <x v="0"/>
    <x v="16"/>
  </r>
  <r>
    <n v="160197"/>
    <d v="2016-11-01T00:00:00"/>
    <x v="11"/>
    <x v="0"/>
    <d v="2016-11-01T00:00:00"/>
    <x v="10"/>
    <x v="8"/>
    <s v="300 BROAD STREET # 502"/>
    <n v="143650"/>
    <n v="278000"/>
    <n v="0.51672661900000005"/>
    <n v="1.9352593108249216"/>
    <x v="0"/>
    <x v="1"/>
    <x v="0"/>
    <x v="8"/>
  </r>
  <r>
    <n v="2000327"/>
    <d v="2021-03-03T00:00:00"/>
    <x v="9"/>
    <x v="1"/>
    <d v="2021-03-01T00:00:00"/>
    <x v="70"/>
    <x v="3"/>
    <s v="31 PILGRIM LN"/>
    <n v="157810"/>
    <n v="276500"/>
    <n v="0.57069999999999999"/>
    <n v="1.7521069640707179"/>
    <x v="2"/>
    <x v="1"/>
    <x v="0"/>
    <x v="3"/>
  </r>
  <r>
    <n v="20200059"/>
    <d v="2020-10-13T00:00:00"/>
    <x v="8"/>
    <x v="4"/>
    <d v="2020-10-01T00:00:00"/>
    <x v="24"/>
    <x v="8"/>
    <s v="653B OSAGE LANE"/>
    <n v="156380"/>
    <n v="276000"/>
    <n v="0.5665"/>
    <n v="1.7649315769279958"/>
    <x v="2"/>
    <x v="1"/>
    <x v="0"/>
    <x v="8"/>
  </r>
  <r>
    <n v="90042"/>
    <d v="2009-10-20T00:00:00"/>
    <x v="8"/>
    <x v="10"/>
    <d v="2009-10-01T00:00:00"/>
    <x v="71"/>
    <x v="16"/>
    <s v="1151 WHITNEY AVE UB4"/>
    <n v="219870"/>
    <n v="275000"/>
    <n v="0.79952727300000004"/>
    <n v="1.2507390730886432"/>
    <x v="0"/>
    <x v="1"/>
    <x v="0"/>
    <x v="16"/>
  </r>
  <r>
    <n v="90113"/>
    <d v="2009-12-03T00:00:00"/>
    <x v="0"/>
    <x v="10"/>
    <d v="2009-12-01T00:00:00"/>
    <x v="66"/>
    <x v="17"/>
    <s v="13 LANTERN LN"/>
    <n v="176220"/>
    <n v="270000"/>
    <n v="0.65266666699999998"/>
    <n v="1.5321756894790604"/>
    <x v="0"/>
    <x v="1"/>
    <x v="0"/>
    <x v="17"/>
  </r>
  <r>
    <n v="200025"/>
    <d v="2020-10-20T00:00:00"/>
    <x v="8"/>
    <x v="4"/>
    <d v="2020-10-01T00:00:00"/>
    <x v="72"/>
    <x v="8"/>
    <s v="930 BRANCH RD"/>
    <n v="159180"/>
    <n v="261000"/>
    <n v="0.60980000000000001"/>
    <n v="1.6396532227666791"/>
    <x v="2"/>
    <x v="1"/>
    <x v="0"/>
    <x v="8"/>
  </r>
  <r>
    <n v="201245"/>
    <d v="2021-09-14T00:00:00"/>
    <x v="10"/>
    <x v="1"/>
    <d v="2021-09-01T00:00:00"/>
    <x v="64"/>
    <x v="11"/>
    <s v="223 REYNOLDS DR"/>
    <n v="128170"/>
    <n v="260000"/>
    <n v="0.4929"/>
    <n v="2.0285558242958572"/>
    <x v="2"/>
    <x v="0"/>
    <x v="0"/>
    <x v="11"/>
  </r>
  <r>
    <n v="200408"/>
    <d v="2020-12-24T00:00:00"/>
    <x v="0"/>
    <x v="4"/>
    <d v="2020-12-01T00:00:00"/>
    <x v="4"/>
    <x v="4"/>
    <s v="15 SCUPPO RD 1503"/>
    <n v="130800"/>
    <n v="260000"/>
    <n v="0.503"/>
    <n v="1.9877675840978593"/>
    <x v="2"/>
    <x v="1"/>
    <x v="0"/>
    <x v="4"/>
  </r>
  <r>
    <n v="10037"/>
    <d v="2010-11-18T00:00:00"/>
    <x v="11"/>
    <x v="9"/>
    <d v="2010-11-01T00:00:00"/>
    <x v="73"/>
    <x v="11"/>
    <s v="5B YANKEE GLEN DRIVE"/>
    <n v="203600"/>
    <n v="260000"/>
    <n v="0.78307692299999998"/>
    <n v="1.2770137524557956"/>
    <x v="0"/>
    <x v="1"/>
    <x v="0"/>
    <x v="11"/>
  </r>
  <r>
    <n v="2000513"/>
    <d v="2021-07-20T00:00:00"/>
    <x v="4"/>
    <x v="1"/>
    <d v="2021-07-01T00:00:00"/>
    <x v="63"/>
    <x v="5"/>
    <s v="215 NOTT ST"/>
    <n v="144050"/>
    <n v="257500"/>
    <n v="0.55940000000000001"/>
    <n v="1.7875737591114196"/>
    <x v="2"/>
    <x v="1"/>
    <x v="0"/>
    <x v="5"/>
  </r>
  <r>
    <n v="20118"/>
    <d v="2021-09-30T00:00:00"/>
    <x v="10"/>
    <x v="1"/>
    <d v="2021-09-01T00:00:00"/>
    <x v="74"/>
    <x v="8"/>
    <s v="174 CHURCH ST"/>
    <n v="92890"/>
    <n v="255000"/>
    <n v="0.36420000000000002"/>
    <n v="2.7451824738938528"/>
    <x v="2"/>
    <x v="0"/>
    <x v="0"/>
    <x v="8"/>
  </r>
  <r>
    <n v="170178"/>
    <d v="2017-12-20T00:00:00"/>
    <x v="0"/>
    <x v="3"/>
    <d v="2017-12-01T00:00:00"/>
    <x v="16"/>
    <x v="3"/>
    <s v="95 AUDUBON ST UNIT 38"/>
    <n v="169400"/>
    <n v="252500"/>
    <n v="0.67089108900000005"/>
    <n v="1.4905548996458087"/>
    <x v="0"/>
    <x v="1"/>
    <x v="0"/>
    <x v="3"/>
  </r>
  <r>
    <n v="200002"/>
    <d v="2020-10-01T00:00:00"/>
    <x v="8"/>
    <x v="4"/>
    <d v="2020-10-01T00:00:00"/>
    <x v="52"/>
    <x v="8"/>
    <s v="24 BRETTONWOOD DRIVE"/>
    <n v="186610"/>
    <n v="252000"/>
    <n v="0.74050000000000005"/>
    <n v="1.3504099458764267"/>
    <x v="2"/>
    <x v="1"/>
    <x v="0"/>
    <x v="8"/>
  </r>
  <r>
    <n v="2000381"/>
    <d v="2021-09-13T00:00:00"/>
    <x v="10"/>
    <x v="1"/>
    <d v="2021-09-01T00:00:00"/>
    <x v="75"/>
    <x v="12"/>
    <s v="9 SADDLE RIDGE"/>
    <n v="163730"/>
    <n v="250000"/>
    <n v="0.65490000000000004"/>
    <n v="1.5269040493495389"/>
    <x v="2"/>
    <x v="1"/>
    <x v="0"/>
    <x v="12"/>
  </r>
  <r>
    <n v="201295"/>
    <d v="2021-09-09T00:00:00"/>
    <x v="10"/>
    <x v="1"/>
    <d v="2021-09-01T00:00:00"/>
    <x v="67"/>
    <x v="12"/>
    <s v="609 CAMP ST"/>
    <n v="144340"/>
    <n v="249900"/>
    <n v="0.57750000000000001"/>
    <n v="1.7313288069835111"/>
    <x v="2"/>
    <x v="1"/>
    <x v="0"/>
    <x v="12"/>
  </r>
  <r>
    <n v="20565"/>
    <d v="2021-03-29T00:00:00"/>
    <x v="9"/>
    <x v="1"/>
    <d v="2021-03-01T00:00:00"/>
    <x v="33"/>
    <x v="16"/>
    <s v="31 EATON ST"/>
    <n v="61915"/>
    <n v="249000"/>
    <n v="0.24859999999999999"/>
    <n v="4.021642574497295"/>
    <x v="2"/>
    <x v="0"/>
    <x v="0"/>
    <x v="16"/>
  </r>
  <r>
    <n v="70113"/>
    <d v="2007-12-10T00:00:00"/>
    <x v="0"/>
    <x v="8"/>
    <d v="2007-12-01T00:00:00"/>
    <x v="76"/>
    <x v="3"/>
    <s v="6 MALLARD LN"/>
    <n v="175770"/>
    <n v="248000"/>
    <n v="0.70874999999999999"/>
    <n v="1.4109347442680775"/>
    <x v="0"/>
    <x v="1"/>
    <x v="0"/>
    <x v="3"/>
  </r>
  <r>
    <n v="200537"/>
    <d v="2021-05-21T00:00:00"/>
    <x v="3"/>
    <x v="1"/>
    <d v="2021-05-01T00:00:00"/>
    <x v="49"/>
    <x v="6"/>
    <s v="104 BREWSTER RD"/>
    <n v="117380"/>
    <n v="245000"/>
    <n v="0.47910000000000003"/>
    <n v="2.0872380303288467"/>
    <x v="2"/>
    <x v="0"/>
    <x v="0"/>
    <x v="6"/>
  </r>
  <r>
    <n v="200101"/>
    <d v="2021-01-07T00:00:00"/>
    <x v="7"/>
    <x v="1"/>
    <d v="2021-01-01T00:00:00"/>
    <x v="41"/>
    <x v="1"/>
    <s v="74 LAKEVIEW DR"/>
    <n v="142800"/>
    <n v="245000"/>
    <n v="0.58279999999999998"/>
    <n v="1.7156862745098038"/>
    <x v="2"/>
    <x v="1"/>
    <x v="0"/>
    <x v="1"/>
  </r>
  <r>
    <n v="70258"/>
    <d v="2007-12-31T00:00:00"/>
    <x v="0"/>
    <x v="8"/>
    <d v="2007-12-01T00:00:00"/>
    <x v="77"/>
    <x v="5"/>
    <s v="24 WOODBURY LN"/>
    <n v="171700"/>
    <n v="244000"/>
    <n v="0.70368852500000001"/>
    <n v="1.4210832847990682"/>
    <x v="0"/>
    <x v="1"/>
    <x v="0"/>
    <x v="5"/>
  </r>
  <r>
    <n v="17128"/>
    <d v="2018-04-13T00:00:00"/>
    <x v="1"/>
    <x v="2"/>
    <d v="2018-04-01T00:00:00"/>
    <x v="78"/>
    <x v="4"/>
    <s v="54 GIDEON LANE"/>
    <n v="132650"/>
    <n v="241368"/>
    <n v="0.54949999999999999"/>
    <n v="1.8195853750471165"/>
    <x v="0"/>
    <x v="1"/>
    <x v="0"/>
    <x v="4"/>
  </r>
  <r>
    <n v="200264"/>
    <d v="2021-06-10T00:00:00"/>
    <x v="2"/>
    <x v="1"/>
    <d v="2021-06-01T00:00:00"/>
    <x v="79"/>
    <x v="3"/>
    <s v="10 BROOK DR"/>
    <n v="107500"/>
    <n v="240000"/>
    <n v="0.44790000000000002"/>
    <n v="2.2325581395348837"/>
    <x v="2"/>
    <x v="0"/>
    <x v="0"/>
    <x v="3"/>
  </r>
  <r>
    <n v="200226"/>
    <d v="2020-12-18T00:00:00"/>
    <x v="0"/>
    <x v="4"/>
    <d v="2020-12-01T00:00:00"/>
    <x v="49"/>
    <x v="6"/>
    <s v="106 RAFFIA RD"/>
    <n v="145570"/>
    <n v="240000"/>
    <n v="0.60650000000000004"/>
    <n v="1.6486913512399533"/>
    <x v="2"/>
    <x v="1"/>
    <x v="0"/>
    <x v="6"/>
  </r>
  <r>
    <n v="200886"/>
    <d v="2021-05-03T00:00:00"/>
    <x v="3"/>
    <x v="1"/>
    <d v="2021-05-01T00:00:00"/>
    <x v="4"/>
    <x v="4"/>
    <s v="86 MERRIMAC ST B"/>
    <n v="189800"/>
    <n v="240000"/>
    <n v="0.79079999999999995"/>
    <n v="1.2644889357218125"/>
    <x v="2"/>
    <x v="1"/>
    <x v="0"/>
    <x v="4"/>
  </r>
  <r>
    <n v="90695"/>
    <d v="2010-06-30T00:00:00"/>
    <x v="2"/>
    <x v="9"/>
    <d v="2010-06-01T00:00:00"/>
    <x v="44"/>
    <x v="3"/>
    <s v="310 ELY AVE H"/>
    <n v="45757"/>
    <n v="239900"/>
    <n v="0.19073363900000001"/>
    <n v="5.2429136525558935"/>
    <x v="0"/>
    <x v="0"/>
    <x v="0"/>
    <x v="3"/>
  </r>
  <r>
    <n v="90073"/>
    <d v="2009-11-25T00:00:00"/>
    <x v="11"/>
    <x v="10"/>
    <d v="2009-11-01T00:00:00"/>
    <x v="80"/>
    <x v="5"/>
    <s v="13 LAST LEAF CIR"/>
    <n v="111300"/>
    <n v="238521"/>
    <n v="0.46662557999999998"/>
    <n v="2.143045822102426"/>
    <x v="0"/>
    <x v="0"/>
    <x v="0"/>
    <x v="5"/>
  </r>
  <r>
    <n v="201133"/>
    <d v="2021-09-02T00:00:00"/>
    <x v="10"/>
    <x v="1"/>
    <d v="2021-09-01T00:00:00"/>
    <x v="43"/>
    <x v="3"/>
    <s v="103 LEWIS RD"/>
    <n v="123480"/>
    <n v="235000"/>
    <n v="0.52539999999999998"/>
    <n v="1.9031422092646582"/>
    <x v="2"/>
    <x v="1"/>
    <x v="0"/>
    <x v="3"/>
  </r>
  <r>
    <n v="200207"/>
    <d v="2021-06-10T00:00:00"/>
    <x v="2"/>
    <x v="1"/>
    <d v="2021-06-01T00:00:00"/>
    <x v="0"/>
    <x v="0"/>
    <s v="402 THE MEWS"/>
    <n v="120890"/>
    <n v="234900"/>
    <n v="0.51459999999999995"/>
    <n v="1.9430887583753826"/>
    <x v="2"/>
    <x v="1"/>
    <x v="0"/>
    <x v="0"/>
  </r>
  <r>
    <n v="200938"/>
    <d v="2021-05-13T00:00:00"/>
    <x v="3"/>
    <x v="1"/>
    <d v="2021-05-01T00:00:00"/>
    <x v="4"/>
    <x v="4"/>
    <s v="15-17 BOUGHTON ST #1-5"/>
    <n v="118900"/>
    <n v="230000"/>
    <n v="0.51690000000000003"/>
    <n v="1.9343986543313709"/>
    <x v="2"/>
    <x v="1"/>
    <x v="0"/>
    <x v="4"/>
  </r>
  <r>
    <n v="100002"/>
    <d v="2010-10-04T00:00:00"/>
    <x v="8"/>
    <x v="9"/>
    <d v="2010-10-01T00:00:00"/>
    <x v="22"/>
    <x v="12"/>
    <s v="4C EDGEWATER"/>
    <n v="184500"/>
    <n v="230000"/>
    <n v="0.80217391299999996"/>
    <n v="1.2466124661246611"/>
    <x v="0"/>
    <x v="1"/>
    <x v="0"/>
    <x v="12"/>
  </r>
  <r>
    <n v="20059"/>
    <d v="2021-02-18T00:00:00"/>
    <x v="5"/>
    <x v="1"/>
    <d v="2021-02-01T00:00:00"/>
    <x v="81"/>
    <x v="18"/>
    <s v="54 FIRST ST"/>
    <n v="121510"/>
    <n v="229900"/>
    <n v="0.52849999999999997"/>
    <n v="1.8920253477080076"/>
    <x v="2"/>
    <x v="1"/>
    <x v="0"/>
    <x v="18"/>
  </r>
  <r>
    <n v="70052"/>
    <d v="2007-10-12T00:00:00"/>
    <x v="8"/>
    <x v="8"/>
    <d v="2007-10-01T00:00:00"/>
    <x v="16"/>
    <x v="3"/>
    <s v="916 QUINNIPIAC AVE #31"/>
    <n v="161700"/>
    <n v="227000"/>
    <n v="0.71233480199999999"/>
    <n v="1.4038342609771182"/>
    <x v="0"/>
    <x v="1"/>
    <x v="0"/>
    <x v="3"/>
  </r>
  <r>
    <n v="200374"/>
    <d v="2021-05-18T00:00:00"/>
    <x v="3"/>
    <x v="1"/>
    <d v="2021-05-01T00:00:00"/>
    <x v="66"/>
    <x v="17"/>
    <s v="27 TRACY DRIVE"/>
    <n v="129190"/>
    <n v="226800"/>
    <n v="0.5696"/>
    <n v="1.7555538354361793"/>
    <x v="2"/>
    <x v="1"/>
    <x v="0"/>
    <x v="17"/>
  </r>
  <r>
    <n v="200106"/>
    <d v="2020-11-02T00:00:00"/>
    <x v="11"/>
    <x v="4"/>
    <d v="2020-11-01T00:00:00"/>
    <x v="82"/>
    <x v="9"/>
    <s v="2651 TORRINGFORD W ST"/>
    <n v="126570"/>
    <n v="225005"/>
    <n v="0.5625"/>
    <n v="1.7777119380579915"/>
    <x v="2"/>
    <x v="1"/>
    <x v="0"/>
    <x v="9"/>
  </r>
  <r>
    <n v="160452"/>
    <d v="2017-09-11T00:00:00"/>
    <x v="10"/>
    <x v="3"/>
    <d v="2017-09-01T00:00:00"/>
    <x v="0"/>
    <x v="0"/>
    <s v="37 ROSE COURT"/>
    <n v="145950"/>
    <n v="225000"/>
    <n v="0.64866666699999997"/>
    <n v="1.5416238437821173"/>
    <x v="0"/>
    <x v="1"/>
    <x v="0"/>
    <x v="0"/>
  </r>
  <r>
    <n v="20086"/>
    <d v="2020-10-22T00:00:00"/>
    <x v="8"/>
    <x v="4"/>
    <d v="2020-10-01T00:00:00"/>
    <x v="43"/>
    <x v="3"/>
    <s v="23 PARKMORE ST"/>
    <n v="122220"/>
    <n v="223000"/>
    <n v="0.54800000000000004"/>
    <n v="1.82457862870234"/>
    <x v="2"/>
    <x v="1"/>
    <x v="0"/>
    <x v="3"/>
  </r>
  <r>
    <n v="20102"/>
    <d v="2020-12-09T00:00:00"/>
    <x v="0"/>
    <x v="4"/>
    <d v="2020-12-01T00:00:00"/>
    <x v="83"/>
    <x v="5"/>
    <s v="12 CHARLES ST"/>
    <n v="127000"/>
    <n v="223000"/>
    <n v="0.56950000000000001"/>
    <n v="1.7559055118110236"/>
    <x v="2"/>
    <x v="1"/>
    <x v="0"/>
    <x v="5"/>
  </r>
  <r>
    <n v="20614"/>
    <d v="2021-04-08T00:00:00"/>
    <x v="1"/>
    <x v="1"/>
    <d v="2021-04-01T00:00:00"/>
    <x v="33"/>
    <x v="16"/>
    <s v="55 STERLING ST"/>
    <n v="52500"/>
    <n v="220000"/>
    <n v="0.23860000000000001"/>
    <n v="4.1904761904761907"/>
    <x v="2"/>
    <x v="0"/>
    <x v="0"/>
    <x v="16"/>
  </r>
  <r>
    <n v="200179"/>
    <d v="2021-06-22T00:00:00"/>
    <x v="2"/>
    <x v="1"/>
    <d v="2021-06-01T00:00:00"/>
    <x v="84"/>
    <x v="10"/>
    <s v="724 GLASTONBURY TPKE"/>
    <n v="134750"/>
    <n v="220000"/>
    <n v="0.61250000000000004"/>
    <n v="1.6326530612244898"/>
    <x v="2"/>
    <x v="1"/>
    <x v="0"/>
    <x v="10"/>
  </r>
  <r>
    <n v="70073"/>
    <d v="2008-03-14T00:00:00"/>
    <x v="9"/>
    <x v="5"/>
    <d v="2008-03-01T00:00:00"/>
    <x v="69"/>
    <x v="1"/>
    <s v="8 BROOKVIEW CIRCLE"/>
    <n v="126000"/>
    <n v="217500"/>
    <n v="0.579310345"/>
    <n v="1.7261904761904763"/>
    <x v="0"/>
    <x v="1"/>
    <x v="0"/>
    <x v="1"/>
  </r>
  <r>
    <n v="202611"/>
    <d v="2021-07-06T00:00:00"/>
    <x v="4"/>
    <x v="1"/>
    <d v="2021-07-01T00:00:00"/>
    <x v="44"/>
    <x v="3"/>
    <s v="126 WASHINGTON ST UNIT R203"/>
    <n v="144380"/>
    <n v="217500"/>
    <n v="0.66379999999999995"/>
    <n v="1.506441335365009"/>
    <x v="2"/>
    <x v="1"/>
    <x v="0"/>
    <x v="3"/>
  </r>
  <r>
    <n v="160773"/>
    <d v="2017-06-19T00:00:00"/>
    <x v="2"/>
    <x v="3"/>
    <d v="2017-06-01T00:00:00"/>
    <x v="24"/>
    <x v="8"/>
    <s v="30A HAPPY HOLLOW CIR"/>
    <n v="153230"/>
    <n v="215000"/>
    <n v="0.71269767399999995"/>
    <n v="1.4031194935717548"/>
    <x v="0"/>
    <x v="1"/>
    <x v="0"/>
    <x v="8"/>
  </r>
  <r>
    <n v="201440"/>
    <d v="2021-09-15T00:00:00"/>
    <x v="10"/>
    <x v="1"/>
    <d v="2021-09-01T00:00:00"/>
    <x v="16"/>
    <x v="3"/>
    <s v="889 CONGRESS AV"/>
    <n v="80150"/>
    <n v="214000"/>
    <n v="0.3745"/>
    <n v="2.6699937616968183"/>
    <x v="2"/>
    <x v="0"/>
    <x v="0"/>
    <x v="3"/>
  </r>
  <r>
    <n v="90002"/>
    <d v="2009-10-01T00:00:00"/>
    <x v="8"/>
    <x v="10"/>
    <d v="2009-10-01T00:00:00"/>
    <x v="82"/>
    <x v="9"/>
    <s v="144 MILL LN #144"/>
    <n v="150710"/>
    <n v="210000"/>
    <n v="0.71766666700000004"/>
    <n v="1.3934045517882026"/>
    <x v="0"/>
    <x v="1"/>
    <x v="0"/>
    <x v="9"/>
  </r>
  <r>
    <n v="20064"/>
    <d v="2021-08-31T00:00:00"/>
    <x v="6"/>
    <x v="1"/>
    <d v="2021-08-01T00:00:00"/>
    <x v="85"/>
    <x v="15"/>
    <s v="888 ROUTE 32"/>
    <n v="186770"/>
    <n v="209000"/>
    <n v="0.89359999999999995"/>
    <n v="1.1190233977619533"/>
    <x v="1"/>
    <x v="1"/>
    <x v="0"/>
    <x v="15"/>
  </r>
  <r>
    <n v="70280"/>
    <d v="2008-07-21T00:00:00"/>
    <x v="4"/>
    <x v="5"/>
    <d v="2008-07-01T00:00:00"/>
    <x v="53"/>
    <x v="1"/>
    <s v="12 FAIRWAY DR"/>
    <n v="98180"/>
    <n v="204900"/>
    <n v="0.47916056600000001"/>
    <n v="2.0869830922794868"/>
    <x v="0"/>
    <x v="0"/>
    <x v="0"/>
    <x v="1"/>
  </r>
  <r>
    <n v="2000330"/>
    <d v="2021-05-20T00:00:00"/>
    <x v="3"/>
    <x v="1"/>
    <d v="2021-05-01T00:00:00"/>
    <x v="53"/>
    <x v="1"/>
    <s v="844 HIGHLAND AVE"/>
    <n v="144220"/>
    <n v="204000"/>
    <n v="0.70689999999999997"/>
    <n v="1.4145056164193592"/>
    <x v="2"/>
    <x v="1"/>
    <x v="0"/>
    <x v="1"/>
  </r>
  <r>
    <n v="20135"/>
    <d v="2021-01-21T00:00:00"/>
    <x v="7"/>
    <x v="1"/>
    <d v="2021-01-01T00:00:00"/>
    <x v="54"/>
    <x v="10"/>
    <s v="30-32 GREENE AVE"/>
    <n v="98580"/>
    <n v="200000"/>
    <n v="0.4929"/>
    <n v="2.028809089064719"/>
    <x v="2"/>
    <x v="0"/>
    <x v="0"/>
    <x v="10"/>
  </r>
  <r>
    <n v="161187"/>
    <d v="2017-07-14T00:00:00"/>
    <x v="4"/>
    <x v="3"/>
    <d v="2017-07-01T00:00:00"/>
    <x v="44"/>
    <x v="3"/>
    <s v="25 GRAND ST"/>
    <n v="143240"/>
    <n v="200000"/>
    <n v="0.71619999999999995"/>
    <n v="1.3962580284836639"/>
    <x v="0"/>
    <x v="1"/>
    <x v="0"/>
    <x v="3"/>
  </r>
  <r>
    <n v="200052"/>
    <d v="2020-11-16T00:00:00"/>
    <x v="11"/>
    <x v="4"/>
    <d v="2020-11-01T00:00:00"/>
    <x v="86"/>
    <x v="18"/>
    <s v="68 BEACH ST"/>
    <n v="149570"/>
    <n v="200000"/>
    <n v="0.74780000000000002"/>
    <n v="1.3371665440930669"/>
    <x v="2"/>
    <x v="1"/>
    <x v="0"/>
    <x v="18"/>
  </r>
  <r>
    <n v="170327"/>
    <d v="2018-04-18T00:00:00"/>
    <x v="1"/>
    <x v="2"/>
    <d v="2018-04-01T00:00:00"/>
    <x v="49"/>
    <x v="6"/>
    <s v="95 LAURELS B20UD"/>
    <n v="124660"/>
    <n v="196000"/>
    <n v="0.63600000000000001"/>
    <n v="1.5722765923311408"/>
    <x v="0"/>
    <x v="1"/>
    <x v="0"/>
    <x v="6"/>
  </r>
  <r>
    <n v="2000857"/>
    <d v="2021-01-21T00:00:00"/>
    <x v="7"/>
    <x v="1"/>
    <d v="2021-01-01T00:00:00"/>
    <x v="10"/>
    <x v="8"/>
    <s v="0 SUMMER STREET #116-2A"/>
    <n v="109420"/>
    <n v="195000"/>
    <n v="0.56110000000000004"/>
    <n v="1.7821239261560957"/>
    <x v="2"/>
    <x v="1"/>
    <x v="0"/>
    <x v="8"/>
  </r>
  <r>
    <n v="2000296"/>
    <d v="2021-02-12T00:00:00"/>
    <x v="5"/>
    <x v="1"/>
    <d v="2021-02-01T00:00:00"/>
    <x v="70"/>
    <x v="3"/>
    <s v="464 MULBERRY ST"/>
    <n v="114660"/>
    <n v="195000"/>
    <n v="0.58799999999999997"/>
    <n v="1.7006802721088434"/>
    <x v="2"/>
    <x v="1"/>
    <x v="0"/>
    <x v="3"/>
  </r>
  <r>
    <n v="900039"/>
    <d v="2009-11-19T00:00:00"/>
    <x v="11"/>
    <x v="10"/>
    <d v="2009-11-01T00:00:00"/>
    <x v="0"/>
    <x v="0"/>
    <s v="8 BUTTERNIUT LANE"/>
    <n v="138950"/>
    <n v="195000"/>
    <n v="0.71256410299999995"/>
    <n v="1.4033825116948542"/>
    <x v="0"/>
    <x v="1"/>
    <x v="0"/>
    <x v="0"/>
  </r>
  <r>
    <n v="2000022"/>
    <d v="2020-10-13T00:00:00"/>
    <x v="8"/>
    <x v="4"/>
    <d v="2020-10-01T00:00:00"/>
    <x v="70"/>
    <x v="3"/>
    <s v="41 ANDERSON ST"/>
    <n v="108070"/>
    <n v="193500"/>
    <n v="0.5585"/>
    <n v="1.7905061534190803"/>
    <x v="2"/>
    <x v="1"/>
    <x v="0"/>
    <x v="3"/>
  </r>
  <r>
    <n v="200010"/>
    <d v="2020-10-22T00:00:00"/>
    <x v="8"/>
    <x v="4"/>
    <d v="2020-10-01T00:00:00"/>
    <x v="0"/>
    <x v="0"/>
    <s v="59 HIGHCREST DRIVE"/>
    <n v="128870"/>
    <n v="193000"/>
    <n v="0.66769999999999996"/>
    <n v="1.4976332738418561"/>
    <x v="2"/>
    <x v="1"/>
    <x v="0"/>
    <x v="0"/>
  </r>
  <r>
    <n v="201176"/>
    <d v="2021-03-09T00:00:00"/>
    <x v="9"/>
    <x v="1"/>
    <d v="2021-03-01T00:00:00"/>
    <x v="3"/>
    <x v="3"/>
    <s v="400 BANK ST UNIT 201"/>
    <n v="165550"/>
    <n v="191000"/>
    <n v="0.86670000000000003"/>
    <n v="1.1537299909392933"/>
    <x v="2"/>
    <x v="1"/>
    <x v="0"/>
    <x v="3"/>
  </r>
  <r>
    <n v="200419"/>
    <d v="2021-02-04T00:00:00"/>
    <x v="5"/>
    <x v="1"/>
    <d v="2021-02-01T00:00:00"/>
    <x v="16"/>
    <x v="3"/>
    <s v="769 DIXWELL AV"/>
    <n v="74200"/>
    <n v="190000"/>
    <n v="0.39050000000000001"/>
    <n v="2.5606469002695418"/>
    <x v="2"/>
    <x v="0"/>
    <x v="0"/>
    <x v="3"/>
  </r>
  <r>
    <n v="70149"/>
    <d v="2008-02-26T00:00:00"/>
    <x v="5"/>
    <x v="5"/>
    <d v="2008-02-01T00:00:00"/>
    <x v="87"/>
    <x v="6"/>
    <s v="140 THOMPSON ST #9C"/>
    <n v="125300"/>
    <n v="190000"/>
    <n v="0.65947368399999995"/>
    <n v="1.5163607342378291"/>
    <x v="0"/>
    <x v="1"/>
    <x v="0"/>
    <x v="6"/>
  </r>
  <r>
    <n v="20486"/>
    <d v="2021-06-15T00:00:00"/>
    <x v="2"/>
    <x v="1"/>
    <d v="2021-06-01T00:00:00"/>
    <x v="37"/>
    <x v="8"/>
    <s v="808 A HERITAGE VILLAGE"/>
    <n v="92080"/>
    <n v="185000"/>
    <n v="0.49769999999999998"/>
    <n v="2.0091225021720245"/>
    <x v="2"/>
    <x v="0"/>
    <x v="0"/>
    <x v="8"/>
  </r>
  <r>
    <n v="200759"/>
    <d v="2021-07-21T00:00:00"/>
    <x v="4"/>
    <x v="1"/>
    <d v="2021-07-01T00:00:00"/>
    <x v="32"/>
    <x v="8"/>
    <s v="104 MAPLE AVE"/>
    <n v="144410"/>
    <n v="185000"/>
    <n v="0.78049999999999997"/>
    <n v="1.2810747178173256"/>
    <x v="2"/>
    <x v="1"/>
    <x v="0"/>
    <x v="8"/>
  </r>
  <r>
    <n v="2000473"/>
    <d v="2021-05-18T00:00:00"/>
    <x v="3"/>
    <x v="1"/>
    <d v="2021-05-01T00:00:00"/>
    <x v="70"/>
    <x v="3"/>
    <s v="33 FAIRCHILD ST"/>
    <n v="98900"/>
    <n v="184500"/>
    <n v="0.53600000000000003"/>
    <n v="1.865520728008089"/>
    <x v="2"/>
    <x v="1"/>
    <x v="0"/>
    <x v="3"/>
  </r>
  <r>
    <n v="200527"/>
    <d v="2021-03-01T00:00:00"/>
    <x v="9"/>
    <x v="1"/>
    <d v="2021-03-01T00:00:00"/>
    <x v="67"/>
    <x v="12"/>
    <s v="25 WARD ST"/>
    <n v="85680"/>
    <n v="183000"/>
    <n v="0.46810000000000002"/>
    <n v="2.1358543417366946"/>
    <x v="2"/>
    <x v="0"/>
    <x v="0"/>
    <x v="12"/>
  </r>
  <r>
    <n v="161740"/>
    <d v="2017-08-04T00:00:00"/>
    <x v="6"/>
    <x v="3"/>
    <d v="2017-08-01T00:00:00"/>
    <x v="10"/>
    <x v="8"/>
    <s v="44 STRAWBERRY HILL AVE #3P"/>
    <n v="102440"/>
    <n v="180450"/>
    <n v="0.56769188100000001"/>
    <n v="1.761518937914877"/>
    <x v="0"/>
    <x v="1"/>
    <x v="0"/>
    <x v="8"/>
  </r>
  <r>
    <n v="200362"/>
    <d v="2021-05-24T00:00:00"/>
    <x v="3"/>
    <x v="1"/>
    <d v="2021-05-01T00:00:00"/>
    <x v="52"/>
    <x v="8"/>
    <s v="75 HILLTOP DRIVE"/>
    <n v="99660"/>
    <n v="180000"/>
    <n v="0.55359999999999998"/>
    <n v="1.8061408789885611"/>
    <x v="2"/>
    <x v="1"/>
    <x v="0"/>
    <x v="8"/>
  </r>
  <r>
    <n v="20750"/>
    <d v="2021-05-06T00:00:00"/>
    <x v="3"/>
    <x v="1"/>
    <d v="2021-05-01T00:00:00"/>
    <x v="33"/>
    <x v="16"/>
    <s v="3371 MAIN ST"/>
    <n v="126560"/>
    <n v="180000"/>
    <n v="0.70309999999999995"/>
    <n v="1.4222503160556257"/>
    <x v="1"/>
    <x v="1"/>
    <x v="0"/>
    <x v="16"/>
  </r>
  <r>
    <n v="200212"/>
    <d v="2021-03-09T00:00:00"/>
    <x v="9"/>
    <x v="1"/>
    <d v="2021-03-01T00:00:00"/>
    <x v="9"/>
    <x v="7"/>
    <s v="5 CHESTNUT DRIVE"/>
    <n v="130400"/>
    <n v="179900"/>
    <n v="0.7248"/>
    <n v="1.3796012269938651"/>
    <x v="2"/>
    <x v="1"/>
    <x v="0"/>
    <x v="7"/>
  </r>
  <r>
    <n v="160539"/>
    <d v="2017-01-06T00:00:00"/>
    <x v="7"/>
    <x v="3"/>
    <d v="2017-01-01T00:00:00"/>
    <x v="10"/>
    <x v="8"/>
    <s v="186 SEATON ROAD # 22-C3"/>
    <n v="74670"/>
    <n v="176500"/>
    <n v="0.42305948999999998"/>
    <n v="2.36373376188563"/>
    <x v="0"/>
    <x v="0"/>
    <x v="0"/>
    <x v="8"/>
  </r>
  <r>
    <n v="900251"/>
    <d v="2010-05-03T00:00:00"/>
    <x v="3"/>
    <x v="9"/>
    <d v="2010-05-01T00:00:00"/>
    <x v="31"/>
    <x v="15"/>
    <s v="251 NEW BRITAIN AVE"/>
    <n v="118860"/>
    <n v="175000"/>
    <n v="0.67920000000000003"/>
    <n v="1.4723203769140165"/>
    <x v="0"/>
    <x v="1"/>
    <x v="0"/>
    <x v="15"/>
  </r>
  <r>
    <n v="60610"/>
    <d v="2007-06-19T00:00:00"/>
    <x v="2"/>
    <x v="8"/>
    <d v="2007-06-01T00:00:00"/>
    <x v="88"/>
    <x v="5"/>
    <s v="225 BEACH ST UT 1G"/>
    <n v="124250"/>
    <n v="175000"/>
    <n v="0.71"/>
    <n v="1.408450704225352"/>
    <x v="0"/>
    <x v="1"/>
    <x v="0"/>
    <x v="5"/>
  </r>
  <r>
    <n v="100052"/>
    <d v="2011-02-22T00:00:00"/>
    <x v="5"/>
    <x v="11"/>
    <d v="2011-02-01T00:00:00"/>
    <x v="60"/>
    <x v="7"/>
    <s v="15 APPLEWOOD CONDO"/>
    <n v="137300"/>
    <n v="175000"/>
    <n v="0.78457142899999999"/>
    <n v="1.2745812090313182"/>
    <x v="0"/>
    <x v="1"/>
    <x v="0"/>
    <x v="7"/>
  </r>
  <r>
    <n v="70125"/>
    <d v="2008-01-25T00:00:00"/>
    <x v="7"/>
    <x v="5"/>
    <d v="2008-01-01T00:00:00"/>
    <x v="63"/>
    <x v="5"/>
    <s v="191 SPRING ST"/>
    <n v="87500"/>
    <n v="173700"/>
    <n v="0.50374208399999998"/>
    <n v="1.9851428571428571"/>
    <x v="0"/>
    <x v="1"/>
    <x v="0"/>
    <x v="5"/>
  </r>
  <r>
    <n v="130311"/>
    <d v="2014-06-05T00:00:00"/>
    <x v="2"/>
    <x v="7"/>
    <d v="2014-06-01T00:00:00"/>
    <x v="49"/>
    <x v="6"/>
    <s v="71 CANDLEWOOD DR"/>
    <n v="125840"/>
    <n v="173000"/>
    <n v="0.72739884399999999"/>
    <n v="1.3747616020343294"/>
    <x v="0"/>
    <x v="1"/>
    <x v="0"/>
    <x v="6"/>
  </r>
  <r>
    <n v="200192"/>
    <d v="2020-11-20T00:00:00"/>
    <x v="11"/>
    <x v="4"/>
    <d v="2020-11-01T00:00:00"/>
    <x v="16"/>
    <x v="3"/>
    <s v="459 BLATCHLEY AV"/>
    <n v="71150"/>
    <n v="170000"/>
    <n v="0.41849999999999998"/>
    <n v="2.3893183415319745"/>
    <x v="2"/>
    <x v="0"/>
    <x v="0"/>
    <x v="3"/>
  </r>
  <r>
    <n v="20000179"/>
    <d v="2021-02-22T00:00:00"/>
    <x v="5"/>
    <x v="1"/>
    <d v="2021-02-01T00:00:00"/>
    <x v="89"/>
    <x v="12"/>
    <s v="72 HOMESTEAD LN"/>
    <n v="94770"/>
    <n v="170000"/>
    <n v="0.55740000000000001"/>
    <n v="1.7938166086314233"/>
    <x v="2"/>
    <x v="1"/>
    <x v="0"/>
    <x v="12"/>
  </r>
  <r>
    <n v="200468"/>
    <d v="2021-02-12T00:00:00"/>
    <x v="5"/>
    <x v="1"/>
    <d v="2021-02-01T00:00:00"/>
    <x v="64"/>
    <x v="11"/>
    <s v="28 STANLEY ST"/>
    <n v="100520"/>
    <n v="170000"/>
    <n v="0.59119999999999995"/>
    <n v="1.6912057302029446"/>
    <x v="2"/>
    <x v="1"/>
    <x v="0"/>
    <x v="11"/>
  </r>
  <r>
    <n v="160293"/>
    <d v="2017-04-20T00:00:00"/>
    <x v="1"/>
    <x v="3"/>
    <d v="2017-04-01T00:00:00"/>
    <x v="37"/>
    <x v="8"/>
    <s v="329 A HERITAGE VILLAGE"/>
    <n v="102830"/>
    <n v="170000"/>
    <n v="0.60488235300000004"/>
    <n v="1.6532140425945736"/>
    <x v="0"/>
    <x v="1"/>
    <x v="0"/>
    <x v="8"/>
  </r>
  <r>
    <n v="200113"/>
    <d v="2021-01-14T00:00:00"/>
    <x v="7"/>
    <x v="1"/>
    <d v="2021-01-01T00:00:00"/>
    <x v="72"/>
    <x v="8"/>
    <s v="4 CHELTENHAM CT"/>
    <n v="98280"/>
    <n v="169900"/>
    <n v="0.57840000000000003"/>
    <n v="1.7287342287342287"/>
    <x v="2"/>
    <x v="1"/>
    <x v="0"/>
    <x v="8"/>
  </r>
  <r>
    <n v="70491"/>
    <d v="2008-05-28T00:00:00"/>
    <x v="3"/>
    <x v="5"/>
    <d v="2008-05-01T00:00:00"/>
    <x v="71"/>
    <x v="16"/>
    <s v="74 SHEPARD AVE."/>
    <n v="101990"/>
    <n v="169000"/>
    <n v="0.60349112400000005"/>
    <n v="1.6570251985488773"/>
    <x v="0"/>
    <x v="1"/>
    <x v="0"/>
    <x v="16"/>
  </r>
  <r>
    <n v="160427"/>
    <d v="2017-08-29T00:00:00"/>
    <x v="6"/>
    <x v="3"/>
    <d v="2017-08-01T00:00:00"/>
    <x v="63"/>
    <x v="5"/>
    <s v="9B BARRINGTON DR"/>
    <n v="113800"/>
    <n v="169000"/>
    <n v="0.67337278099999998"/>
    <n v="1.4850615114235501"/>
    <x v="0"/>
    <x v="1"/>
    <x v="0"/>
    <x v="5"/>
  </r>
  <r>
    <n v="170091"/>
    <d v="2017-11-27T00:00:00"/>
    <x v="11"/>
    <x v="3"/>
    <d v="2017-11-01T00:00:00"/>
    <x v="22"/>
    <x v="12"/>
    <s v="103 CEDAR KNOLLS"/>
    <n v="112800"/>
    <n v="167450"/>
    <n v="0.67363392099999997"/>
    <n v="1.4844858156028369"/>
    <x v="0"/>
    <x v="1"/>
    <x v="0"/>
    <x v="12"/>
  </r>
  <r>
    <n v="20522"/>
    <d v="2021-03-11T00:00:00"/>
    <x v="9"/>
    <x v="1"/>
    <d v="2021-03-01T00:00:00"/>
    <x v="33"/>
    <x v="16"/>
    <s v="26 BRANFORD ST"/>
    <n v="35875"/>
    <n v="165000"/>
    <n v="0.21740000000000001"/>
    <n v="4.5993031358885021"/>
    <x v="2"/>
    <x v="0"/>
    <x v="0"/>
    <x v="16"/>
  </r>
  <r>
    <n v="20513"/>
    <d v="2021-03-11T00:00:00"/>
    <x v="9"/>
    <x v="1"/>
    <d v="2021-03-01T00:00:00"/>
    <x v="43"/>
    <x v="3"/>
    <s v="32 HIGHLAND TERR"/>
    <n v="97580"/>
    <n v="163300"/>
    <n v="0.59750000000000003"/>
    <n v="1.673498667759787"/>
    <x v="2"/>
    <x v="1"/>
    <x v="0"/>
    <x v="3"/>
  </r>
  <r>
    <n v="100533"/>
    <d v="2011-06-29T00:00:00"/>
    <x v="2"/>
    <x v="11"/>
    <d v="2011-06-01T00:00:00"/>
    <x v="4"/>
    <x v="4"/>
    <s v="166 OLD BROOKFIELD RD #27B1"/>
    <n v="146800"/>
    <n v="162800"/>
    <n v="0.90171990199999996"/>
    <n v="1.1089918256130791"/>
    <x v="0"/>
    <x v="1"/>
    <x v="0"/>
    <x v="4"/>
  </r>
  <r>
    <n v="90163"/>
    <d v="2009-11-24T00:00:00"/>
    <x v="11"/>
    <x v="10"/>
    <d v="2009-11-01T00:00:00"/>
    <x v="39"/>
    <x v="5"/>
    <s v="893 FARMINGTON AVE 2-2E"/>
    <n v="105000"/>
    <n v="161000"/>
    <n v="0.65217391300000005"/>
    <n v="1.5333333333333334"/>
    <x v="0"/>
    <x v="1"/>
    <x v="0"/>
    <x v="5"/>
  </r>
  <r>
    <n v="10113"/>
    <d v="2010-12-22T00:00:00"/>
    <x v="0"/>
    <x v="9"/>
    <d v="2010-12-01T00:00:00"/>
    <x v="34"/>
    <x v="2"/>
    <s v="70 SPRINGBROOK RD"/>
    <n v="119400"/>
    <n v="161000"/>
    <n v="0.74161490699999999"/>
    <n v="1.3484087102177555"/>
    <x v="0"/>
    <x v="1"/>
    <x v="0"/>
    <x v="2"/>
  </r>
  <r>
    <n v="200991"/>
    <d v="2021-07-08T00:00:00"/>
    <x v="4"/>
    <x v="1"/>
    <d v="2021-07-01T00:00:00"/>
    <x v="18"/>
    <x v="11"/>
    <s v="64 MILFORD ROAD"/>
    <n v="104300"/>
    <n v="160000"/>
    <n v="0.65180000000000005"/>
    <n v="1.5340364333652925"/>
    <x v="2"/>
    <x v="1"/>
    <x v="0"/>
    <x v="11"/>
  </r>
  <r>
    <n v="20000050"/>
    <d v="2020-11-05T00:00:00"/>
    <x v="11"/>
    <x v="4"/>
    <d v="2020-11-01T00:00:00"/>
    <x v="89"/>
    <x v="12"/>
    <s v="4 CHELSEA CT"/>
    <n v="105110"/>
    <n v="160000"/>
    <n v="0.65693749999999995"/>
    <n v="1.5222148225668348"/>
    <x v="2"/>
    <x v="1"/>
    <x v="0"/>
    <x v="12"/>
  </r>
  <r>
    <n v="80588"/>
    <d v="2009-07-21T00:00:00"/>
    <x v="4"/>
    <x v="10"/>
    <d v="2009-07-01T00:00:00"/>
    <x v="4"/>
    <x v="4"/>
    <s v="55 MILL PLAIN RD #33-3"/>
    <n v="125900"/>
    <n v="160000"/>
    <n v="0.78687499999999999"/>
    <n v="1.2708498808578237"/>
    <x v="0"/>
    <x v="1"/>
    <x v="0"/>
    <x v="4"/>
  </r>
  <r>
    <n v="70130"/>
    <d v="2008-08-29T00:00:00"/>
    <x v="6"/>
    <x v="5"/>
    <d v="2008-08-01T00:00:00"/>
    <x v="90"/>
    <x v="10"/>
    <s v="257 SABIN ST #18"/>
    <n v="91700"/>
    <n v="157000"/>
    <n v="0.58407643300000001"/>
    <n v="1.7121046892039258"/>
    <x v="0"/>
    <x v="1"/>
    <x v="0"/>
    <x v="10"/>
  </r>
  <r>
    <n v="180207"/>
    <d v="2019-02-27T00:00:00"/>
    <x v="5"/>
    <x v="12"/>
    <d v="2019-02-01T00:00:00"/>
    <x v="22"/>
    <x v="12"/>
    <s v="406 THOREAU ST"/>
    <n v="100800"/>
    <n v="156000"/>
    <n v="0.64615384600000003"/>
    <n v="1.5476190476190477"/>
    <x v="0"/>
    <x v="1"/>
    <x v="0"/>
    <x v="12"/>
  </r>
  <r>
    <n v="200032"/>
    <d v="2020-10-08T00:00:00"/>
    <x v="8"/>
    <x v="4"/>
    <d v="2020-10-01T00:00:00"/>
    <x v="67"/>
    <x v="12"/>
    <s v="9 LESLIE COURT"/>
    <n v="94920"/>
    <n v="155000"/>
    <n v="0.61229999999999996"/>
    <n v="1.6329540665823852"/>
    <x v="2"/>
    <x v="1"/>
    <x v="0"/>
    <x v="12"/>
  </r>
  <r>
    <n v="161240"/>
    <d v="2017-07-26T00:00:00"/>
    <x v="4"/>
    <x v="3"/>
    <d v="2017-07-01T00:00:00"/>
    <x v="44"/>
    <x v="3"/>
    <s v="18 PROSPECT ST"/>
    <n v="95050"/>
    <n v="155000"/>
    <n v="0.61322580599999998"/>
    <n v="1.6307206733298265"/>
    <x v="0"/>
    <x v="1"/>
    <x v="0"/>
    <x v="3"/>
  </r>
  <r>
    <n v="62389"/>
    <d v="2007-08-24T00:00:00"/>
    <x v="6"/>
    <x v="8"/>
    <d v="2007-08-01T00:00:00"/>
    <x v="91"/>
    <x v="12"/>
    <s v="166 KENNEDY DR"/>
    <n v="80521"/>
    <n v="154500"/>
    <n v="0.52117152099999997"/>
    <n v="1.9187541138336583"/>
    <x v="0"/>
    <x v="1"/>
    <x v="0"/>
    <x v="12"/>
  </r>
  <r>
    <n v="12323"/>
    <d v="2013-07-08T00:00:00"/>
    <x v="4"/>
    <x v="13"/>
    <d v="2013-07-01T00:00:00"/>
    <x v="88"/>
    <x v="5"/>
    <s v="45 SAVIN PARK"/>
    <n v="126280"/>
    <n v="153500"/>
    <n v="0.82267100999999998"/>
    <n v="1.2155527399429837"/>
    <x v="0"/>
    <x v="1"/>
    <x v="0"/>
    <x v="5"/>
  </r>
  <r>
    <n v="190443"/>
    <d v="2020-04-29T00:00:00"/>
    <x v="1"/>
    <x v="4"/>
    <d v="2020-04-01T00:00:00"/>
    <x v="92"/>
    <x v="11"/>
    <s v="94 CYNTHIA LA #B-6"/>
    <n v="92280"/>
    <n v="153000"/>
    <n v="0.60309999999999997"/>
    <n v="1.6579973992197659"/>
    <x v="0"/>
    <x v="1"/>
    <x v="0"/>
    <x v="11"/>
  </r>
  <r>
    <n v="90035"/>
    <d v="2009-12-01T00:00:00"/>
    <x v="0"/>
    <x v="10"/>
    <d v="2009-12-01T00:00:00"/>
    <x v="93"/>
    <x v="5"/>
    <s v="2 WOODSTOCK HILLS"/>
    <n v="110700"/>
    <n v="151000"/>
    <n v="0.73311258300000004"/>
    <n v="1.3640469738030714"/>
    <x v="0"/>
    <x v="1"/>
    <x v="0"/>
    <x v="5"/>
  </r>
  <r>
    <n v="201777"/>
    <d v="2021-06-08T00:00:00"/>
    <x v="2"/>
    <x v="1"/>
    <d v="2021-06-01T00:00:00"/>
    <x v="94"/>
    <x v="5"/>
    <s v="18 CAMP ST"/>
    <n v="36770"/>
    <n v="150000"/>
    <n v="0.24510000000000001"/>
    <n v="4.0794125645906991"/>
    <x v="2"/>
    <x v="0"/>
    <x v="0"/>
    <x v="5"/>
  </r>
  <r>
    <n v="200285"/>
    <d v="2021-04-12T00:00:00"/>
    <x v="1"/>
    <x v="1"/>
    <d v="2021-04-01T00:00:00"/>
    <x v="40"/>
    <x v="2"/>
    <s v="30 GRANITE RD"/>
    <n v="77840"/>
    <n v="150000"/>
    <n v="0.51890000000000003"/>
    <n v="1.9270298047276464"/>
    <x v="2"/>
    <x v="1"/>
    <x v="0"/>
    <x v="2"/>
  </r>
  <r>
    <n v="201018"/>
    <d v="2021-06-03T00:00:00"/>
    <x v="2"/>
    <x v="1"/>
    <d v="2021-06-01T00:00:00"/>
    <x v="4"/>
    <x v="4"/>
    <s v="55 FOREST AV"/>
    <n v="136900"/>
    <n v="150000"/>
    <n v="0.91259999999999997"/>
    <n v="1.0956902848794741"/>
    <x v="2"/>
    <x v="1"/>
    <x v="0"/>
    <x v="4"/>
  </r>
  <r>
    <n v="200230"/>
    <d v="2021-04-26T00:00:00"/>
    <x v="1"/>
    <x v="1"/>
    <d v="2021-04-01T00:00:00"/>
    <x v="95"/>
    <x v="13"/>
    <s v="152 NORTH ST"/>
    <n v="143220"/>
    <n v="150000"/>
    <n v="0.95479999999999998"/>
    <n v="1.0473397570171763"/>
    <x v="3"/>
    <x v="1"/>
    <x v="0"/>
    <x v="13"/>
  </r>
  <r>
    <n v="90347"/>
    <d v="2009-12-30T00:00:00"/>
    <x v="0"/>
    <x v="10"/>
    <d v="2009-12-01T00:00:00"/>
    <x v="94"/>
    <x v="5"/>
    <s v="210 STONEFIELD DR #48"/>
    <n v="87700"/>
    <n v="149850"/>
    <n v="0.58525191899999995"/>
    <n v="1.7086659064994298"/>
    <x v="0"/>
    <x v="1"/>
    <x v="0"/>
    <x v="5"/>
  </r>
  <r>
    <n v="90832"/>
    <d v="2010-06-30T00:00:00"/>
    <x v="2"/>
    <x v="9"/>
    <d v="2010-06-01T00:00:00"/>
    <x v="16"/>
    <x v="3"/>
    <s v="418 WOODWARD AVE UNIT 16"/>
    <n v="99960"/>
    <n v="146000"/>
    <n v="0.68465753399999996"/>
    <n v="1.4605842336934773"/>
    <x v="0"/>
    <x v="1"/>
    <x v="0"/>
    <x v="3"/>
  </r>
  <r>
    <n v="150007"/>
    <d v="2015-10-28T00:00:00"/>
    <x v="8"/>
    <x v="6"/>
    <d v="2015-10-01T00:00:00"/>
    <x v="96"/>
    <x v="6"/>
    <s v="32 CHELSEA LANE"/>
    <n v="100900"/>
    <n v="144900"/>
    <n v="0.69634230500000005"/>
    <n v="1.4360753221010902"/>
    <x v="0"/>
    <x v="1"/>
    <x v="0"/>
    <x v="6"/>
  </r>
  <r>
    <n v="100020"/>
    <d v="2010-10-22T00:00:00"/>
    <x v="8"/>
    <x v="9"/>
    <d v="2010-10-01T00:00:00"/>
    <x v="22"/>
    <x v="12"/>
    <s v="6B ROCKLEDGE"/>
    <n v="123700"/>
    <n v="143800"/>
    <n v="0.86022253100000001"/>
    <n v="1.1624898949070332"/>
    <x v="0"/>
    <x v="1"/>
    <x v="0"/>
    <x v="12"/>
  </r>
  <r>
    <n v="60190"/>
    <d v="2006-12-11T00:00:00"/>
    <x v="0"/>
    <x v="14"/>
    <d v="2006-12-01T00:00:00"/>
    <x v="62"/>
    <x v="5"/>
    <s v="19 TERRACE GDNS"/>
    <n v="78260"/>
    <n v="143000"/>
    <n v="0.54727272699999996"/>
    <n v="1.8272425249169435"/>
    <x v="0"/>
    <x v="1"/>
    <x v="0"/>
    <x v="5"/>
  </r>
  <r>
    <n v="9347"/>
    <d v="2010-02-23T00:00:00"/>
    <x v="5"/>
    <x v="9"/>
    <d v="2010-02-01T00:00:00"/>
    <x v="64"/>
    <x v="11"/>
    <s v="28 STERLING VLG"/>
    <n v="93050"/>
    <n v="143000"/>
    <n v="0.65069930099999995"/>
    <n v="1.5368081676518002"/>
    <x v="0"/>
    <x v="1"/>
    <x v="0"/>
    <x v="11"/>
  </r>
  <r>
    <n v="17141"/>
    <d v="2017-11-30T00:00:00"/>
    <x v="11"/>
    <x v="3"/>
    <d v="2017-11-01T00:00:00"/>
    <x v="88"/>
    <x v="5"/>
    <s v="375 CAPT THOMAS BLVD #14"/>
    <n v="119630"/>
    <n v="142650"/>
    <n v="0.83860000000000001"/>
    <n v="1.1924266488339046"/>
    <x v="0"/>
    <x v="1"/>
    <x v="0"/>
    <x v="5"/>
  </r>
  <r>
    <n v="200375"/>
    <d v="2021-04-06T00:00:00"/>
    <x v="1"/>
    <x v="1"/>
    <d v="2021-04-01T00:00:00"/>
    <x v="87"/>
    <x v="6"/>
    <s v="55      THOMPSON ST #5A"/>
    <n v="76960"/>
    <n v="140000"/>
    <n v="0.54969999999999997"/>
    <n v="1.8191268191268191"/>
    <x v="2"/>
    <x v="1"/>
    <x v="0"/>
    <x v="6"/>
  </r>
  <r>
    <n v="14332"/>
    <d v="2015-06-24T00:00:00"/>
    <x v="2"/>
    <x v="6"/>
    <d v="2015-06-01T00:00:00"/>
    <x v="76"/>
    <x v="3"/>
    <s v="154 COTTONWOOD ROAD"/>
    <n v="107520"/>
    <n v="140000"/>
    <n v="0.76800000000000002"/>
    <n v="1.3020833333333333"/>
    <x v="0"/>
    <x v="1"/>
    <x v="0"/>
    <x v="3"/>
  </r>
  <r>
    <n v="202250"/>
    <d v="2021-08-09T00:00:00"/>
    <x v="6"/>
    <x v="1"/>
    <d v="2021-08-01T00:00:00"/>
    <x v="94"/>
    <x v="5"/>
    <s v="94 SOUTHMAYD RD #3"/>
    <n v="63100"/>
    <n v="139900"/>
    <n v="0.45100000000000001"/>
    <n v="2.2171156893819335"/>
    <x v="2"/>
    <x v="0"/>
    <x v="0"/>
    <x v="5"/>
  </r>
  <r>
    <n v="150498"/>
    <d v="2016-05-02T00:00:00"/>
    <x v="3"/>
    <x v="0"/>
    <d v="2016-05-01T00:00:00"/>
    <x v="64"/>
    <x v="11"/>
    <s v="160 SUFFOLK CT"/>
    <n v="94570"/>
    <n v="135000"/>
    <n v="0.70051851899999995"/>
    <n v="1.4275140107856614"/>
    <x v="0"/>
    <x v="1"/>
    <x v="0"/>
    <x v="11"/>
  </r>
  <r>
    <n v="13105"/>
    <d v="2014-03-11T00:00:00"/>
    <x v="9"/>
    <x v="7"/>
    <d v="2014-03-01T00:00:00"/>
    <x v="75"/>
    <x v="12"/>
    <s v="42 SILO WAY"/>
    <n v="124460"/>
    <n v="133000"/>
    <n v="0.93578947400000001"/>
    <n v="1.0686164229471316"/>
    <x v="0"/>
    <x v="1"/>
    <x v="0"/>
    <x v="12"/>
  </r>
  <r>
    <n v="200436"/>
    <d v="2021-05-04T00:00:00"/>
    <x v="3"/>
    <x v="1"/>
    <d v="2021-05-01T00:00:00"/>
    <x v="11"/>
    <x v="2"/>
    <s v="67 LEAFWOOD LN S250"/>
    <n v="71960"/>
    <n v="130000"/>
    <n v="0.55349999999999999"/>
    <n v="1.8065591995553085"/>
    <x v="2"/>
    <x v="1"/>
    <x v="0"/>
    <x v="2"/>
  </r>
  <r>
    <n v="200377"/>
    <d v="2021-05-28T00:00:00"/>
    <x v="3"/>
    <x v="1"/>
    <d v="2021-05-01T00:00:00"/>
    <x v="52"/>
    <x v="8"/>
    <s v="108 LIBRARY LANE"/>
    <n v="80010"/>
    <n v="130000"/>
    <n v="0.61539999999999995"/>
    <n v="1.6247969003874516"/>
    <x v="2"/>
    <x v="1"/>
    <x v="0"/>
    <x v="8"/>
  </r>
  <r>
    <n v="90097"/>
    <d v="2010-06-03T00:00:00"/>
    <x v="2"/>
    <x v="9"/>
    <d v="2010-06-01T00:00:00"/>
    <x v="93"/>
    <x v="5"/>
    <s v="5 WOODSTOCK MEADOWS"/>
    <n v="126200"/>
    <n v="130000"/>
    <n v="0.97076923100000001"/>
    <n v="1.0301109350237718"/>
    <x v="0"/>
    <x v="1"/>
    <x v="0"/>
    <x v="5"/>
  </r>
  <r>
    <n v="140129"/>
    <d v="2015-07-13T00:00:00"/>
    <x v="4"/>
    <x v="6"/>
    <d v="2015-07-01T00:00:00"/>
    <x v="97"/>
    <x v="3"/>
    <s v="229 BRANFORD RD #222"/>
    <n v="88000"/>
    <n v="128866"/>
    <n v="0.68287989100000002"/>
    <n v="1.4643863636363637"/>
    <x v="0"/>
    <x v="1"/>
    <x v="0"/>
    <x v="3"/>
  </r>
  <r>
    <n v="20273"/>
    <d v="2021-01-11T00:00:00"/>
    <x v="7"/>
    <x v="1"/>
    <d v="2021-01-01T00:00:00"/>
    <x v="98"/>
    <x v="0"/>
    <s v="12 CARPENTER CLOSE"/>
    <n v="89810"/>
    <n v="128300"/>
    <n v="0.7"/>
    <n v="1.4285714285714286"/>
    <x v="2"/>
    <x v="1"/>
    <x v="0"/>
    <x v="0"/>
  </r>
  <r>
    <n v="900152"/>
    <d v="2010-05-03T00:00:00"/>
    <x v="3"/>
    <x v="9"/>
    <d v="2010-05-01T00:00:00"/>
    <x v="0"/>
    <x v="0"/>
    <s v="5D CARILLON DRIVE"/>
    <n v="88620"/>
    <n v="127000"/>
    <n v="0.69779527600000002"/>
    <n v="1.4330850823741819"/>
    <x v="0"/>
    <x v="1"/>
    <x v="0"/>
    <x v="0"/>
  </r>
  <r>
    <n v="160624"/>
    <d v="2017-08-17T00:00:00"/>
    <x v="6"/>
    <x v="3"/>
    <d v="2017-08-01T00:00:00"/>
    <x v="12"/>
    <x v="3"/>
    <s v="306 SALEM TPKE UNIT#4"/>
    <n v="96100"/>
    <n v="125500"/>
    <n v="0.76573705199999997"/>
    <n v="1.3059313215400625"/>
    <x v="0"/>
    <x v="1"/>
    <x v="0"/>
    <x v="3"/>
  </r>
  <r>
    <n v="160521"/>
    <d v="2017-06-30T00:00:00"/>
    <x v="2"/>
    <x v="3"/>
    <d v="2017-06-01T00:00:00"/>
    <x v="82"/>
    <x v="9"/>
    <s v="442 EVERGREEN RD"/>
    <n v="88000"/>
    <n v="125000"/>
    <n v="0.70399999999999996"/>
    <n v="1.4204545454545454"/>
    <x v="0"/>
    <x v="1"/>
    <x v="0"/>
    <x v="9"/>
  </r>
  <r>
    <n v="130523"/>
    <d v="2014-09-26T00:00:00"/>
    <x v="10"/>
    <x v="7"/>
    <d v="2014-09-01T00:00:00"/>
    <x v="49"/>
    <x v="6"/>
    <s v="156 WYNWOOD DR"/>
    <n v="97940"/>
    <n v="125000"/>
    <n v="0.78351999999999999"/>
    <n v="1.2762916071063917"/>
    <x v="0"/>
    <x v="1"/>
    <x v="0"/>
    <x v="6"/>
  </r>
  <r>
    <n v="160010"/>
    <d v="2016-10-13T00:00:00"/>
    <x v="8"/>
    <x v="0"/>
    <d v="2016-10-01T00:00:00"/>
    <x v="0"/>
    <x v="0"/>
    <s v="29A CARILLON DRIVE"/>
    <n v="76930"/>
    <n v="124500"/>
    <n v="0.61791164700000001"/>
    <n v="1.6183543481086702"/>
    <x v="0"/>
    <x v="1"/>
    <x v="0"/>
    <x v="0"/>
  </r>
  <r>
    <n v="70133"/>
    <d v="2008-03-20T00:00:00"/>
    <x v="9"/>
    <x v="5"/>
    <d v="2008-03-01T00:00:00"/>
    <x v="99"/>
    <x v="18"/>
    <s v="3N LAKESIDE DR"/>
    <n v="92820"/>
    <n v="124000"/>
    <n v="0.74854838700000004"/>
    <n v="1.3359189829778064"/>
    <x v="0"/>
    <x v="1"/>
    <x v="0"/>
    <x v="18"/>
  </r>
  <r>
    <n v="200174"/>
    <d v="2020-11-20T00:00:00"/>
    <x v="11"/>
    <x v="4"/>
    <d v="2020-11-01T00:00:00"/>
    <x v="82"/>
    <x v="9"/>
    <s v="194 LEDGE DR"/>
    <n v="58020"/>
    <n v="122500"/>
    <n v="0.47360000000000002"/>
    <n v="2.1113409169251982"/>
    <x v="2"/>
    <x v="0"/>
    <x v="0"/>
    <x v="9"/>
  </r>
  <r>
    <n v="160065"/>
    <d v="2016-12-05T00:00:00"/>
    <x v="0"/>
    <x v="0"/>
    <d v="2016-12-01T00:00:00"/>
    <x v="0"/>
    <x v="0"/>
    <s v="4 COPPER BEECH DRIVE"/>
    <n v="89950"/>
    <n v="122500"/>
    <n v="0.73428571399999998"/>
    <n v="1.3618677042801557"/>
    <x v="0"/>
    <x v="1"/>
    <x v="0"/>
    <x v="0"/>
  </r>
  <r>
    <n v="201592"/>
    <d v="2021-05-12T00:00:00"/>
    <x v="3"/>
    <x v="1"/>
    <d v="2021-05-01T00:00:00"/>
    <x v="94"/>
    <x v="5"/>
    <s v="26 COOPER ST"/>
    <n v="73860"/>
    <n v="122000"/>
    <n v="0.60540000000000005"/>
    <n v="1.6517736257784998"/>
    <x v="2"/>
    <x v="1"/>
    <x v="0"/>
    <x v="5"/>
  </r>
  <r>
    <n v="100226"/>
    <d v="2011-02-25T00:00:00"/>
    <x v="5"/>
    <x v="11"/>
    <d v="2011-02-01T00:00:00"/>
    <x v="67"/>
    <x v="12"/>
    <s v="35 RUTH ST #60"/>
    <n v="93450"/>
    <n v="120000"/>
    <n v="0.77875000000000005"/>
    <n v="1.2841091492776886"/>
    <x v="0"/>
    <x v="1"/>
    <x v="0"/>
    <x v="12"/>
  </r>
  <r>
    <n v="100254"/>
    <d v="2011-07-07T00:00:00"/>
    <x v="4"/>
    <x v="11"/>
    <d v="2011-07-01T00:00:00"/>
    <x v="31"/>
    <x v="15"/>
    <s v="11-A4 BYRNE COURT"/>
    <n v="91000"/>
    <n v="115000"/>
    <n v="0.79130434800000005"/>
    <n v="1.2637362637362637"/>
    <x v="0"/>
    <x v="1"/>
    <x v="0"/>
    <x v="15"/>
  </r>
  <r>
    <n v="90010"/>
    <d v="2009-10-19T00:00:00"/>
    <x v="8"/>
    <x v="10"/>
    <d v="2009-10-01T00:00:00"/>
    <x v="17"/>
    <x v="10"/>
    <s v="13 HOLT ST #4"/>
    <n v="94260"/>
    <n v="115000"/>
    <n v="0.81965217400000001"/>
    <n v="1.22002970507108"/>
    <x v="0"/>
    <x v="1"/>
    <x v="0"/>
    <x v="10"/>
  </r>
  <r>
    <n v="800234"/>
    <d v="2009-06-03T00:00:00"/>
    <x v="2"/>
    <x v="10"/>
    <d v="2009-06-01T00:00:00"/>
    <x v="31"/>
    <x v="15"/>
    <s v="1622 FARMINGTON AV UNIT 11"/>
    <n v="82250"/>
    <n v="112500"/>
    <n v="0.73111111100000004"/>
    <n v="1.3677811550151975"/>
    <x v="0"/>
    <x v="1"/>
    <x v="0"/>
    <x v="15"/>
  </r>
  <r>
    <n v="160444"/>
    <d v="2017-07-10T00:00:00"/>
    <x v="4"/>
    <x v="3"/>
    <d v="2017-07-01T00:00:00"/>
    <x v="37"/>
    <x v="8"/>
    <s v="73 B HERITAGE VILLAGE"/>
    <n v="58510"/>
    <n v="110000"/>
    <n v="0.53190909099999995"/>
    <n v="1.8800205093146471"/>
    <x v="0"/>
    <x v="1"/>
    <x v="0"/>
    <x v="8"/>
  </r>
  <r>
    <n v="180650"/>
    <d v="2019-01-24T00:00:00"/>
    <x v="7"/>
    <x v="12"/>
    <d v="2019-01-01T00:00:00"/>
    <x v="91"/>
    <x v="12"/>
    <s v="333 VINCELLETTE ST UNIT 82"/>
    <n v="64720"/>
    <n v="108000"/>
    <n v="0.59919999999999995"/>
    <n v="1.6687268232385661"/>
    <x v="0"/>
    <x v="1"/>
    <x v="0"/>
    <x v="12"/>
  </r>
  <r>
    <n v="908206"/>
    <d v="2010-09-10T00:00:00"/>
    <x v="10"/>
    <x v="9"/>
    <d v="2010-09-01T00:00:00"/>
    <x v="88"/>
    <x v="5"/>
    <s v="155 BULL HILL LA #S2"/>
    <n v="69020"/>
    <n v="107500"/>
    <n v="0.64204651199999996"/>
    <n v="1.5575195595479572"/>
    <x v="0"/>
    <x v="1"/>
    <x v="0"/>
    <x v="5"/>
  </r>
  <r>
    <n v="171321"/>
    <d v="2018-05-14T00:00:00"/>
    <x v="3"/>
    <x v="2"/>
    <d v="2018-05-01T00:00:00"/>
    <x v="91"/>
    <x v="12"/>
    <s v="50 GREENHOUSE RD UNIT 57C"/>
    <n v="59750"/>
    <n v="107000"/>
    <n v="0.55840000000000001"/>
    <n v="1.7907949790794979"/>
    <x v="0"/>
    <x v="1"/>
    <x v="0"/>
    <x v="12"/>
  </r>
  <r>
    <n v="200953"/>
    <d v="2021-05-28T00:00:00"/>
    <x v="3"/>
    <x v="1"/>
    <d v="2021-05-01T00:00:00"/>
    <x v="16"/>
    <x v="3"/>
    <s v="44 FRONT ST"/>
    <n v="64470"/>
    <n v="105000"/>
    <n v="0.61399999999999999"/>
    <n v="1.6286644951140066"/>
    <x v="2"/>
    <x v="1"/>
    <x v="0"/>
    <x v="3"/>
  </r>
  <r>
    <n v="200007"/>
    <d v="2020-10-02T00:00:00"/>
    <x v="8"/>
    <x v="4"/>
    <d v="2020-10-01T00:00:00"/>
    <x v="100"/>
    <x v="8"/>
    <s v="23-D AMATO DR"/>
    <n v="68300"/>
    <n v="105000"/>
    <n v="0.65039999999999998"/>
    <n v="1.5373352855051245"/>
    <x v="2"/>
    <x v="1"/>
    <x v="0"/>
    <x v="8"/>
  </r>
  <r>
    <n v="120151"/>
    <d v="2013-09-13T00:00:00"/>
    <x v="10"/>
    <x v="13"/>
    <d v="2013-09-01T00:00:00"/>
    <x v="17"/>
    <x v="10"/>
    <s v="30 SEYMOUR RD UNIT C-2"/>
    <n v="76270"/>
    <n v="105000"/>
    <n v="0.72638095199999997"/>
    <n v="1.3766880818146061"/>
    <x v="0"/>
    <x v="1"/>
    <x v="0"/>
    <x v="10"/>
  </r>
  <r>
    <n v="160052"/>
    <d v="2017-02-01T00:00:00"/>
    <x v="5"/>
    <x v="3"/>
    <d v="2017-02-01T00:00:00"/>
    <x v="101"/>
    <x v="5"/>
    <s v="230 E WAKEFIELD BLVD"/>
    <n v="79310"/>
    <n v="100000"/>
    <n v="0.79310000000000003"/>
    <n v="1.2608750472828143"/>
    <x v="0"/>
    <x v="1"/>
    <x v="0"/>
    <x v="5"/>
  </r>
  <r>
    <n v="160606"/>
    <d v="2017-07-18T00:00:00"/>
    <x v="4"/>
    <x v="3"/>
    <d v="2017-07-01T00:00:00"/>
    <x v="102"/>
    <x v="8"/>
    <s v="22 VILLAGE RD"/>
    <n v="68800"/>
    <n v="95000"/>
    <n v="0.72421052600000002"/>
    <n v="1.3808139534883721"/>
    <x v="0"/>
    <x v="1"/>
    <x v="0"/>
    <x v="8"/>
  </r>
  <r>
    <n v="201212"/>
    <d v="2021-08-23T00:00:00"/>
    <x v="6"/>
    <x v="1"/>
    <d v="2021-08-01T00:00:00"/>
    <x v="67"/>
    <x v="12"/>
    <s v="8 JENNINGS TERR"/>
    <n v="88060"/>
    <n v="91000"/>
    <n v="0.96760000000000002"/>
    <n v="1.0333863275039745"/>
    <x v="2"/>
    <x v="1"/>
    <x v="0"/>
    <x v="12"/>
  </r>
  <r>
    <n v="2020065"/>
    <d v="2020-12-20T00:00:00"/>
    <x v="0"/>
    <x v="4"/>
    <d v="2020-12-01T00:00:00"/>
    <x v="103"/>
    <x v="9"/>
    <s v="H2 TOLLAND MEADOWS"/>
    <n v="55200"/>
    <n v="90000"/>
    <n v="0.61329999999999996"/>
    <n v="1.6304347826086956"/>
    <x v="2"/>
    <x v="1"/>
    <x v="0"/>
    <x v="9"/>
  </r>
  <r>
    <n v="200377"/>
    <d v="2021-08-16T00:00:00"/>
    <x v="6"/>
    <x v="1"/>
    <d v="2021-08-01T00:00:00"/>
    <x v="104"/>
    <x v="10"/>
    <s v="492 EAST ST B-36"/>
    <n v="41090"/>
    <n v="89900"/>
    <n v="0.45700000000000002"/>
    <n v="2.1878802628376732"/>
    <x v="2"/>
    <x v="0"/>
    <x v="0"/>
    <x v="10"/>
  </r>
  <r>
    <n v="2020256"/>
    <d v="2021-06-23T00:00:00"/>
    <x v="2"/>
    <x v="1"/>
    <d v="2021-06-01T00:00:00"/>
    <x v="103"/>
    <x v="9"/>
    <s v="D3 TOLLAND MEADOWS"/>
    <n v="55200"/>
    <n v="89900"/>
    <n v="0.61401557299999998"/>
    <n v="1.6286231884057971"/>
    <x v="2"/>
    <x v="1"/>
    <x v="0"/>
    <x v="9"/>
  </r>
  <r>
    <n v="90706"/>
    <d v="2010-07-01T00:00:00"/>
    <x v="4"/>
    <x v="9"/>
    <d v="2010-07-01T00:00:00"/>
    <x v="39"/>
    <x v="5"/>
    <s v="140 KANE ST B1"/>
    <n v="76500"/>
    <n v="86000"/>
    <n v="0.88953488400000003"/>
    <n v="1.1241830065359477"/>
    <x v="0"/>
    <x v="1"/>
    <x v="0"/>
    <x v="5"/>
  </r>
  <r>
    <n v="160697"/>
    <d v="2017-02-16T00:00:00"/>
    <x v="5"/>
    <x v="3"/>
    <d v="2017-02-01T00:00:00"/>
    <x v="10"/>
    <x v="8"/>
    <s v="22 GLENBROOK ROAD # 103"/>
    <n v="47960"/>
    <n v="85000"/>
    <n v="0.56423529400000005"/>
    <n v="1.7723102585487907"/>
    <x v="0"/>
    <x v="1"/>
    <x v="0"/>
    <x v="8"/>
  </r>
  <r>
    <n v="160400"/>
    <d v="2017-06-21T00:00:00"/>
    <x v="2"/>
    <x v="3"/>
    <d v="2017-06-01T00:00:00"/>
    <x v="37"/>
    <x v="8"/>
    <s v="270 D HERITAGE VILLAGE"/>
    <n v="57720"/>
    <n v="85000"/>
    <n v="0.67905882399999995"/>
    <n v="1.4726264726264726"/>
    <x v="0"/>
    <x v="1"/>
    <x v="0"/>
    <x v="8"/>
  </r>
  <r>
    <n v="200821"/>
    <d v="2021-05-27T00:00:00"/>
    <x v="3"/>
    <x v="1"/>
    <d v="2021-05-01T00:00:00"/>
    <x v="64"/>
    <x v="11"/>
    <s v="7 CARRIAGE CRSNG"/>
    <n v="67270"/>
    <n v="82000"/>
    <n v="0.82030000000000003"/>
    <n v="1.2189683365541846"/>
    <x v="2"/>
    <x v="1"/>
    <x v="0"/>
    <x v="11"/>
  </r>
  <r>
    <n v="90111"/>
    <d v="2009-12-02T00:00:00"/>
    <x v="0"/>
    <x v="10"/>
    <d v="2009-12-01T00:00:00"/>
    <x v="66"/>
    <x v="17"/>
    <s v="165-53 SOUTH ST"/>
    <n v="62630"/>
    <n v="74000"/>
    <n v="0.84635135100000003"/>
    <n v="1.1815423918250041"/>
    <x v="0"/>
    <x v="1"/>
    <x v="0"/>
    <x v="17"/>
  </r>
  <r>
    <n v="200242"/>
    <d v="2021-01-27T00:00:00"/>
    <x v="7"/>
    <x v="1"/>
    <d v="2021-01-01T00:00:00"/>
    <x v="87"/>
    <x v="6"/>
    <s v="130 COE AVE #51"/>
    <n v="28240"/>
    <n v="73000"/>
    <n v="0.38684931500000003"/>
    <n v="2.5849858356940509"/>
    <x v="2"/>
    <x v="0"/>
    <x v="0"/>
    <x v="6"/>
  </r>
  <r>
    <n v="91123"/>
    <d v="2010-07-12T00:00:00"/>
    <x v="4"/>
    <x v="9"/>
    <d v="2010-07-01T00:00:00"/>
    <x v="94"/>
    <x v="5"/>
    <s v="192 MAYBURY CIRCLE #5"/>
    <n v="52580"/>
    <n v="65000"/>
    <n v="0.80892307699999999"/>
    <n v="1.2362114872575123"/>
    <x v="0"/>
    <x v="1"/>
    <x v="0"/>
    <x v="5"/>
  </r>
  <r>
    <n v="190767"/>
    <d v="2020-03-02T00:00:00"/>
    <x v="9"/>
    <x v="4"/>
    <d v="2020-03-01T00:00:00"/>
    <x v="94"/>
    <x v="5"/>
    <s v="1424 THOMASTON AVE #2"/>
    <n v="28490"/>
    <n v="61000"/>
    <n v="0.46700000000000003"/>
    <n v="2.1411021411021411"/>
    <x v="0"/>
    <x v="0"/>
    <x v="0"/>
    <x v="5"/>
  </r>
  <r>
    <n v="170668"/>
    <d v="2018-01-31T00:00:00"/>
    <x v="7"/>
    <x v="2"/>
    <d v="2018-01-01T00:00:00"/>
    <x v="91"/>
    <x v="12"/>
    <s v="120 HUNTINGTON TPKE UNIT 708"/>
    <n v="27570"/>
    <n v="59000"/>
    <n v="0.4672"/>
    <n v="2.1400072542618789"/>
    <x v="0"/>
    <x v="0"/>
    <x v="0"/>
    <x v="12"/>
  </r>
  <r>
    <n v="160606"/>
    <d v="2017-08-10T00:00:00"/>
    <x v="6"/>
    <x v="3"/>
    <d v="2017-08-01T00:00:00"/>
    <x v="12"/>
    <x v="3"/>
    <s v="1913 OLD POND LN"/>
    <n v="41000"/>
    <n v="55000"/>
    <n v="0.74545454499999997"/>
    <n v="1.3414634146341464"/>
    <x v="0"/>
    <x v="1"/>
    <x v="0"/>
    <x v="3"/>
  </r>
  <r>
    <n v="181369"/>
    <d v="2019-06-07T00:00:00"/>
    <x v="2"/>
    <x v="12"/>
    <d v="2019-06-01T00:00:00"/>
    <x v="91"/>
    <x v="12"/>
    <s v="265-A TEXAS AVE"/>
    <n v="36950"/>
    <n v="52000"/>
    <n v="0.71050000000000002"/>
    <n v="1.4073071718538566"/>
    <x v="0"/>
    <x v="1"/>
    <x v="0"/>
    <x v="12"/>
  </r>
  <r>
    <n v="100418"/>
    <d v="2011-08-10T00:00:00"/>
    <x v="6"/>
    <x v="11"/>
    <d v="2011-08-01T00:00:00"/>
    <x v="105"/>
    <x v="6"/>
    <s v="233 ELLINGTON RD #312"/>
    <n v="38500"/>
    <n v="50000"/>
    <n v="0.77"/>
    <n v="1.2987012987012987"/>
    <x v="0"/>
    <x v="1"/>
    <x v="0"/>
    <x v="6"/>
  </r>
  <r>
    <n v="10470"/>
    <d v="2011-06-06T00:00:00"/>
    <x v="2"/>
    <x v="11"/>
    <d v="2011-06-01T00:00:00"/>
    <x v="33"/>
    <x v="16"/>
    <s v="29 MORRIS ST. UNIT M29C"/>
    <n v="27874"/>
    <n v="42000"/>
    <n v="0.66366666699999999"/>
    <n v="1.5067805123053741"/>
    <x v="0"/>
    <x v="1"/>
    <x v="0"/>
    <x v="16"/>
  </r>
  <r>
    <n v="17568"/>
    <d v="2018-05-24T00:00:00"/>
    <x v="3"/>
    <x v="2"/>
    <d v="2018-05-01T00:00:00"/>
    <x v="33"/>
    <x v="16"/>
    <s v="755 WETHERSFIELD AV UNIT B2"/>
    <n v="11620"/>
    <n v="38500"/>
    <n v="0.30180000000000001"/>
    <n v="3.3132530120481927"/>
    <x v="0"/>
    <x v="0"/>
    <x v="0"/>
    <x v="16"/>
  </r>
  <r>
    <n v="61464"/>
    <d v="2007-05-25T00:00:00"/>
    <x v="3"/>
    <x v="8"/>
    <d v="2007-05-01T00:00:00"/>
    <x v="94"/>
    <x v="5"/>
    <s v="21 THIRD ST UT 6B"/>
    <n v="14770"/>
    <n v="33000"/>
    <n v="0.44757575799999999"/>
    <n v="2.2342586323628977"/>
    <x v="0"/>
    <x v="0"/>
    <x v="0"/>
    <x v="5"/>
  </r>
  <r>
    <n v="180558"/>
    <d v="2019-05-21T00:00:00"/>
    <x v="3"/>
    <x v="12"/>
    <d v="2019-05-01T00:00:00"/>
    <x v="16"/>
    <x v="3"/>
    <s v="1203 ELLA T GRASSO BLVD # B"/>
    <n v="28910"/>
    <n v="30000"/>
    <n v="0.96360000000000001"/>
    <n v="1.0377032168799722"/>
    <x v="0"/>
    <x v="1"/>
    <x v="0"/>
    <x v="3"/>
  </r>
  <r>
    <n v="2000720"/>
    <d v="2021-01-05T00:00:00"/>
    <x v="7"/>
    <x v="1"/>
    <d v="2021-01-01T00:00:00"/>
    <x v="10"/>
    <x v="8"/>
    <s v="57 HARBOR DRIVE GARAGE G-105B"/>
    <n v="19110"/>
    <n v="27500"/>
    <n v="0.69489999999999996"/>
    <n v="1.4390371533228676"/>
    <x v="2"/>
    <x v="1"/>
    <x v="0"/>
    <x v="8"/>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2">
  <r>
    <n v="160092"/>
    <d v="2016-12-20T00:00:00"/>
    <s v="December"/>
    <n v="2016"/>
    <d v="2016-12-01T00:00:00"/>
    <x v="0"/>
    <s v="13D ROBBINS LANE"/>
    <n v="45150"/>
    <n v="13650000"/>
    <n v="3.3076920000000001E-3"/>
    <n v="302.32558139534882"/>
    <s v="Condo"/>
    <s v="Overvalued"/>
    <s v="R"/>
  </r>
  <r>
    <n v="200195"/>
    <d v="2021-04-26T00:00:00"/>
    <s v="April"/>
    <n v="2021"/>
    <d v="2021-04-01T00:00:00"/>
    <x v="1"/>
    <s v="34      SHUNPIKE      ROAD"/>
    <n v="3360000"/>
    <n v="5214750"/>
    <n v="0.64429999999999998"/>
    <n v="1.5520089285714285"/>
    <s v="Commercial"/>
    <s v="Undervalued"/>
    <s v="C"/>
  </r>
  <r>
    <n v="201233"/>
    <d v="2021-06-22T00:00:00"/>
    <s v="June"/>
    <n v="2021"/>
    <d v="2021-06-01T00:00:00"/>
    <x v="2"/>
    <s v="11 BAYBERRY LANE"/>
    <n v="4259500"/>
    <n v="4300000"/>
    <n v="0.99050000000000005"/>
    <n v="1.0095081582345347"/>
    <s v="Residential"/>
    <s v="Undervalued"/>
    <s v="G"/>
  </r>
  <r>
    <n v="170261"/>
    <d v="2018-05-01T00:00:00"/>
    <s v="May"/>
    <n v="2018"/>
    <d v="2018-05-01T00:00:00"/>
    <x v="3"/>
    <s v="83 MANSFIELD RD 228"/>
    <n v="30660"/>
    <n v="3266250"/>
    <n v="9.3869120000000007E-3"/>
    <n v="106.53131115459882"/>
    <s v="Condo"/>
    <s v="Overvalued"/>
    <s v="N"/>
  </r>
  <r>
    <n v="170255"/>
    <d v="2018-05-01T00:00:00"/>
    <s v="May"/>
    <n v="2018"/>
    <d v="2018-05-01T00:00:00"/>
    <x v="3"/>
    <s v="83 MANSFIELD RD 220"/>
    <n v="30660"/>
    <n v="3266250"/>
    <n v="9.3869120000000007E-3"/>
    <n v="106.53131115459882"/>
    <s v="Condo"/>
    <s v="Overvalued"/>
    <s v="N"/>
  </r>
  <r>
    <n v="201186"/>
    <d v="2021-07-12T00:00:00"/>
    <s v="July"/>
    <n v="2021"/>
    <d v="2021-07-01T00:00:00"/>
    <x v="4"/>
    <s v="28 MAIN ST"/>
    <n v="695500"/>
    <n v="3200000"/>
    <n v="0.21734375"/>
    <n v="4.6010064701653484"/>
    <s v="Commercial"/>
    <s v="Overvalued"/>
    <s v="D"/>
  </r>
  <r>
    <n v="200645"/>
    <d v="2021-02-17T00:00:00"/>
    <s v="February"/>
    <n v="2021"/>
    <d v="2021-02-01T00:00:00"/>
    <x v="2"/>
    <s v="123 VALLEY DRIVE"/>
    <n v="2661200"/>
    <n v="3000000"/>
    <n v="0.88700000000000001"/>
    <n v="1.1273109875244252"/>
    <s v="Residential"/>
    <s v="Undervalued"/>
    <s v="G"/>
  </r>
  <r>
    <n v="200661"/>
    <d v="2021-08-30T00:00:00"/>
    <s v="August"/>
    <n v="2021"/>
    <d v="2021-08-01T00:00:00"/>
    <x v="5"/>
    <s v="322 MAIN ST"/>
    <n v="1279460"/>
    <n v="2400000"/>
    <n v="0.53310000000000002"/>
    <n v="1.87579134947556"/>
    <s v="Residential"/>
    <s v="Undervalued"/>
    <s v="N"/>
  </r>
  <r>
    <n v="201437"/>
    <d v="2021-07-20T00:00:00"/>
    <s v="July"/>
    <n v="2021"/>
    <d v="2021-07-01T00:00:00"/>
    <x v="2"/>
    <s v="552 RIVER ROAD"/>
    <n v="1337630"/>
    <n v="2300000"/>
    <n v="0.58150000000000002"/>
    <n v="1.7194590432331811"/>
    <s v="Residential"/>
    <s v="Undervalued"/>
    <s v="G"/>
  </r>
  <r>
    <n v="200055"/>
    <d v="2021-01-25T00:00:00"/>
    <s v="January"/>
    <n v="2021"/>
    <d v="2021-01-01T00:00:00"/>
    <x v="6"/>
    <s v="136 OLD LITCHFIELD RD"/>
    <n v="1030330"/>
    <n v="2285000"/>
    <n v="0.45090000000000002"/>
    <n v="2.2177360651441771"/>
    <s v="Residential"/>
    <s v="Overvalued"/>
    <s v="W"/>
  </r>
  <r>
    <n v="2016743"/>
    <d v="2021-07-19T00:00:00"/>
    <s v="July"/>
    <n v="2021"/>
    <d v="2021-07-01T00:00:00"/>
    <x v="7"/>
    <s v="241 ETHAN ALLEN HIGHWAY"/>
    <n v="1769800"/>
    <n v="1800000"/>
    <n v="0.98319999999999996"/>
    <n v="1.0170640750367272"/>
    <s v="Commercial"/>
    <s v="Undervalued"/>
    <s v="R"/>
  </r>
  <r>
    <n v="200320"/>
    <d v="2021-05-10T00:00:00"/>
    <s v="May"/>
    <n v="2021"/>
    <d v="2021-05-01T00:00:00"/>
    <x v="8"/>
    <s v="9 FREEDOM WAY"/>
    <n v="776230"/>
    <n v="1525000"/>
    <n v="0.50900000000000001"/>
    <n v="1.9646238872499131"/>
    <s v="Commercial"/>
    <s v="Undervalued"/>
    <s v="E"/>
  </r>
  <r>
    <n v="200377"/>
    <d v="2021-07-02T00:00:00"/>
    <s v="July"/>
    <n v="2021"/>
    <d v="2021-07-01T00:00:00"/>
    <x v="9"/>
    <s v="70 FAR HILLS DRIVE"/>
    <n v="862330"/>
    <n v="1447500"/>
    <n v="0.59570000000000001"/>
    <n v="1.6785917224264493"/>
    <s v="Residential"/>
    <s v="Undervalued"/>
    <s v="A"/>
  </r>
  <r>
    <n v="161304"/>
    <d v="2017-06-15T00:00:00"/>
    <s v="June"/>
    <n v="2017"/>
    <d v="2017-06-01T00:00:00"/>
    <x v="10"/>
    <s v="12 DRYDEN STREET 1B"/>
    <n v="91980"/>
    <n v="1323338"/>
    <n v="6.9506051999999999E-2"/>
    <n v="14.387236355729506"/>
    <s v="Condo"/>
    <s v="Overvalued"/>
    <s v="S"/>
  </r>
  <r>
    <n v="201494"/>
    <d v="2021-07-28T00:00:00"/>
    <s v="July"/>
    <n v="2021"/>
    <d v="2021-07-01T00:00:00"/>
    <x v="2"/>
    <s v="20 EAST LYON FARM DRIVE"/>
    <n v="632170"/>
    <n v="1250000"/>
    <n v="0.50570000000000004"/>
    <n v="1.9773162282297483"/>
    <s v="Residential"/>
    <s v="Undervalued"/>
    <s v="G"/>
  </r>
  <r>
    <n v="200109"/>
    <d v="2020-12-09T00:00:00"/>
    <s v="December"/>
    <n v="2020"/>
    <d v="2020-12-01T00:00:00"/>
    <x v="9"/>
    <s v="57 FAR HILLS DRIVE"/>
    <n v="847520"/>
    <n v="1250000"/>
    <n v="0.67800000000000005"/>
    <n v="1.474891447989428"/>
    <s v="Residential"/>
    <s v="Undervalued"/>
    <s v="A"/>
  </r>
  <r>
    <n v="200020"/>
    <d v="2020-10-06T00:00:00"/>
    <s v="October"/>
    <n v="2020"/>
    <d v="2020-10-01T00:00:00"/>
    <x v="11"/>
    <s v="98 EAST SHORE AVE"/>
    <n v="654570"/>
    <n v="990000"/>
    <n v="0.66118181799999998"/>
    <n v="1.5124432833768733"/>
    <s v="Residential"/>
    <s v="Undervalued"/>
    <s v="G"/>
  </r>
  <r>
    <n v="2001101"/>
    <d v="2021-03-04T00:00:00"/>
    <s v="March"/>
    <n v="2021"/>
    <d v="2021-03-01T00:00:00"/>
    <x v="10"/>
    <s v="385 ERSKINE ROAD"/>
    <n v="599810"/>
    <n v="950000"/>
    <n v="0.63129999999999997"/>
    <n v="1.5838348810456644"/>
    <s v="Residential"/>
    <s v="Undervalued"/>
    <s v="S"/>
  </r>
  <r>
    <n v="200427"/>
    <d v="2021-02-05T00:00:00"/>
    <s v="February"/>
    <n v="2021"/>
    <d v="2021-02-01T00:00:00"/>
    <x v="12"/>
    <s v="287-291 MAIN ST"/>
    <n v="587600"/>
    <n v="939000"/>
    <n v="0.62570000000000003"/>
    <n v="1.5980258679373724"/>
    <s v="Commercial"/>
    <s v="Undervalued"/>
    <s v="N"/>
  </r>
  <r>
    <n v="2001570"/>
    <d v="2021-05-14T00:00:00"/>
    <s v="May"/>
    <n v="2021"/>
    <d v="2021-05-01T00:00:00"/>
    <x v="10"/>
    <s v="52 ORCHARD STREET"/>
    <n v="486230"/>
    <n v="930000"/>
    <n v="0.52280000000000004"/>
    <n v="1.9126750714682352"/>
    <s v="Commercial"/>
    <s v="Undervalued"/>
    <s v="S"/>
  </r>
  <r>
    <n v="20771"/>
    <d v="2021-09-16T00:00:00"/>
    <s v="September"/>
    <n v="2021"/>
    <d v="2021-09-01T00:00:00"/>
    <x v="13"/>
    <s v="3 SHORT HILL ROAD"/>
    <n v="451770"/>
    <n v="910000"/>
    <n v="0.49645054900000002"/>
    <n v="2.0142993115966088"/>
    <s v="Residential"/>
    <s v="Overvalued"/>
    <s v="N"/>
  </r>
  <r>
    <n v="200627"/>
    <d v="2021-07-20T00:00:00"/>
    <s v="July"/>
    <n v="2021"/>
    <d v="2021-07-01T00:00:00"/>
    <x v="14"/>
    <s v="12 ROSEVIEW COURT"/>
    <n v="475160"/>
    <n v="905000"/>
    <n v="0.52500000000000002"/>
    <n v="1.9046216011448776"/>
    <s v="Residential"/>
    <s v="Undervalued"/>
    <s v="T"/>
  </r>
  <r>
    <n v="200243"/>
    <d v="2021-04-13T00:00:00"/>
    <s v="April"/>
    <n v="2021"/>
    <d v="2021-04-01T00:00:00"/>
    <x v="9"/>
    <s v="111 NORTHINGTON DRIVE"/>
    <n v="619290"/>
    <n v="890000"/>
    <n v="0.69579999999999997"/>
    <n v="1.4371296161733598"/>
    <s v="Residential"/>
    <s v="Undervalued"/>
    <s v="A"/>
  </r>
  <r>
    <n v="20129"/>
    <d v="2021-03-30T00:00:00"/>
    <s v="March"/>
    <n v="2021"/>
    <d v="2021-03-01T00:00:00"/>
    <x v="15"/>
    <s v="196 ELIZABETH ST"/>
    <n v="351260"/>
    <n v="873000"/>
    <n v="0.40229999999999999"/>
    <n v="2.4853384957011899"/>
    <s v="Commercial"/>
    <s v="Overvalued"/>
    <s v="D"/>
  </r>
  <r>
    <n v="201207"/>
    <d v="2021-07-21T00:00:00"/>
    <s v="July"/>
    <n v="2021"/>
    <d v="2021-07-01T00:00:00"/>
    <x v="16"/>
    <s v="40 TEMPLE CT # 40"/>
    <n v="368130"/>
    <n v="850000"/>
    <n v="0.433"/>
    <n v="2.3089669410262679"/>
    <s v="Residential"/>
    <s v="Overvalued"/>
    <s v="N"/>
  </r>
  <r>
    <n v="2000344"/>
    <d v="2020-11-10T00:00:00"/>
    <s v="November"/>
    <n v="2020"/>
    <d v="2020-11-01T00:00:00"/>
    <x v="10"/>
    <s v="11 LYNAM ROAD"/>
    <n v="539700"/>
    <n v="850000"/>
    <n v="0.63490000000000002"/>
    <n v="1.5749490457661663"/>
    <s v="Residential"/>
    <s v="Undervalued"/>
    <s v="S"/>
  </r>
  <r>
    <n v="200338"/>
    <d v="2021-04-23T00:00:00"/>
    <s v="April"/>
    <n v="2021"/>
    <d v="2021-04-01T00:00:00"/>
    <x v="5"/>
    <s v="116 ROCKY BROOK RD"/>
    <n v="620760"/>
    <n v="850000"/>
    <n v="0.73029999999999995"/>
    <n v="1.3692892583285006"/>
    <s v="Residential"/>
    <s v="Undervalued"/>
    <s v="N"/>
  </r>
  <r>
    <n v="202000106"/>
    <d v="2021-01-28T00:00:00"/>
    <s v="January"/>
    <n v="2021"/>
    <d v="2021-01-01T00:00:00"/>
    <x v="17"/>
    <s v="325 MAIN ST"/>
    <n v="596470"/>
    <n v="833111"/>
    <n v="0.71589999999999998"/>
    <n v="1.3967357955974316"/>
    <s v="Commercial"/>
    <s v="Undervalued"/>
    <s v="P"/>
  </r>
  <r>
    <n v="2001250"/>
    <d v="2021-03-25T00:00:00"/>
    <s v="March"/>
    <n v="2021"/>
    <d v="2021-03-01T00:00:00"/>
    <x v="10"/>
    <s v="28 VERNON PLACE"/>
    <n v="403190"/>
    <n v="810000"/>
    <n v="0.49769999999999998"/>
    <n v="2.0089783972816786"/>
    <s v="Residential"/>
    <s v="Overvalued"/>
    <s v="S"/>
  </r>
  <r>
    <n v="201027"/>
    <d v="2021-07-19T00:00:00"/>
    <s v="July"/>
    <n v="2021"/>
    <d v="2021-07-01T00:00:00"/>
    <x v="18"/>
    <s v="200 SHELDON ROAD"/>
    <n v="517700"/>
    <n v="800000"/>
    <n v="0.64710000000000001"/>
    <n v="1.5452965037666602"/>
    <s v="Commercial"/>
    <s v="Undervalued"/>
    <s v="M"/>
  </r>
  <r>
    <n v="2002453"/>
    <d v="2021-08-27T00:00:00"/>
    <s v="August"/>
    <n v="2021"/>
    <d v="2021-08-01T00:00:00"/>
    <x v="10"/>
    <s v="34 FIFTH STREET"/>
    <n v="596290"/>
    <n v="800000"/>
    <n v="0.74529999999999996"/>
    <n v="1.3416290731020142"/>
    <s v="Commercial"/>
    <s v="Undervalued"/>
    <s v="S"/>
  </r>
  <r>
    <n v="200097"/>
    <d v="2021-06-04T00:00:00"/>
    <s v="June"/>
    <n v="2021"/>
    <d v="2021-06-01T00:00:00"/>
    <x v="19"/>
    <s v="23 AMITY RD"/>
    <n v="511000"/>
    <n v="795000"/>
    <n v="0.64270000000000005"/>
    <n v="1.5557729941291585"/>
    <s v="Commercial"/>
    <s v="Undervalued"/>
    <s v="B"/>
  </r>
  <r>
    <n v="2002537"/>
    <d v="2021-09-07T00:00:00"/>
    <s v="September"/>
    <n v="2021"/>
    <d v="2021-09-01T00:00:00"/>
    <x v="10"/>
    <s v="56 ETHAN ALLEN LANE"/>
    <n v="441560"/>
    <n v="785000"/>
    <n v="0.56240000000000001"/>
    <n v="1.7777878431017302"/>
    <s v="Residential"/>
    <s v="Undervalued"/>
    <s v="S"/>
  </r>
  <r>
    <n v="20274"/>
    <d v="2021-01-08T00:00:00"/>
    <s v="January"/>
    <n v="2021"/>
    <d v="2021-01-01T00:00:00"/>
    <x v="13"/>
    <s v="16 SILVER BROOK LANE"/>
    <n v="419590"/>
    <n v="779000"/>
    <n v="0.53859999999999997"/>
    <n v="1.8565742748873901"/>
    <s v="Residential"/>
    <s v="Undervalued"/>
    <s v="N"/>
  </r>
  <r>
    <n v="2000120"/>
    <d v="2020-10-16T00:00:00"/>
    <s v="October"/>
    <n v="2020"/>
    <d v="2020-10-01T00:00:00"/>
    <x v="10"/>
    <s v="61 SEAVIEW AVENUE # 1"/>
    <n v="497000"/>
    <n v="755000"/>
    <n v="0.65820000000000001"/>
    <n v="1.5191146881287727"/>
    <s v="Residential"/>
    <s v="Undervalued"/>
    <s v="S"/>
  </r>
  <r>
    <n v="200098"/>
    <d v="2020-11-06T00:00:00"/>
    <s v="November"/>
    <n v="2020"/>
    <d v="2020-11-01T00:00:00"/>
    <x v="11"/>
    <s v="70 ATLANTIC AVE"/>
    <n v="354550"/>
    <n v="742500"/>
    <n v="0.47749999999999998"/>
    <n v="2.094203920462558"/>
    <s v="Residential"/>
    <s v="Overvalued"/>
    <s v="G"/>
  </r>
  <r>
    <n v="201328"/>
    <d v="2021-08-06T00:00:00"/>
    <s v="August"/>
    <n v="2021"/>
    <d v="2021-08-01T00:00:00"/>
    <x v="1"/>
    <s v="6 BELHAVEN"/>
    <n v="410670"/>
    <n v="740000"/>
    <n v="0.55489999999999995"/>
    <n v="1.8019334258650499"/>
    <s v="Residential"/>
    <s v="Undervalued"/>
    <s v="C"/>
  </r>
  <r>
    <n v="200170"/>
    <d v="2021-06-14T00:00:00"/>
    <s v="June"/>
    <n v="2021"/>
    <d v="2021-06-01T00:00:00"/>
    <x v="20"/>
    <s v="104 CHAPMAN BEACH RD"/>
    <n v="271120"/>
    <n v="725000"/>
    <n v="0.37390000000000001"/>
    <n v="2.6740926526999114"/>
    <s v="Residential"/>
    <s v="Overvalued"/>
    <s v="W"/>
  </r>
  <r>
    <n v="20458"/>
    <d v="2021-06-18T00:00:00"/>
    <s v="June"/>
    <n v="2021"/>
    <d v="2021-06-01T00:00:00"/>
    <x v="21"/>
    <s v="4 DONNA ST"/>
    <n v="271240"/>
    <n v="710000"/>
    <n v="0.38200000000000001"/>
    <n v="2.6176080224155731"/>
    <s v="Residential"/>
    <s v="Overvalued"/>
    <s v="W"/>
  </r>
  <r>
    <n v="200421"/>
    <d v="2020-12-24T00:00:00"/>
    <s v="December"/>
    <n v="2020"/>
    <d v="2020-12-01T00:00:00"/>
    <x v="2"/>
    <s v="130 NORTH WATER STREET"/>
    <n v="288190"/>
    <n v="705000"/>
    <n v="0.40870000000000001"/>
    <n v="2.4463027863562234"/>
    <s v="Residential"/>
    <s v="Overvalued"/>
    <s v="G"/>
  </r>
  <r>
    <n v="200258"/>
    <d v="2021-01-22T00:00:00"/>
    <s v="January"/>
    <n v="2021"/>
    <d v="2021-01-01T00:00:00"/>
    <x v="22"/>
    <s v="34 SUNRISE COVE CAMP"/>
    <n v="530500"/>
    <n v="700000"/>
    <n v="0.75780000000000003"/>
    <n v="1.3195098963242224"/>
    <s v="Residential"/>
    <s v="Undervalued"/>
    <s v="B"/>
  </r>
  <r>
    <n v="2020313"/>
    <d v="2021-07-01T00:00:00"/>
    <s v="July"/>
    <n v="2021"/>
    <d v="2021-07-01T00:00:00"/>
    <x v="23"/>
    <s v="216 WATCH HILL RD"/>
    <n v="412000"/>
    <n v="677500"/>
    <n v="0.60809999999999997"/>
    <n v="1.6444174757281553"/>
    <s v="Residential"/>
    <s v="Undervalued"/>
    <s v="B"/>
  </r>
  <r>
    <n v="2001286"/>
    <d v="2021-03-30T00:00:00"/>
    <s v="March"/>
    <n v="2021"/>
    <d v="2021-03-01T00:00:00"/>
    <x v="10"/>
    <s v="1156 STILLWATER ROAD"/>
    <n v="438860"/>
    <n v="652000"/>
    <n v="0.67300000000000004"/>
    <n v="1.4856674110194594"/>
    <s v="Residential"/>
    <s v="Undervalued"/>
    <s v="S"/>
  </r>
  <r>
    <n v="200639"/>
    <d v="2021-07-28T00:00:00"/>
    <s v="July"/>
    <n v="2021"/>
    <d v="2021-07-01T00:00:00"/>
    <x v="11"/>
    <s v="4 TYLER AVE"/>
    <n v="259770"/>
    <n v="650000"/>
    <n v="0.39964615399999998"/>
    <n v="2.5022134965546443"/>
    <s v="Residential"/>
    <s v="Overvalued"/>
    <s v="G"/>
  </r>
  <r>
    <n v="20200578"/>
    <d v="2021-02-17T00:00:00"/>
    <s v="February"/>
    <n v="2021"/>
    <d v="2021-02-01T00:00:00"/>
    <x v="24"/>
    <s v="2318 MAIN STREET"/>
    <n v="429800"/>
    <n v="650000"/>
    <n v="0.66120000000000001"/>
    <n v="1.5123313168915775"/>
    <s v="Commercial"/>
    <s v="Undervalued"/>
    <s v="S"/>
  </r>
  <r>
    <n v="200804"/>
    <d v="2021-09-28T00:00:00"/>
    <s v="September"/>
    <n v="2021"/>
    <d v="2021-09-01T00:00:00"/>
    <x v="22"/>
    <s v="119 MONTOWESE ST"/>
    <n v="455100"/>
    <n v="650000"/>
    <n v="0.70009999999999994"/>
    <n v="1.4282575258185015"/>
    <s v="Commercial"/>
    <s v="Undervalued"/>
    <s v="B"/>
  </r>
  <r>
    <n v="200043"/>
    <d v="2020-12-09T00:00:00"/>
    <s v="December"/>
    <n v="2020"/>
    <d v="2020-12-01T00:00:00"/>
    <x v="25"/>
    <s v="46 TITUS COAN ROAD"/>
    <n v="354040"/>
    <n v="645000"/>
    <n v="0.54879999999999995"/>
    <n v="1.8218280420291493"/>
    <s v="Residential"/>
    <s v="Undervalued"/>
    <s v="K"/>
  </r>
  <r>
    <n v="200042"/>
    <d v="2021-05-19T00:00:00"/>
    <s v="May"/>
    <n v="2021"/>
    <d v="2021-05-01T00:00:00"/>
    <x v="26"/>
    <s v="93 MAIN ST"/>
    <n v="355800"/>
    <n v="599000"/>
    <n v="0.59389999999999998"/>
    <n v="1.6835300730747611"/>
    <s v="Residential"/>
    <s v="Undervalued"/>
    <s v="C"/>
  </r>
  <r>
    <n v="70101"/>
    <d v="2008-03-03T00:00:00"/>
    <s v="March"/>
    <n v="2008"/>
    <d v="2008-03-01T00:00:00"/>
    <x v="27"/>
    <s v="17 PEQUOT CT"/>
    <n v="342230"/>
    <n v="575000"/>
    <n v="0.59518260899999997"/>
    <n v="1.6801566198170821"/>
    <s v="Condo"/>
    <s v="Undervalued"/>
    <s v="M"/>
  </r>
  <r>
    <n v="200002"/>
    <d v="2020-10-01T00:00:00"/>
    <s v="October"/>
    <n v="2020"/>
    <d v="2020-10-01T00:00:00"/>
    <x v="28"/>
    <s v="20 CHURCH ST"/>
    <n v="439290"/>
    <n v="575000"/>
    <n v="0.76398260900000003"/>
    <n v="1.3089303193789978"/>
    <s v="Residential"/>
    <s v="Undervalued"/>
    <s v="R"/>
  </r>
  <r>
    <n v="160178"/>
    <d v="2017-06-14T00:00:00"/>
    <s v="June"/>
    <n v="2017"/>
    <d v="2017-06-01T00:00:00"/>
    <x v="29"/>
    <s v="81 COULTER ST #14"/>
    <n v="363600"/>
    <n v="572500"/>
    <n v="0.63510917"/>
    <n v="1.5745324532453244"/>
    <s v="Condo"/>
    <s v="Undervalued"/>
    <s v="O"/>
  </r>
  <r>
    <n v="20249"/>
    <d v="2021-09-30T00:00:00"/>
    <s v="September"/>
    <n v="2021"/>
    <d v="2021-09-01T00:00:00"/>
    <x v="30"/>
    <s v="387 TIMBERLANE DR"/>
    <n v="297700"/>
    <n v="550000"/>
    <n v="0.54120000000000001"/>
    <n v="1.8474974806852535"/>
    <s v="Residential"/>
    <s v="Undervalued"/>
    <s v="O"/>
  </r>
  <r>
    <n v="200742"/>
    <d v="2021-03-29T00:00:00"/>
    <s v="March"/>
    <n v="2021"/>
    <d v="2021-03-01T00:00:00"/>
    <x v="4"/>
    <s v="17 OHEHYAHTAH PL"/>
    <n v="339100"/>
    <n v="550000"/>
    <n v="0.61650000000000005"/>
    <n v="1.6219404305514598"/>
    <s v="Residential"/>
    <s v="Undervalued"/>
    <s v="D"/>
  </r>
  <r>
    <n v="200151"/>
    <d v="2020-12-14T00:00:00"/>
    <s v="December"/>
    <n v="2020"/>
    <d v="2020-12-01T00:00:00"/>
    <x v="31"/>
    <s v="15 MALS WAY"/>
    <n v="356410"/>
    <n v="550000"/>
    <n v="0.64800000000000002"/>
    <n v="1.543166577817682"/>
    <s v="Residential"/>
    <s v="Undervalued"/>
    <s v="F"/>
  </r>
  <r>
    <n v="70561"/>
    <d v="2008-09-11T00:00:00"/>
    <s v="September"/>
    <n v="2008"/>
    <d v="2008-09-01T00:00:00"/>
    <x v="32"/>
    <s v="11 RUSHBROOKE LN"/>
    <n v="342650"/>
    <n v="542500"/>
    <n v="0.63161290299999995"/>
    <n v="1.5832482124616956"/>
    <s v="Condo"/>
    <s v="Undervalued"/>
    <s v="S"/>
  </r>
  <r>
    <n v="2001590"/>
    <d v="2021-05-17T00:00:00"/>
    <s v="May"/>
    <n v="2021"/>
    <d v="2021-05-01T00:00:00"/>
    <x v="10"/>
    <s v="37 CROSS ROAD"/>
    <n v="423700"/>
    <n v="533350"/>
    <n v="0.7944"/>
    <n v="1.2587915978286524"/>
    <s v="Residential"/>
    <s v="Undervalued"/>
    <s v="S"/>
  </r>
  <r>
    <n v="141056"/>
    <d v="2015-06-02T00:00:00"/>
    <s v="June"/>
    <n v="2015"/>
    <d v="2015-06-01T00:00:00"/>
    <x v="10"/>
    <s v="1707 SUMMER STREET UT 3"/>
    <n v="314280"/>
    <n v="526000"/>
    <n v="0.59749049399999998"/>
    <n v="1.673666793941708"/>
    <s v="Condo"/>
    <s v="Undervalued"/>
    <s v="S"/>
  </r>
  <r>
    <n v="201580"/>
    <d v="2021-09-27T00:00:00"/>
    <s v="September"/>
    <n v="2021"/>
    <d v="2021-09-01T00:00:00"/>
    <x v="4"/>
    <s v="25 CROWN ST"/>
    <n v="192300"/>
    <n v="525000"/>
    <n v="0.36628571399999998"/>
    <n v="2.7301092043681749"/>
    <s v="Residential"/>
    <s v="Overvalued"/>
    <s v="D"/>
  </r>
  <r>
    <n v="200374"/>
    <d v="2021-03-01T00:00:00"/>
    <s v="March"/>
    <n v="2021"/>
    <d v="2021-03-01T00:00:00"/>
    <x v="32"/>
    <s v="1103 RENAISSANCE"/>
    <n v="227500"/>
    <n v="525000"/>
    <n v="0.43330000000000002"/>
    <n v="2.3076923076923075"/>
    <s v="Residential"/>
    <s v="Overvalued"/>
    <s v="S"/>
  </r>
  <r>
    <n v="201023"/>
    <d v="2021-07-26T00:00:00"/>
    <s v="July"/>
    <n v="2021"/>
    <d v="2021-07-01T00:00:00"/>
    <x v="33"/>
    <s v="410 MARKET ST"/>
    <n v="435610"/>
    <n v="525000"/>
    <n v="0.82969999999999999"/>
    <n v="1.2052064920456371"/>
    <s v="Commercial"/>
    <s v="Undervalued"/>
    <s v="H"/>
  </r>
  <r>
    <n v="200827"/>
    <d v="2021-09-07T00:00:00"/>
    <s v="September"/>
    <n v="2021"/>
    <d v="2021-09-01T00:00:00"/>
    <x v="34"/>
    <s v="38 MONTAUK WAY"/>
    <n v="332000"/>
    <n v="520000"/>
    <n v="0.63839999999999997"/>
    <n v="1.5662650602409638"/>
    <s v="Residential"/>
    <s v="Undervalued"/>
    <s v="G"/>
  </r>
  <r>
    <n v="200140"/>
    <d v="2021-04-28T00:00:00"/>
    <s v="April"/>
    <n v="2021"/>
    <d v="2021-04-01T00:00:00"/>
    <x v="35"/>
    <s v="14 ESSEX GLEN DR #12"/>
    <n v="335800"/>
    <n v="520000"/>
    <n v="0.64570000000000005"/>
    <n v="1.5485407980941037"/>
    <s v="Residential"/>
    <s v="Undervalued"/>
    <s v="E"/>
  </r>
  <r>
    <n v="200499"/>
    <d v="2021-09-10T00:00:00"/>
    <s v="September"/>
    <n v="2021"/>
    <d v="2021-09-01T00:00:00"/>
    <x v="8"/>
    <s v="27 SEA CREST AVE"/>
    <n v="233660"/>
    <n v="517000"/>
    <n v="0.45190000000000002"/>
    <n v="2.2126166224428658"/>
    <s v="Residential"/>
    <s v="Overvalued"/>
    <s v="E"/>
  </r>
  <r>
    <n v="130962"/>
    <d v="2014-09-08T00:00:00"/>
    <s v="September"/>
    <n v="2014"/>
    <d v="2014-09-01T00:00:00"/>
    <x v="36"/>
    <s v="48 GATE RIDGE ROAD"/>
    <n v="301070"/>
    <n v="515000"/>
    <n v="0.58460194200000004"/>
    <n v="1.7105656491845751"/>
    <s v="Condo"/>
    <s v="Undervalued"/>
    <s v="F"/>
  </r>
  <r>
    <n v="20588"/>
    <d v="2021-07-29T00:00:00"/>
    <s v="July"/>
    <n v="2021"/>
    <d v="2021-07-01T00:00:00"/>
    <x v="37"/>
    <s v="2005 PURCHASE BROOK RD"/>
    <n v="235950"/>
    <n v="510000"/>
    <n v="0.46260000000000001"/>
    <n v="2.1614748887476161"/>
    <s v="Residential"/>
    <s v="Overvalued"/>
    <s v="S"/>
  </r>
  <r>
    <n v="20742"/>
    <d v="2021-08-30T00:00:00"/>
    <s v="August"/>
    <n v="2021"/>
    <d v="2021-08-01T00:00:00"/>
    <x v="13"/>
    <s v="157 HANOVER ROAD"/>
    <n v="325640"/>
    <n v="508000"/>
    <n v="0.64100000000000001"/>
    <n v="1.5600049134013021"/>
    <s v="Residential"/>
    <s v="Undervalued"/>
    <s v="N"/>
  </r>
  <r>
    <n v="150034"/>
    <d v="2016-05-04T00:00:00"/>
    <s v="May"/>
    <n v="2016"/>
    <d v="2016-05-01T00:00:00"/>
    <x v="38"/>
    <s v="9 GREAT ELM DR #1"/>
    <n v="309800"/>
    <n v="505000"/>
    <n v="0.61346534699999999"/>
    <n v="1.6300839251129762"/>
    <s v="Condo"/>
    <s v="Undervalued"/>
    <s v="S"/>
  </r>
  <r>
    <n v="70535"/>
    <d v="2008-05-02T00:00:00"/>
    <s v="May"/>
    <n v="2008"/>
    <d v="2008-05-01T00:00:00"/>
    <x v="39"/>
    <s v="25 CASSANDRA BLVD #304"/>
    <n v="235800"/>
    <n v="487710"/>
    <n v="0.483484038"/>
    <n v="2.0683206106870231"/>
    <s v="Condo"/>
    <s v="Overvalued"/>
    <s v="W"/>
  </r>
  <r>
    <n v="200080"/>
    <d v="2020-11-05T00:00:00"/>
    <s v="November"/>
    <n v="2020"/>
    <d v="2020-11-01T00:00:00"/>
    <x v="40"/>
    <s v="2 WINTERBERRY RD"/>
    <n v="239550"/>
    <n v="480000"/>
    <n v="0.499"/>
    <n v="2.0037570444583594"/>
    <s v="Residential"/>
    <s v="Overvalued"/>
    <s v="G"/>
  </r>
  <r>
    <n v="200282"/>
    <d v="2021-07-15T00:00:00"/>
    <s v="July"/>
    <n v="2021"/>
    <d v="2021-07-01T00:00:00"/>
    <x v="41"/>
    <s v="1467 SOUTH       ST"/>
    <n v="359800"/>
    <n v="480000"/>
    <n v="0.74950000000000006"/>
    <n v="1.3340744858254585"/>
    <s v="Commercial"/>
    <s v="Undervalued"/>
    <s v="C"/>
  </r>
  <r>
    <n v="162511"/>
    <d v="2017-09-07T00:00:00"/>
    <s v="September"/>
    <n v="2017"/>
    <d v="2017-09-01T00:00:00"/>
    <x v="32"/>
    <s v="9 SYLVESTERS WAY"/>
    <n v="306950"/>
    <n v="476549"/>
    <n v="0.64411004999999999"/>
    <n v="1.5525297279687245"/>
    <s v="Condo"/>
    <s v="Undervalued"/>
    <s v="S"/>
  </r>
  <r>
    <n v="200145"/>
    <d v="2021-08-09T00:00:00"/>
    <s v="August"/>
    <n v="2021"/>
    <d v="2021-08-01T00:00:00"/>
    <x v="42"/>
    <s v="82 NILES ROAD"/>
    <n v="238980"/>
    <n v="460000"/>
    <n v="0.51949999999999996"/>
    <n v="1.9248472675537702"/>
    <s v="Residential"/>
    <s v="Undervalued"/>
    <s v="N"/>
  </r>
  <r>
    <n v="200359"/>
    <d v="2021-03-08T00:00:00"/>
    <s v="March"/>
    <n v="2021"/>
    <d v="2021-03-01T00:00:00"/>
    <x v="14"/>
    <s v="94 NORTH STOWE PLACE"/>
    <n v="256550"/>
    <n v="451000"/>
    <n v="0.56879999999999997"/>
    <n v="1.7579419216526992"/>
    <s v="Residential"/>
    <s v="Undervalued"/>
    <s v="T"/>
  </r>
  <r>
    <n v="20761"/>
    <d v="2021-05-28T00:00:00"/>
    <s v="May"/>
    <n v="2021"/>
    <d v="2021-05-01T00:00:00"/>
    <x v="43"/>
    <s v="150 GOLD ST"/>
    <n v="212310"/>
    <n v="450000"/>
    <n v="0.4718"/>
    <n v="2.1195421788893598"/>
    <s v="Apartments"/>
    <s v="Overvalued"/>
    <s v="N"/>
  </r>
  <r>
    <n v="201007"/>
    <d v="2021-03-22T00:00:00"/>
    <s v="March"/>
    <n v="2021"/>
    <d v="2021-03-01T00:00:00"/>
    <x v="44"/>
    <s v="29 GREGORY BLVD"/>
    <n v="261800"/>
    <n v="450000"/>
    <n v="0.58169999999999999"/>
    <n v="1.7188693659281895"/>
    <s v="Residential"/>
    <s v="Undervalued"/>
    <s v="N"/>
  </r>
  <r>
    <n v="202281"/>
    <d v="2021-09-07T00:00:00"/>
    <s v="September"/>
    <n v="2021"/>
    <d v="2021-09-01T00:00:00"/>
    <x v="45"/>
    <s v="108 MULHOLLAND WAY"/>
    <n v="276010"/>
    <n v="443165"/>
    <n v="0.62280000000000002"/>
    <n v="1.6056121155030614"/>
    <s v="Residential"/>
    <s v="Undervalued"/>
    <s v="N"/>
  </r>
  <r>
    <n v="20360"/>
    <d v="2021-01-22T00:00:00"/>
    <s v="January"/>
    <n v="2021"/>
    <d v="2021-01-01T00:00:00"/>
    <x v="33"/>
    <s v="1301 MAIN ST"/>
    <n v="173670"/>
    <n v="439900"/>
    <n v="0.3947"/>
    <n v="2.5329648183336211"/>
    <s v="Commercial"/>
    <s v="Overvalued"/>
    <s v="H"/>
  </r>
  <r>
    <n v="200552"/>
    <d v="2021-09-23T00:00:00"/>
    <s v="September"/>
    <n v="2021"/>
    <d v="2021-09-01T00:00:00"/>
    <x v="46"/>
    <s v="12 CUTTER DR"/>
    <n v="213100"/>
    <n v="435000"/>
    <n v="0.48980000000000001"/>
    <n v="2.0412951665884562"/>
    <s v="Residential"/>
    <s v="Overvalued"/>
    <s v="S"/>
  </r>
  <r>
    <n v="20002"/>
    <d v="2020-10-02T00:00:00"/>
    <s v="October"/>
    <n v="2020"/>
    <d v="2020-10-01T00:00:00"/>
    <x v="47"/>
    <s v="390 TURNPIKE RD"/>
    <n v="253000"/>
    <n v="430000"/>
    <n v="0.58830000000000005"/>
    <n v="1.6996047430830039"/>
    <s v="Residential"/>
    <s v="Undervalued"/>
    <s v="A"/>
  </r>
  <r>
    <n v="60890"/>
    <d v="2007-04-18T00:00:00"/>
    <s v="April"/>
    <n v="2007"/>
    <d v="2007-04-01T00:00:00"/>
    <x v="44"/>
    <s v="33 NORTH WATER ST"/>
    <n v="44653"/>
    <n v="429000"/>
    <n v="0.10408624700000001"/>
    <n v="9.6074171948133387"/>
    <s v="Condo"/>
    <s v="Overvalued"/>
    <s v="N"/>
  </r>
  <r>
    <n v="162063"/>
    <d v="2017-09-27T00:00:00"/>
    <s v="September"/>
    <n v="2017"/>
    <d v="2017-09-01T00:00:00"/>
    <x v="10"/>
    <s v="101 GROVE STREET G-17"/>
    <n v="8190"/>
    <n v="427500"/>
    <n v="1.9157895000000001E-2"/>
    <n v="52.197802197802197"/>
    <s v="Condo"/>
    <s v="Overvalued"/>
    <s v="S"/>
  </r>
  <r>
    <n v="200125"/>
    <d v="2021-03-31T00:00:00"/>
    <s v="March"/>
    <n v="2021"/>
    <d v="2021-03-01T00:00:00"/>
    <x v="35"/>
    <s v="35 DEER LA"/>
    <n v="220500"/>
    <n v="425000"/>
    <n v="0.51880000000000004"/>
    <n v="1.9274376417233561"/>
    <s v="Residential"/>
    <s v="Undervalued"/>
    <s v="E"/>
  </r>
  <r>
    <n v="200236"/>
    <d v="2021-03-18T00:00:00"/>
    <s v="March"/>
    <n v="2021"/>
    <d v="2021-03-01T00:00:00"/>
    <x v="8"/>
    <s v="8 N EDGEWOOD RD"/>
    <n v="238140"/>
    <n v="421000"/>
    <n v="0.56559999999999999"/>
    <n v="1.7678676408835139"/>
    <s v="Residential"/>
    <s v="Undervalued"/>
    <s v="E"/>
  </r>
  <r>
    <n v="200599"/>
    <d v="2021-07-02T00:00:00"/>
    <s v="July"/>
    <n v="2021"/>
    <d v="2021-07-01T00:00:00"/>
    <x v="14"/>
    <s v="29 WALNUT AVE"/>
    <n v="237440"/>
    <n v="420000"/>
    <n v="0.56530000000000002"/>
    <n v="1.7688679245283019"/>
    <s v="Residential"/>
    <s v="Undervalued"/>
    <s v="T"/>
  </r>
  <r>
    <n v="200078"/>
    <d v="2021-09-20T00:00:00"/>
    <s v="September"/>
    <n v="2021"/>
    <d v="2021-09-01T00:00:00"/>
    <x v="48"/>
    <s v="6 SUNSET AVE"/>
    <n v="250100"/>
    <n v="418800"/>
    <n v="0.59709999999999996"/>
    <n v="1.67453018792483"/>
    <s v="Residential"/>
    <s v="Undervalued"/>
    <s v="C"/>
  </r>
  <r>
    <n v="200305"/>
    <d v="2021-01-26T00:00:00"/>
    <s v="January"/>
    <n v="2021"/>
    <d v="2021-01-01T00:00:00"/>
    <x v="49"/>
    <s v="15 SALERNO DR"/>
    <n v="233660"/>
    <n v="410000"/>
    <n v="0.56989999999999996"/>
    <n v="1.7546862963279979"/>
    <s v="Residential"/>
    <s v="Undervalued"/>
    <s v="E"/>
  </r>
  <r>
    <n v="2001493"/>
    <d v="2021-05-03T00:00:00"/>
    <s v="May"/>
    <n v="2021"/>
    <d v="2021-05-01T00:00:00"/>
    <x v="10"/>
    <s v="18 BUNGALOW PARK"/>
    <n v="238890"/>
    <n v="400000"/>
    <n v="0.59719999999999995"/>
    <n v="1.6744108166938758"/>
    <s v="Residential"/>
    <s v="Undervalued"/>
    <s v="S"/>
  </r>
  <r>
    <n v="201057"/>
    <d v="2021-08-12T00:00:00"/>
    <s v="August"/>
    <n v="2021"/>
    <d v="2021-08-01T00:00:00"/>
    <x v="43"/>
    <s v="5 ARCH ST"/>
    <n v="264390"/>
    <n v="400000"/>
    <n v="0.66090000000000004"/>
    <n v="1.5129165248307426"/>
    <s v="Commercial"/>
    <s v="Undervalued"/>
    <s v="N"/>
  </r>
  <r>
    <n v="20200824"/>
    <d v="2021-05-03T00:00:00"/>
    <s v="May"/>
    <n v="2021"/>
    <d v="2021-05-01T00:00:00"/>
    <x v="24"/>
    <s v="758A QUINNIPIAC LANE"/>
    <n v="193340"/>
    <n v="395000"/>
    <n v="0.4894"/>
    <n v="2.0430329988621083"/>
    <s v="Residential"/>
    <s v="Overvalued"/>
    <s v="S"/>
  </r>
  <r>
    <n v="200035"/>
    <d v="2020-10-29T00:00:00"/>
    <s v="October"/>
    <n v="2020"/>
    <d v="2020-10-01T00:00:00"/>
    <x v="50"/>
    <s v="160 SHADBUSH DR"/>
    <n v="223900"/>
    <n v="392000"/>
    <n v="0.57110000000000005"/>
    <n v="1.7507815989280928"/>
    <s v="Residential"/>
    <s v="Undervalued"/>
    <s v="C"/>
  </r>
  <r>
    <n v="200510"/>
    <d v="2021-09-15T00:00:00"/>
    <s v="September"/>
    <n v="2021"/>
    <d v="2021-09-01T00:00:00"/>
    <x v="8"/>
    <s v="3 CARLISE LN"/>
    <n v="212100"/>
    <n v="390500"/>
    <n v="0.54310000000000003"/>
    <n v="1.8411126826968411"/>
    <s v="Residential"/>
    <s v="Undervalued"/>
    <s v="E"/>
  </r>
  <r>
    <n v="200074"/>
    <d v="2021-09-01T00:00:00"/>
    <s v="September"/>
    <n v="2021"/>
    <d v="2021-09-01T00:00:00"/>
    <x v="51"/>
    <s v="131 KENT RD"/>
    <n v="246100"/>
    <n v="385000"/>
    <n v="0.63919999999999999"/>
    <n v="1.564404713531085"/>
    <s v="Commercial"/>
    <s v="Undervalued"/>
    <s v="C"/>
  </r>
  <r>
    <n v="200014"/>
    <d v="2020-10-13T00:00:00"/>
    <s v="October"/>
    <n v="2020"/>
    <d v="2020-10-01T00:00:00"/>
    <x v="20"/>
    <s v="233 KENROSE TER"/>
    <n v="245790"/>
    <n v="382000"/>
    <n v="0.64339999999999997"/>
    <n v="1.554172260873103"/>
    <s v="Residential"/>
    <s v="Undervalued"/>
    <s v="W"/>
  </r>
  <r>
    <n v="200245"/>
    <d v="2021-01-06T00:00:00"/>
    <s v="January"/>
    <n v="2021"/>
    <d v="2021-01-01T00:00:00"/>
    <x v="32"/>
    <s v="172-176 CORAM AVE"/>
    <n v="310660"/>
    <n v="375000"/>
    <n v="0.82840000000000003"/>
    <n v="1.2071074486576965"/>
    <s v="Commercial"/>
    <s v="Undervalued"/>
    <s v="S"/>
  </r>
  <r>
    <n v="162000"/>
    <d v="2017-09-14T00:00:00"/>
    <s v="September"/>
    <n v="2017"/>
    <d v="2017-09-01T00:00:00"/>
    <x v="10"/>
    <s v="61 SEAVIEW AVENUE D-39"/>
    <n v="264700"/>
    <n v="373000"/>
    <n v="0.70965147500000003"/>
    <n v="1.4091424253872309"/>
    <s v="Condo"/>
    <s v="Undervalued"/>
    <s v="S"/>
  </r>
  <r>
    <n v="200081"/>
    <d v="2020-11-09T00:00:00"/>
    <s v="November"/>
    <n v="2020"/>
    <d v="2020-11-01T00:00:00"/>
    <x v="52"/>
    <s v="2C MILL PONDO LANE"/>
    <n v="270440"/>
    <n v="372000"/>
    <n v="0.72689999999999999"/>
    <n v="1.3755361632894543"/>
    <s v="Residential"/>
    <s v="Undervalued"/>
    <s v="S"/>
  </r>
  <r>
    <n v="200011"/>
    <d v="2020-10-13T00:00:00"/>
    <s v="October"/>
    <n v="2020"/>
    <d v="2020-10-01T00:00:00"/>
    <x v="14"/>
    <s v="14 WOODLAWN DR"/>
    <n v="183190"/>
    <n v="370000"/>
    <n v="0.49509999999999998"/>
    <n v="2.0197609039794751"/>
    <s v="Residential"/>
    <s v="Overvalued"/>
    <s v="T"/>
  </r>
  <r>
    <n v="900420"/>
    <d v="2010-09-07T00:00:00"/>
    <s v="September"/>
    <n v="2010"/>
    <d v="2010-09-01T00:00:00"/>
    <x v="31"/>
    <s v="98 BRADFORD WALK"/>
    <n v="265580"/>
    <n v="369900"/>
    <n v="0.71797783199999998"/>
    <n v="1.3928006627005045"/>
    <s v="Condo"/>
    <s v="Undervalued"/>
    <s v="F"/>
  </r>
  <r>
    <n v="200233"/>
    <d v="2020-12-31T00:00:00"/>
    <s v="December"/>
    <n v="2020"/>
    <d v="2020-12-01T00:00:00"/>
    <x v="14"/>
    <s v="8 TURNER AVE"/>
    <n v="202160"/>
    <n v="365000"/>
    <n v="0.55379999999999996"/>
    <n v="1.8055005935892363"/>
    <s v="Residential"/>
    <s v="Undervalued"/>
    <s v="T"/>
  </r>
  <r>
    <n v="2000230"/>
    <d v="2021-03-16T00:00:00"/>
    <s v="March"/>
    <n v="2021"/>
    <d v="2021-03-01T00:00:00"/>
    <x v="53"/>
    <s v="50 ABBEY CT"/>
    <n v="210940"/>
    <n v="365000"/>
    <n v="0.57789999999999997"/>
    <n v="1.7303498625201479"/>
    <s v="Residential"/>
    <s v="Undervalued"/>
    <s v="C"/>
  </r>
  <r>
    <n v="201129"/>
    <d v="2021-08-19T00:00:00"/>
    <s v="August"/>
    <n v="2021"/>
    <d v="2021-08-01T00:00:00"/>
    <x v="33"/>
    <s v="20 GIDDINGS ST"/>
    <n v="114954"/>
    <n v="360000"/>
    <n v="0.31929999999999997"/>
    <n v="3.1316874575917324"/>
    <s v="Residential"/>
    <s v="Overvalued"/>
    <s v="H"/>
  </r>
  <r>
    <n v="20293"/>
    <d v="2021-06-07T00:00:00"/>
    <s v="June"/>
    <n v="2021"/>
    <d v="2021-06-01T00:00:00"/>
    <x v="54"/>
    <s v="404 PLAINFIELD PIKE RD"/>
    <n v="193560"/>
    <n v="360000"/>
    <n v="0.53759999999999997"/>
    <n v="1.8598884066955983"/>
    <s v="Residential"/>
    <s v="Undervalued"/>
    <s v="P"/>
  </r>
  <r>
    <n v="200125"/>
    <d v="2021-09-07T00:00:00"/>
    <s v="September"/>
    <n v="2021"/>
    <d v="2021-09-01T00:00:00"/>
    <x v="55"/>
    <s v="167 BIRGE PARK RD"/>
    <n v="194790"/>
    <n v="360000"/>
    <n v="0.54100000000000004"/>
    <n v="1.8481441552441091"/>
    <s v="Residential"/>
    <s v="Undervalued"/>
    <s v="H"/>
  </r>
  <r>
    <n v="200652"/>
    <d v="2021-06-29T00:00:00"/>
    <s v="June"/>
    <n v="2021"/>
    <d v="2021-06-01T00:00:00"/>
    <x v="49"/>
    <s v="12 KELLY DR"/>
    <n v="203470"/>
    <n v="360000"/>
    <n v="0.56510000000000005"/>
    <n v="1.7693025998918759"/>
    <s v="Residential"/>
    <s v="Undervalued"/>
    <s v="E"/>
  </r>
  <r>
    <n v="2002299"/>
    <d v="2021-08-04T00:00:00"/>
    <s v="August"/>
    <n v="2021"/>
    <d v="2021-08-01T00:00:00"/>
    <x v="10"/>
    <s v="1400 BEDFORD STREET #4"/>
    <n v="169050"/>
    <n v="355000"/>
    <n v="0.47610000000000002"/>
    <n v="2.0999704229517895"/>
    <s v="Residential"/>
    <s v="Overvalued"/>
    <s v="S"/>
  </r>
  <r>
    <n v="202876"/>
    <d v="2021-08-18T00:00:00"/>
    <s v="August"/>
    <n v="2021"/>
    <d v="2021-08-01T00:00:00"/>
    <x v="44"/>
    <s v="17 HADIK PKWY"/>
    <n v="256270"/>
    <n v="355000"/>
    <n v="0.7218"/>
    <n v="1.3852577359815819"/>
    <s v="Residential"/>
    <s v="Undervalued"/>
    <s v="N"/>
  </r>
  <r>
    <n v="200086"/>
    <d v="2021-08-10T00:00:00"/>
    <s v="August"/>
    <n v="2021"/>
    <d v="2021-08-01T00:00:00"/>
    <x v="56"/>
    <s v="39 WOODLAND RD"/>
    <n v="168900"/>
    <n v="352000"/>
    <n v="0.4798"/>
    <n v="2.0840734162226169"/>
    <s v="Residential"/>
    <s v="Overvalued"/>
    <s v="B"/>
  </r>
  <r>
    <n v="200656"/>
    <d v="2021-04-30T00:00:00"/>
    <s v="April"/>
    <n v="2021"/>
    <d v="2021-04-01T00:00:00"/>
    <x v="12"/>
    <s v="112-116 MAIN ST"/>
    <n v="262300"/>
    <n v="352000"/>
    <n v="0.74509999999999998"/>
    <n v="1.341974837971788"/>
    <s v="Commercial"/>
    <s v="Undervalued"/>
    <s v="N"/>
  </r>
  <r>
    <n v="200210"/>
    <d v="2021-07-12T00:00:00"/>
    <s v="July"/>
    <n v="2021"/>
    <d v="2021-07-01T00:00:00"/>
    <x v="57"/>
    <s v="156 HILLYNDALE RD"/>
    <n v="169400"/>
    <n v="345000"/>
    <n v="0.49099999999999999"/>
    <n v="2.0365997638724913"/>
    <s v="Residential"/>
    <s v="Overvalued"/>
    <s v="M"/>
  </r>
  <r>
    <n v="2000212"/>
    <d v="2020-10-28T00:00:00"/>
    <s v="October"/>
    <n v="2020"/>
    <d v="2020-10-01T00:00:00"/>
    <x v="10"/>
    <s v="197 BRIDGE STREET # 3"/>
    <n v="199330"/>
    <n v="342500"/>
    <n v="0.58189999999999997"/>
    <n v="1.7182561581297346"/>
    <s v="Residential"/>
    <s v="Undervalued"/>
    <s v="S"/>
  </r>
  <r>
    <n v="200149"/>
    <d v="2021-07-12T00:00:00"/>
    <s v="July"/>
    <n v="2021"/>
    <d v="2021-07-01T00:00:00"/>
    <x v="58"/>
    <s v="97 TWIN POND RD"/>
    <n v="204000"/>
    <n v="337500"/>
    <n v="0.60440000000000005"/>
    <n v="1.6544117647058822"/>
    <s v="Residential"/>
    <s v="Undervalued"/>
    <s v="T"/>
  </r>
  <r>
    <n v="20139"/>
    <d v="2020-12-16T00:00:00"/>
    <s v="December"/>
    <n v="2020"/>
    <d v="2020-12-01T00:00:00"/>
    <x v="59"/>
    <s v="16 DEEPWOOD DRIVE"/>
    <n v="171360"/>
    <n v="335000"/>
    <n v="0.51149999999999995"/>
    <n v="1.9549486461251167"/>
    <s v="Residential"/>
    <s v="Undervalued"/>
    <s v="B"/>
  </r>
  <r>
    <n v="200522"/>
    <d v="2021-03-04T00:00:00"/>
    <s v="March"/>
    <n v="2021"/>
    <d v="2021-03-01T00:00:00"/>
    <x v="12"/>
    <s v="49 WHITE PLAINS RD"/>
    <n v="174400"/>
    <n v="335000"/>
    <n v="0.52049999999999996"/>
    <n v="1.9208715596330275"/>
    <s v="Residential"/>
    <s v="Undervalued"/>
    <s v="N"/>
  </r>
  <r>
    <n v="200289"/>
    <d v="2020-11-23T00:00:00"/>
    <s v="November"/>
    <n v="2020"/>
    <d v="2020-11-01T00:00:00"/>
    <x v="44"/>
    <s v="188 FLAX HILL RD UNIT B/6"/>
    <n v="173040"/>
    <n v="330000"/>
    <n v="0.52429999999999999"/>
    <n v="1.9070735090152566"/>
    <s v="Residential"/>
    <s v="Undervalued"/>
    <s v="N"/>
  </r>
  <r>
    <n v="100035"/>
    <d v="2010-11-30T00:00:00"/>
    <s v="November"/>
    <n v="2010"/>
    <d v="2010-11-01T00:00:00"/>
    <x v="40"/>
    <s v="8 PADDOCK LN"/>
    <n v="257040"/>
    <n v="330000"/>
    <n v="0.77890909100000005"/>
    <n v="1.2838468720821663"/>
    <s v="Condo"/>
    <s v="Undervalued"/>
    <s v="G"/>
  </r>
  <r>
    <n v="200494"/>
    <d v="2021-02-19T00:00:00"/>
    <s v="February"/>
    <n v="2021"/>
    <d v="2021-02-01T00:00:00"/>
    <x v="39"/>
    <s v="82 WHITE AVENUE"/>
    <n v="181720"/>
    <n v="327900"/>
    <n v="0.55410000000000004"/>
    <n v="1.8044243891701519"/>
    <s v="Residential"/>
    <s v="Undervalued"/>
    <s v="W"/>
  </r>
  <r>
    <n v="2020348"/>
    <d v="2021-09-13T00:00:00"/>
    <s v="September"/>
    <n v="2021"/>
    <d v="2021-09-01T00:00:00"/>
    <x v="60"/>
    <s v="230 WAKELEE AVE"/>
    <n v="150500"/>
    <n v="325000"/>
    <n v="0.46300000000000002"/>
    <n v="2.1594684385382061"/>
    <s v="Commercial"/>
    <s v="Overvalued"/>
    <s v="A"/>
  </r>
  <r>
    <n v="201443"/>
    <d v="2021-09-01T00:00:00"/>
    <s v="September"/>
    <n v="2021"/>
    <d v="2021-09-01T00:00:00"/>
    <x v="4"/>
    <s v="4 COOPER RD"/>
    <n v="158700"/>
    <n v="325000"/>
    <n v="0.48830000000000001"/>
    <n v="2.0478890989287963"/>
    <s v="Residential"/>
    <s v="Overvalued"/>
    <s v="D"/>
  </r>
  <r>
    <n v="200175"/>
    <d v="2020-10-29T00:00:00"/>
    <s v="October"/>
    <n v="2020"/>
    <d v="2020-10-01T00:00:00"/>
    <x v="61"/>
    <s v="16 SEABREEZE AVE"/>
    <n v="180950"/>
    <n v="325000"/>
    <n v="0.55669999999999997"/>
    <n v="1.7960762641613706"/>
    <s v="Residential"/>
    <s v="Undervalued"/>
    <s v="M"/>
  </r>
  <r>
    <n v="160717"/>
    <d v="2017-09-01T00:00:00"/>
    <s v="September"/>
    <n v="2017"/>
    <d v="2017-09-01T00:00:00"/>
    <x v="62"/>
    <s v="47 OLDE VILLAGE CIR"/>
    <n v="199400"/>
    <n v="320000"/>
    <n v="0.62312500000000004"/>
    <n v="1.60481444332999"/>
    <s v="Condo"/>
    <s v="Undervalued"/>
    <s v="W"/>
  </r>
  <r>
    <n v="2000448"/>
    <d v="2021-06-17T00:00:00"/>
    <s v="June"/>
    <n v="2021"/>
    <d v="2021-06-01T00:00:00"/>
    <x v="63"/>
    <s v="938 RIDGE RD"/>
    <n v="158870"/>
    <n v="315000"/>
    <n v="0.50429999999999997"/>
    <n v="1.9827531944357022"/>
    <s v="Residential"/>
    <s v="Undervalued"/>
    <s v="W"/>
  </r>
  <r>
    <n v="160943"/>
    <d v="2017-05-19T00:00:00"/>
    <s v="May"/>
    <n v="2017"/>
    <d v="2017-05-01T00:00:00"/>
    <x v="44"/>
    <s v="71 AIKEN ST"/>
    <n v="189500"/>
    <n v="313000"/>
    <n v="0.60543130999999994"/>
    <n v="1.6517150395778364"/>
    <s v="Condo"/>
    <s v="Undervalued"/>
    <s v="N"/>
  </r>
  <r>
    <n v="20492"/>
    <d v="2021-08-19T00:00:00"/>
    <s v="August"/>
    <n v="2021"/>
    <d v="2021-08-01T00:00:00"/>
    <x v="54"/>
    <s v="22 FERNWOOD ST"/>
    <n v="142910"/>
    <n v="310000"/>
    <n v="0.46100000000000002"/>
    <n v="2.1691973969631237"/>
    <s v="Residential"/>
    <s v="Overvalued"/>
    <s v="P"/>
  </r>
  <r>
    <n v="200700"/>
    <d v="2021-07-13T00:00:00"/>
    <s v="July"/>
    <n v="2021"/>
    <d v="2021-07-01T00:00:00"/>
    <x v="49"/>
    <s v="8 SHANNON DR"/>
    <n v="161590"/>
    <n v="310000"/>
    <n v="0.5212"/>
    <n v="1.9184355467541307"/>
    <s v="Residential"/>
    <s v="Undervalued"/>
    <s v="E"/>
  </r>
  <r>
    <n v="200038"/>
    <d v="2020-10-09T00:00:00"/>
    <s v="October"/>
    <n v="2020"/>
    <d v="2020-10-01T00:00:00"/>
    <x v="64"/>
    <s v="41 SUNNY LANE"/>
    <n v="209440"/>
    <n v="307000"/>
    <n v="0.68220000000000003"/>
    <n v="1.4658135981665394"/>
    <s v="Residential"/>
    <s v="Undervalued"/>
    <s v="M"/>
  </r>
  <r>
    <n v="200961"/>
    <d v="2021-07-01T00:00:00"/>
    <s v="July"/>
    <n v="2021"/>
    <d v="2021-07-01T00:00:00"/>
    <x v="64"/>
    <s v="5                    2 ROYAL OAK CIR"/>
    <n v="130340"/>
    <n v="305000"/>
    <n v="0.42730000000000001"/>
    <n v="2.340033757864048"/>
    <s v="Residential"/>
    <s v="Overvalued"/>
    <s v="M"/>
  </r>
  <r>
    <n v="200557"/>
    <d v="2021-03-12T00:00:00"/>
    <s v="March"/>
    <n v="2021"/>
    <d v="2021-03-01T00:00:00"/>
    <x v="39"/>
    <s v="23 TIMBERWOOD ROAD"/>
    <n v="166670"/>
    <n v="305000"/>
    <n v="0.5464"/>
    <n v="1.8299634007319854"/>
    <s v="Residential"/>
    <s v="Undervalued"/>
    <s v="W"/>
  </r>
  <r>
    <n v="20014"/>
    <d v="2020-10-06T00:00:00"/>
    <s v="October"/>
    <n v="2020"/>
    <d v="2020-10-01T00:00:00"/>
    <x v="27"/>
    <s v="22 MEADOWVIEW TER"/>
    <n v="189100"/>
    <n v="305000"/>
    <n v="0.62"/>
    <n v="1.6129032258064515"/>
    <s v="Residential"/>
    <s v="Undervalued"/>
    <s v="M"/>
  </r>
  <r>
    <n v="200376"/>
    <d v="2021-01-04T00:00:00"/>
    <s v="January"/>
    <n v="2021"/>
    <d v="2021-01-01T00:00:00"/>
    <x v="39"/>
    <s v="1838 ASYLUM AVENUE"/>
    <n v="216580"/>
    <n v="305000"/>
    <n v="0.71"/>
    <n v="1.4082556099362822"/>
    <s v="Residential"/>
    <s v="Undervalued"/>
    <s v="W"/>
  </r>
  <r>
    <n v="201078"/>
    <d v="2020-12-21T00:00:00"/>
    <s v="December"/>
    <n v="2020"/>
    <d v="2020-12-01T00:00:00"/>
    <x v="65"/>
    <s v="22 CROSS RD"/>
    <n v="173040"/>
    <n v="302000"/>
    <n v="0.57289999999999996"/>
    <n v="1.7452612112806287"/>
    <s v="Residential"/>
    <s v="Undervalued"/>
    <s v="G"/>
  </r>
  <r>
    <n v="200484"/>
    <d v="2021-07-12T00:00:00"/>
    <s v="July"/>
    <n v="2021"/>
    <d v="2021-07-01T00:00:00"/>
    <x v="66"/>
    <s v="90 MONTAUK DR"/>
    <n v="126800"/>
    <n v="300000"/>
    <n v="0.42259999999999998"/>
    <n v="2.3659305993690851"/>
    <s v="Residential"/>
    <s v="Overvalued"/>
    <s v="V"/>
  </r>
  <r>
    <n v="200354"/>
    <d v="2020-12-29T00:00:00"/>
    <s v="December"/>
    <n v="2020"/>
    <d v="2020-12-01T00:00:00"/>
    <x v="67"/>
    <s v="391 TIFFANY LA"/>
    <n v="173740"/>
    <n v="299000"/>
    <n v="0.58099999999999996"/>
    <n v="1.720962357545758"/>
    <s v="Residential"/>
    <s v="Undervalued"/>
    <s v="B"/>
  </r>
  <r>
    <n v="161101"/>
    <d v="2017-05-09T00:00:00"/>
    <s v="May"/>
    <n v="2017"/>
    <d v="2017-05-01T00:00:00"/>
    <x v="10"/>
    <s v="511 WEST MAIN STREET # 11"/>
    <n v="180350"/>
    <n v="299000"/>
    <n v="0.60317725799999999"/>
    <n v="1.6578874410867757"/>
    <s v="Condo"/>
    <s v="Undervalued"/>
    <s v="S"/>
  </r>
  <r>
    <n v="80097"/>
    <d v="2009-03-25T00:00:00"/>
    <s v="March"/>
    <n v="2009"/>
    <d v="2009-03-01T00:00:00"/>
    <x v="68"/>
    <s v="37 FOREST GLEN DR"/>
    <n v="210600"/>
    <n v="299000"/>
    <n v="0.70434782600000001"/>
    <n v="1.4197530864197532"/>
    <s v="Condo"/>
    <s v="Undervalued"/>
    <s v="E"/>
  </r>
  <r>
    <n v="70355"/>
    <d v="2008-05-19T00:00:00"/>
    <s v="May"/>
    <n v="2008"/>
    <d v="2008-05-01T00:00:00"/>
    <x v="62"/>
    <s v="25 ANGELA DR"/>
    <n v="179830"/>
    <n v="292500"/>
    <n v="0.61480341900000002"/>
    <n v="1.6265361730523271"/>
    <s v="Condo"/>
    <s v="Undervalued"/>
    <s v="W"/>
  </r>
  <r>
    <n v="200046"/>
    <d v="2020-12-14T00:00:00"/>
    <s v="December"/>
    <n v="2020"/>
    <d v="2020-12-01T00:00:00"/>
    <x v="58"/>
    <s v="3 BRADLEY WAY"/>
    <n v="133210"/>
    <n v="289900"/>
    <n v="0.45950000000000002"/>
    <n v="2.1762630433150663"/>
    <s v="Residential"/>
    <s v="Overvalued"/>
    <s v="T"/>
  </r>
  <r>
    <n v="20200070"/>
    <d v="2021-04-08T00:00:00"/>
    <s v="April"/>
    <n v="2021"/>
    <d v="2021-04-01T00:00:00"/>
    <x v="38"/>
    <s v="101 MILLERTON RD"/>
    <n v="170200"/>
    <n v="287000"/>
    <n v="0.59299999999999997"/>
    <n v="1.6862514688601644"/>
    <s v="Residential"/>
    <s v="Undervalued"/>
    <s v="S"/>
  </r>
  <r>
    <n v="200709"/>
    <d v="2021-04-16T00:00:00"/>
    <s v="April"/>
    <n v="2021"/>
    <d v="2021-04-01T00:00:00"/>
    <x v="18"/>
    <s v="152 GREEN ROAD"/>
    <n v="138100"/>
    <n v="282500"/>
    <n v="0.48884955800000002"/>
    <n v="2.0456191165821869"/>
    <s v="Residential"/>
    <s v="Overvalued"/>
    <s v="M"/>
  </r>
  <r>
    <n v="200117"/>
    <d v="2021-04-12T00:00:00"/>
    <s v="April"/>
    <n v="2021"/>
    <d v="2021-04-01T00:00:00"/>
    <x v="69"/>
    <s v="52 COUNTRY LANE"/>
    <n v="160850"/>
    <n v="280000"/>
    <n v="0.57440000000000002"/>
    <n v="1.7407522536524713"/>
    <s v="Residential"/>
    <s v="Undervalued"/>
    <s v="C"/>
  </r>
  <r>
    <n v="90472"/>
    <d v="2010-06-02T00:00:00"/>
    <s v="June"/>
    <n v="2010"/>
    <d v="2010-06-01T00:00:00"/>
    <x v="36"/>
    <s v="245 SUNNYRIDGE AVENUE UNIT#16"/>
    <n v="220920"/>
    <n v="280000"/>
    <n v="0.78900000000000003"/>
    <n v="1.267427122940431"/>
    <s v="Condo"/>
    <s v="Undervalued"/>
    <s v="F"/>
  </r>
  <r>
    <n v="20899"/>
    <d v="2021-06-21T00:00:00"/>
    <s v="June"/>
    <n v="2021"/>
    <d v="2021-06-01T00:00:00"/>
    <x v="33"/>
    <s v="159 RUSS ST"/>
    <n v="137270"/>
    <n v="278500"/>
    <n v="0.49280000000000002"/>
    <n v="2.0288482552633496"/>
    <s v="Apartments"/>
    <s v="Overvalued"/>
    <s v="H"/>
  </r>
  <r>
    <n v="160197"/>
    <d v="2016-11-01T00:00:00"/>
    <s v="November"/>
    <n v="2016"/>
    <d v="2016-11-01T00:00:00"/>
    <x v="10"/>
    <s v="300 BROAD STREET # 502"/>
    <n v="143650"/>
    <n v="278000"/>
    <n v="0.51672661900000005"/>
    <n v="1.9352593108249216"/>
    <s v="Condo"/>
    <s v="Undervalued"/>
    <s v="S"/>
  </r>
  <r>
    <n v="2000327"/>
    <d v="2021-03-03T00:00:00"/>
    <s v="March"/>
    <n v="2021"/>
    <d v="2021-03-01T00:00:00"/>
    <x v="70"/>
    <s v="31 PILGRIM LN"/>
    <n v="157810"/>
    <n v="276500"/>
    <n v="0.57069999999999999"/>
    <n v="1.7521069640707179"/>
    <s v="Residential"/>
    <s v="Undervalued"/>
    <s v="N"/>
  </r>
  <r>
    <n v="20200059"/>
    <d v="2020-10-13T00:00:00"/>
    <s v="October"/>
    <n v="2020"/>
    <d v="2020-10-01T00:00:00"/>
    <x v="24"/>
    <s v="653B OSAGE LANE"/>
    <n v="156380"/>
    <n v="276000"/>
    <n v="0.5665"/>
    <n v="1.7649315769279958"/>
    <s v="Residential"/>
    <s v="Undervalued"/>
    <s v="S"/>
  </r>
  <r>
    <n v="90042"/>
    <d v="2009-10-20T00:00:00"/>
    <s v="October"/>
    <n v="2009"/>
    <d v="2009-10-01T00:00:00"/>
    <x v="71"/>
    <s v="1151 WHITNEY AVE UB4"/>
    <n v="219870"/>
    <n v="275000"/>
    <n v="0.79952727300000004"/>
    <n v="1.2507390730886432"/>
    <s v="Condo"/>
    <s v="Undervalued"/>
    <s v="H"/>
  </r>
  <r>
    <n v="90113"/>
    <d v="2009-12-03T00:00:00"/>
    <s v="December"/>
    <n v="2009"/>
    <d v="2009-12-01T00:00:00"/>
    <x v="66"/>
    <s v="13 LANTERN LN"/>
    <n v="176220"/>
    <n v="270000"/>
    <n v="0.65266666699999998"/>
    <n v="1.5321756894790604"/>
    <s v="Condo"/>
    <s v="Undervalued"/>
    <s v="V"/>
  </r>
  <r>
    <n v="200025"/>
    <d v="2020-10-20T00:00:00"/>
    <s v="October"/>
    <n v="2020"/>
    <d v="2020-10-01T00:00:00"/>
    <x v="72"/>
    <s v="930 BRANCH RD"/>
    <n v="159180"/>
    <n v="261000"/>
    <n v="0.60980000000000001"/>
    <n v="1.6396532227666791"/>
    <s v="Residential"/>
    <s v="Undervalued"/>
    <s v="S"/>
  </r>
  <r>
    <n v="201245"/>
    <d v="2021-09-14T00:00:00"/>
    <s v="September"/>
    <n v="2021"/>
    <d v="2021-09-01T00:00:00"/>
    <x v="64"/>
    <s v="223 REYNOLDS DR"/>
    <n v="128170"/>
    <n v="260000"/>
    <n v="0.4929"/>
    <n v="2.0285558242958572"/>
    <s v="Residential"/>
    <s v="Overvalued"/>
    <s v="M"/>
  </r>
  <r>
    <n v="200408"/>
    <d v="2020-12-24T00:00:00"/>
    <s v="December"/>
    <n v="2020"/>
    <d v="2020-12-01T00:00:00"/>
    <x v="4"/>
    <s v="15 SCUPPO RD 1503"/>
    <n v="130800"/>
    <n v="260000"/>
    <n v="0.503"/>
    <n v="1.9877675840978593"/>
    <s v="Residential"/>
    <s v="Undervalued"/>
    <s v="D"/>
  </r>
  <r>
    <n v="10037"/>
    <d v="2010-11-18T00:00:00"/>
    <s v="November"/>
    <n v="2010"/>
    <d v="2010-11-01T00:00:00"/>
    <x v="73"/>
    <s v="5B YANKEE GLEN DRIVE"/>
    <n v="203600"/>
    <n v="260000"/>
    <n v="0.78307692299999998"/>
    <n v="1.2770137524557956"/>
    <s v="Condo"/>
    <s v="Undervalued"/>
    <s v="M"/>
  </r>
  <r>
    <n v="2000513"/>
    <d v="2021-07-20T00:00:00"/>
    <s v="July"/>
    <n v="2021"/>
    <d v="2021-07-01T00:00:00"/>
    <x v="63"/>
    <s v="215 NOTT ST"/>
    <n v="144050"/>
    <n v="257500"/>
    <n v="0.55940000000000001"/>
    <n v="1.7875737591114196"/>
    <s v="Residential"/>
    <s v="Undervalued"/>
    <s v="W"/>
  </r>
  <r>
    <n v="20118"/>
    <d v="2021-09-30T00:00:00"/>
    <s v="September"/>
    <n v="2021"/>
    <d v="2021-09-01T00:00:00"/>
    <x v="74"/>
    <s v="174 CHURCH ST"/>
    <n v="92890"/>
    <n v="255000"/>
    <n v="0.36420000000000002"/>
    <n v="2.7451824738938528"/>
    <s v="Residential"/>
    <s v="Overvalued"/>
    <s v="S"/>
  </r>
  <r>
    <n v="170178"/>
    <d v="2017-12-20T00:00:00"/>
    <s v="December"/>
    <n v="2017"/>
    <d v="2017-12-01T00:00:00"/>
    <x v="16"/>
    <s v="95 AUDUBON ST UNIT 38"/>
    <n v="169400"/>
    <n v="252500"/>
    <n v="0.67089108900000005"/>
    <n v="1.4905548996458087"/>
    <s v="Condo"/>
    <s v="Undervalued"/>
    <s v="N"/>
  </r>
  <r>
    <n v="200002"/>
    <d v="2020-10-01T00:00:00"/>
    <s v="October"/>
    <n v="2020"/>
    <d v="2020-10-01T00:00:00"/>
    <x v="52"/>
    <s v="24 BRETTONWOOD DRIVE"/>
    <n v="186610"/>
    <n v="252000"/>
    <n v="0.74050000000000005"/>
    <n v="1.3504099458764267"/>
    <s v="Residential"/>
    <s v="Undervalued"/>
    <s v="S"/>
  </r>
  <r>
    <n v="2000381"/>
    <d v="2021-09-13T00:00:00"/>
    <s v="September"/>
    <n v="2021"/>
    <d v="2021-09-01T00:00:00"/>
    <x v="75"/>
    <s v="9 SADDLE RIDGE"/>
    <n v="163730"/>
    <n v="250000"/>
    <n v="0.65490000000000004"/>
    <n v="1.5269040493495389"/>
    <s v="Residential"/>
    <s v="Undervalued"/>
    <s v="B"/>
  </r>
  <r>
    <n v="201295"/>
    <d v="2021-09-09T00:00:00"/>
    <s v="September"/>
    <n v="2021"/>
    <d v="2021-09-01T00:00:00"/>
    <x v="67"/>
    <s v="609 CAMP ST"/>
    <n v="144340"/>
    <n v="249900"/>
    <n v="0.57750000000000001"/>
    <n v="1.7313288069835111"/>
    <s v="Residential"/>
    <s v="Undervalued"/>
    <s v="B"/>
  </r>
  <r>
    <n v="20565"/>
    <d v="2021-03-29T00:00:00"/>
    <s v="March"/>
    <n v="2021"/>
    <d v="2021-03-01T00:00:00"/>
    <x v="33"/>
    <s v="31 EATON ST"/>
    <n v="61915"/>
    <n v="249000"/>
    <n v="0.24859999999999999"/>
    <n v="4.021642574497295"/>
    <s v="Residential"/>
    <s v="Overvalued"/>
    <s v="H"/>
  </r>
  <r>
    <n v="70113"/>
    <d v="2007-12-10T00:00:00"/>
    <s v="December"/>
    <n v="2007"/>
    <d v="2007-12-01T00:00:00"/>
    <x v="76"/>
    <s v="6 MALLARD LN"/>
    <n v="175770"/>
    <n v="248000"/>
    <n v="0.70874999999999999"/>
    <n v="1.4109347442680775"/>
    <s v="Condo"/>
    <s v="Undervalued"/>
    <s v="N"/>
  </r>
  <r>
    <n v="200537"/>
    <d v="2021-05-21T00:00:00"/>
    <s v="May"/>
    <n v="2021"/>
    <d v="2021-05-01T00:00:00"/>
    <x v="49"/>
    <s v="104 BREWSTER RD"/>
    <n v="117380"/>
    <n v="245000"/>
    <n v="0.47910000000000003"/>
    <n v="2.0872380303288467"/>
    <s v="Residential"/>
    <s v="Overvalued"/>
    <s v="E"/>
  </r>
  <r>
    <n v="200101"/>
    <d v="2021-01-07T00:00:00"/>
    <s v="January"/>
    <n v="2021"/>
    <d v="2021-01-01T00:00:00"/>
    <x v="41"/>
    <s v="74 LAKEVIEW DR"/>
    <n v="142800"/>
    <n v="245000"/>
    <n v="0.58279999999999998"/>
    <n v="1.7156862745098038"/>
    <s v="Residential"/>
    <s v="Undervalued"/>
    <s v="C"/>
  </r>
  <r>
    <n v="70258"/>
    <d v="2007-12-31T00:00:00"/>
    <s v="December"/>
    <n v="2007"/>
    <d v="2007-12-01T00:00:00"/>
    <x v="77"/>
    <s v="24 WOODBURY LN"/>
    <n v="171700"/>
    <n v="244000"/>
    <n v="0.70368852500000001"/>
    <n v="1.4210832847990682"/>
    <s v="Condo"/>
    <s v="Undervalued"/>
    <s v="W"/>
  </r>
  <r>
    <n v="17128"/>
    <d v="2018-04-13T00:00:00"/>
    <s v="April"/>
    <n v="2018"/>
    <d v="2018-04-01T00:00:00"/>
    <x v="78"/>
    <s v="54 GIDEON LANE"/>
    <n v="132650"/>
    <n v="241368"/>
    <n v="0.54949999999999999"/>
    <n v="1.8195853750471165"/>
    <s v="Condo"/>
    <s v="Undervalued"/>
    <s v="D"/>
  </r>
  <r>
    <n v="200264"/>
    <d v="2021-06-10T00:00:00"/>
    <s v="June"/>
    <n v="2021"/>
    <d v="2021-06-01T00:00:00"/>
    <x v="79"/>
    <s v="10 BROOK DR"/>
    <n v="107500"/>
    <n v="240000"/>
    <n v="0.44790000000000002"/>
    <n v="2.2325581395348837"/>
    <s v="Residential"/>
    <s v="Overvalued"/>
    <s v="N"/>
  </r>
  <r>
    <n v="200226"/>
    <d v="2020-12-18T00:00:00"/>
    <s v="December"/>
    <n v="2020"/>
    <d v="2020-12-01T00:00:00"/>
    <x v="49"/>
    <s v="106 RAFFIA RD"/>
    <n v="145570"/>
    <n v="240000"/>
    <n v="0.60650000000000004"/>
    <n v="1.6486913512399533"/>
    <s v="Residential"/>
    <s v="Undervalued"/>
    <s v="E"/>
  </r>
  <r>
    <n v="200886"/>
    <d v="2021-05-03T00:00:00"/>
    <s v="May"/>
    <n v="2021"/>
    <d v="2021-05-01T00:00:00"/>
    <x v="4"/>
    <s v="86 MERRIMAC ST B"/>
    <n v="189800"/>
    <n v="240000"/>
    <n v="0.79079999999999995"/>
    <n v="1.2644889357218125"/>
    <s v="Residential"/>
    <s v="Undervalued"/>
    <s v="D"/>
  </r>
  <r>
    <n v="90695"/>
    <d v="2010-06-30T00:00:00"/>
    <s v="June"/>
    <n v="2010"/>
    <d v="2010-06-01T00:00:00"/>
    <x v="44"/>
    <s v="310 ELY AVE H"/>
    <n v="45757"/>
    <n v="239900"/>
    <n v="0.19073363900000001"/>
    <n v="5.2429136525558935"/>
    <s v="Condo"/>
    <s v="Overvalued"/>
    <s v="N"/>
  </r>
  <r>
    <n v="90073"/>
    <d v="2009-11-25T00:00:00"/>
    <s v="November"/>
    <n v="2009"/>
    <d v="2009-11-01T00:00:00"/>
    <x v="80"/>
    <s v="13 LAST LEAF CIR"/>
    <n v="111300"/>
    <n v="238521"/>
    <n v="0.46662557999999998"/>
    <n v="2.143045822102426"/>
    <s v="Condo"/>
    <s v="Overvalued"/>
    <s v="W"/>
  </r>
  <r>
    <n v="201133"/>
    <d v="2021-09-02T00:00:00"/>
    <s v="September"/>
    <n v="2021"/>
    <d v="2021-09-01T00:00:00"/>
    <x v="43"/>
    <s v="103 LEWIS RD"/>
    <n v="123480"/>
    <n v="235000"/>
    <n v="0.52539999999999998"/>
    <n v="1.9031422092646582"/>
    <s v="Residential"/>
    <s v="Undervalued"/>
    <s v="N"/>
  </r>
  <r>
    <n v="200207"/>
    <d v="2021-06-10T00:00:00"/>
    <s v="June"/>
    <n v="2021"/>
    <d v="2021-06-01T00:00:00"/>
    <x v="0"/>
    <s v="402 THE MEWS"/>
    <n v="120890"/>
    <n v="234900"/>
    <n v="0.51459999999999995"/>
    <n v="1.9430887583753826"/>
    <s v="Residential"/>
    <s v="Undervalued"/>
    <s v="R"/>
  </r>
  <r>
    <n v="200938"/>
    <d v="2021-05-13T00:00:00"/>
    <s v="May"/>
    <n v="2021"/>
    <d v="2021-05-01T00:00:00"/>
    <x v="4"/>
    <s v="15-17 BOUGHTON ST #1-5"/>
    <n v="118900"/>
    <n v="230000"/>
    <n v="0.51690000000000003"/>
    <n v="1.9343986543313709"/>
    <s v="Residential"/>
    <s v="Undervalued"/>
    <s v="D"/>
  </r>
  <r>
    <n v="100002"/>
    <d v="2010-10-04T00:00:00"/>
    <s v="October"/>
    <n v="2010"/>
    <d v="2010-10-01T00:00:00"/>
    <x v="22"/>
    <s v="4C EDGEWATER"/>
    <n v="184500"/>
    <n v="230000"/>
    <n v="0.80217391299999996"/>
    <n v="1.2466124661246611"/>
    <s v="Condo"/>
    <s v="Undervalued"/>
    <s v="B"/>
  </r>
  <r>
    <n v="20059"/>
    <d v="2021-02-18T00:00:00"/>
    <s v="February"/>
    <n v="2021"/>
    <d v="2021-02-01T00:00:00"/>
    <x v="81"/>
    <s v="54 FIRST ST"/>
    <n v="121510"/>
    <n v="229900"/>
    <n v="0.52849999999999997"/>
    <n v="1.8920253477080076"/>
    <s v="Residential"/>
    <s v="Undervalued"/>
    <s v="L"/>
  </r>
  <r>
    <n v="70052"/>
    <d v="2007-10-12T00:00:00"/>
    <s v="October"/>
    <n v="2007"/>
    <d v="2007-10-01T00:00:00"/>
    <x v="16"/>
    <s v="916 QUINNIPIAC AVE #31"/>
    <n v="161700"/>
    <n v="227000"/>
    <n v="0.71233480199999999"/>
    <n v="1.4038342609771182"/>
    <s v="Condo"/>
    <s v="Undervalued"/>
    <s v="N"/>
  </r>
  <r>
    <n v="200374"/>
    <d v="2021-05-18T00:00:00"/>
    <s v="May"/>
    <n v="2021"/>
    <d v="2021-05-01T00:00:00"/>
    <x v="66"/>
    <s v="27 TRACY DRIVE"/>
    <n v="129190"/>
    <n v="226800"/>
    <n v="0.5696"/>
    <n v="1.7555538354361793"/>
    <s v="Residential"/>
    <s v="Undervalued"/>
    <s v="V"/>
  </r>
  <r>
    <n v="200106"/>
    <d v="2020-11-02T00:00:00"/>
    <s v="November"/>
    <n v="2020"/>
    <d v="2020-11-01T00:00:00"/>
    <x v="82"/>
    <s v="2651 TORRINGFORD W ST"/>
    <n v="126570"/>
    <n v="225005"/>
    <n v="0.5625"/>
    <n v="1.7777119380579915"/>
    <s v="Residential"/>
    <s v="Undervalued"/>
    <s v="T"/>
  </r>
  <r>
    <n v="160452"/>
    <d v="2017-09-11T00:00:00"/>
    <s v="September"/>
    <n v="2017"/>
    <d v="2017-09-01T00:00:00"/>
    <x v="0"/>
    <s v="37 ROSE COURT"/>
    <n v="145950"/>
    <n v="225000"/>
    <n v="0.64866666699999997"/>
    <n v="1.5416238437821173"/>
    <s v="Condo"/>
    <s v="Undervalued"/>
    <s v="R"/>
  </r>
  <r>
    <n v="20086"/>
    <d v="2020-10-22T00:00:00"/>
    <s v="October"/>
    <n v="2020"/>
    <d v="2020-10-01T00:00:00"/>
    <x v="43"/>
    <s v="23 PARKMORE ST"/>
    <n v="122220"/>
    <n v="223000"/>
    <n v="0.54800000000000004"/>
    <n v="1.82457862870234"/>
    <s v="Residential"/>
    <s v="Undervalued"/>
    <s v="N"/>
  </r>
  <r>
    <n v="20102"/>
    <d v="2020-12-09T00:00:00"/>
    <s v="December"/>
    <n v="2020"/>
    <d v="2020-12-01T00:00:00"/>
    <x v="83"/>
    <s v="12 CHARLES ST"/>
    <n v="127000"/>
    <n v="223000"/>
    <n v="0.56950000000000001"/>
    <n v="1.7559055118110236"/>
    <s v="Residential"/>
    <s v="Undervalued"/>
    <s v="W"/>
  </r>
  <r>
    <n v="20614"/>
    <d v="2021-04-08T00:00:00"/>
    <s v="April"/>
    <n v="2021"/>
    <d v="2021-04-01T00:00:00"/>
    <x v="33"/>
    <s v="55 STERLING ST"/>
    <n v="52500"/>
    <n v="220000"/>
    <n v="0.23860000000000001"/>
    <n v="4.1904761904761907"/>
    <s v="Residential"/>
    <s v="Overvalued"/>
    <s v="H"/>
  </r>
  <r>
    <n v="200179"/>
    <d v="2021-06-22T00:00:00"/>
    <s v="June"/>
    <n v="2021"/>
    <d v="2021-06-01T00:00:00"/>
    <x v="84"/>
    <s v="724 GLASTONBURY TPKE"/>
    <n v="134750"/>
    <n v="220000"/>
    <n v="0.61250000000000004"/>
    <n v="1.6326530612244898"/>
    <s v="Residential"/>
    <s v="Undervalued"/>
    <s v="P"/>
  </r>
  <r>
    <n v="70073"/>
    <d v="2008-03-14T00:00:00"/>
    <s v="March"/>
    <n v="2008"/>
    <d v="2008-03-01T00:00:00"/>
    <x v="69"/>
    <s v="8 BROOKVIEW CIRCLE"/>
    <n v="126000"/>
    <n v="217500"/>
    <n v="0.579310345"/>
    <n v="1.7261904761904763"/>
    <s v="Condo"/>
    <s v="Undervalued"/>
    <s v="C"/>
  </r>
  <r>
    <n v="202611"/>
    <d v="2021-07-06T00:00:00"/>
    <s v="July"/>
    <n v="2021"/>
    <d v="2021-07-01T00:00:00"/>
    <x v="44"/>
    <s v="126 WASHINGTON ST UNIT R203"/>
    <n v="144380"/>
    <n v="217500"/>
    <n v="0.66379999999999995"/>
    <n v="1.506441335365009"/>
    <s v="Residential"/>
    <s v="Undervalued"/>
    <s v="N"/>
  </r>
  <r>
    <n v="160773"/>
    <d v="2017-06-19T00:00:00"/>
    <s v="June"/>
    <n v="2017"/>
    <d v="2017-06-01T00:00:00"/>
    <x v="24"/>
    <s v="30A HAPPY HOLLOW CIR"/>
    <n v="153230"/>
    <n v="215000"/>
    <n v="0.71269767399999995"/>
    <n v="1.4031194935717548"/>
    <s v="Condo"/>
    <s v="Undervalued"/>
    <s v="S"/>
  </r>
  <r>
    <n v="201440"/>
    <d v="2021-09-15T00:00:00"/>
    <s v="September"/>
    <n v="2021"/>
    <d v="2021-09-01T00:00:00"/>
    <x v="16"/>
    <s v="889 CONGRESS AV"/>
    <n v="80150"/>
    <n v="214000"/>
    <n v="0.3745"/>
    <n v="2.6699937616968183"/>
    <s v="Residential"/>
    <s v="Overvalued"/>
    <s v="N"/>
  </r>
  <r>
    <n v="90002"/>
    <d v="2009-10-01T00:00:00"/>
    <s v="October"/>
    <n v="2009"/>
    <d v="2009-10-01T00:00:00"/>
    <x v="82"/>
    <s v="144 MILL LN #144"/>
    <n v="150710"/>
    <n v="210000"/>
    <n v="0.71766666700000004"/>
    <n v="1.3934045517882026"/>
    <s v="Condo"/>
    <s v="Undervalued"/>
    <s v="T"/>
  </r>
  <r>
    <n v="20064"/>
    <d v="2021-08-31T00:00:00"/>
    <s v="August"/>
    <n v="2021"/>
    <d v="2021-08-01T00:00:00"/>
    <x v="85"/>
    <s v="888 ROUTE 32"/>
    <n v="186770"/>
    <n v="209000"/>
    <n v="0.89359999999999995"/>
    <n v="1.1190233977619533"/>
    <s v="Commercial"/>
    <s v="Undervalued"/>
    <s v="F"/>
  </r>
  <r>
    <n v="70280"/>
    <d v="2008-07-21T00:00:00"/>
    <s v="July"/>
    <n v="2008"/>
    <d v="2008-07-01T00:00:00"/>
    <x v="53"/>
    <s v="12 FAIRWAY DR"/>
    <n v="98180"/>
    <n v="204900"/>
    <n v="0.47916056600000001"/>
    <n v="2.0869830922794868"/>
    <s v="Condo"/>
    <s v="Overvalued"/>
    <s v="C"/>
  </r>
  <r>
    <n v="2000330"/>
    <d v="2021-05-20T00:00:00"/>
    <s v="May"/>
    <n v="2021"/>
    <d v="2021-05-01T00:00:00"/>
    <x v="53"/>
    <s v="844 HIGHLAND AVE"/>
    <n v="144220"/>
    <n v="204000"/>
    <n v="0.70689999999999997"/>
    <n v="1.4145056164193592"/>
    <s v="Residential"/>
    <s v="Undervalued"/>
    <s v="C"/>
  </r>
  <r>
    <n v="20135"/>
    <d v="2021-01-21T00:00:00"/>
    <s v="January"/>
    <n v="2021"/>
    <d v="2021-01-01T00:00:00"/>
    <x v="54"/>
    <s v="30-32 GREENE AVE"/>
    <n v="98580"/>
    <n v="200000"/>
    <n v="0.4929"/>
    <n v="2.028809089064719"/>
    <s v="Residential"/>
    <s v="Overvalued"/>
    <s v="P"/>
  </r>
  <r>
    <n v="161187"/>
    <d v="2017-07-14T00:00:00"/>
    <s v="July"/>
    <n v="2017"/>
    <d v="2017-07-01T00:00:00"/>
    <x v="44"/>
    <s v="25 GRAND ST"/>
    <n v="143240"/>
    <n v="200000"/>
    <n v="0.71619999999999995"/>
    <n v="1.3962580284836639"/>
    <s v="Condo"/>
    <s v="Undervalued"/>
    <s v="N"/>
  </r>
  <r>
    <n v="200052"/>
    <d v="2020-11-16T00:00:00"/>
    <s v="November"/>
    <n v="2020"/>
    <d v="2020-11-01T00:00:00"/>
    <x v="86"/>
    <s v="68 BEACH ST"/>
    <n v="149570"/>
    <n v="200000"/>
    <n v="0.74780000000000002"/>
    <n v="1.3371665440930669"/>
    <s v="Residential"/>
    <s v="Undervalued"/>
    <s v="L"/>
  </r>
  <r>
    <n v="170327"/>
    <d v="2018-04-18T00:00:00"/>
    <s v="April"/>
    <n v="2018"/>
    <d v="2018-04-01T00:00:00"/>
    <x v="49"/>
    <s v="95 LAURELS B20UD"/>
    <n v="124660"/>
    <n v="196000"/>
    <n v="0.63600000000000001"/>
    <n v="1.5722765923311408"/>
    <s v="Condo"/>
    <s v="Undervalued"/>
    <s v="E"/>
  </r>
  <r>
    <n v="2000857"/>
    <d v="2021-01-21T00:00:00"/>
    <s v="January"/>
    <n v="2021"/>
    <d v="2021-01-01T00:00:00"/>
    <x v="10"/>
    <s v="0 SUMMER STREET #116-2A"/>
    <n v="109420"/>
    <n v="195000"/>
    <n v="0.56110000000000004"/>
    <n v="1.7821239261560957"/>
    <s v="Residential"/>
    <s v="Undervalued"/>
    <s v="S"/>
  </r>
  <r>
    <n v="2000296"/>
    <d v="2021-02-12T00:00:00"/>
    <s v="February"/>
    <n v="2021"/>
    <d v="2021-02-01T00:00:00"/>
    <x v="70"/>
    <s v="464 MULBERRY ST"/>
    <n v="114660"/>
    <n v="195000"/>
    <n v="0.58799999999999997"/>
    <n v="1.7006802721088434"/>
    <s v="Residential"/>
    <s v="Undervalued"/>
    <s v="N"/>
  </r>
  <r>
    <n v="900039"/>
    <d v="2009-11-19T00:00:00"/>
    <s v="November"/>
    <n v="2009"/>
    <d v="2009-11-01T00:00:00"/>
    <x v="0"/>
    <s v="8 BUTTERNIUT LANE"/>
    <n v="138950"/>
    <n v="195000"/>
    <n v="0.71256410299999995"/>
    <n v="1.4033825116948542"/>
    <s v="Condo"/>
    <s v="Undervalued"/>
    <s v="R"/>
  </r>
  <r>
    <n v="2000022"/>
    <d v="2020-10-13T00:00:00"/>
    <s v="October"/>
    <n v="2020"/>
    <d v="2020-10-01T00:00:00"/>
    <x v="70"/>
    <s v="41 ANDERSON ST"/>
    <n v="108070"/>
    <n v="193500"/>
    <n v="0.5585"/>
    <n v="1.7905061534190803"/>
    <s v="Residential"/>
    <s v="Undervalued"/>
    <s v="N"/>
  </r>
  <r>
    <n v="200010"/>
    <d v="2020-10-22T00:00:00"/>
    <s v="October"/>
    <n v="2020"/>
    <d v="2020-10-01T00:00:00"/>
    <x v="0"/>
    <s v="59 HIGHCREST DRIVE"/>
    <n v="128870"/>
    <n v="193000"/>
    <n v="0.66769999999999996"/>
    <n v="1.4976332738418561"/>
    <s v="Residential"/>
    <s v="Undervalued"/>
    <s v="R"/>
  </r>
  <r>
    <n v="201176"/>
    <d v="2021-03-09T00:00:00"/>
    <s v="March"/>
    <n v="2021"/>
    <d v="2021-03-01T00:00:00"/>
    <x v="3"/>
    <s v="400 BANK ST UNIT 201"/>
    <n v="165550"/>
    <n v="191000"/>
    <n v="0.86670000000000003"/>
    <n v="1.1537299909392933"/>
    <s v="Residential"/>
    <s v="Undervalued"/>
    <s v="N"/>
  </r>
  <r>
    <n v="200419"/>
    <d v="2021-02-04T00:00:00"/>
    <s v="February"/>
    <n v="2021"/>
    <d v="2021-02-01T00:00:00"/>
    <x v="16"/>
    <s v="769 DIXWELL AV"/>
    <n v="74200"/>
    <n v="190000"/>
    <n v="0.39050000000000001"/>
    <n v="2.5606469002695418"/>
    <s v="Residential"/>
    <s v="Overvalued"/>
    <s v="N"/>
  </r>
  <r>
    <n v="70149"/>
    <d v="2008-02-26T00:00:00"/>
    <s v="February"/>
    <n v="2008"/>
    <d v="2008-02-01T00:00:00"/>
    <x v="87"/>
    <s v="140 THOMPSON ST #9C"/>
    <n v="125300"/>
    <n v="190000"/>
    <n v="0.65947368399999995"/>
    <n v="1.5163607342378291"/>
    <s v="Condo"/>
    <s v="Undervalued"/>
    <s v="E"/>
  </r>
  <r>
    <n v="20486"/>
    <d v="2021-06-15T00:00:00"/>
    <s v="June"/>
    <n v="2021"/>
    <d v="2021-06-01T00:00:00"/>
    <x v="37"/>
    <s v="808 A HERITAGE VILLAGE"/>
    <n v="92080"/>
    <n v="185000"/>
    <n v="0.49769999999999998"/>
    <n v="2.0091225021720245"/>
    <s v="Residential"/>
    <s v="Overvalued"/>
    <s v="S"/>
  </r>
  <r>
    <n v="200759"/>
    <d v="2021-07-21T00:00:00"/>
    <s v="July"/>
    <n v="2021"/>
    <d v="2021-07-01T00:00:00"/>
    <x v="32"/>
    <s v="104 MAPLE AVE"/>
    <n v="144410"/>
    <n v="185000"/>
    <n v="0.78049999999999997"/>
    <n v="1.2810747178173256"/>
    <s v="Residential"/>
    <s v="Undervalued"/>
    <s v="S"/>
  </r>
  <r>
    <n v="2000473"/>
    <d v="2021-05-18T00:00:00"/>
    <s v="May"/>
    <n v="2021"/>
    <d v="2021-05-01T00:00:00"/>
    <x v="70"/>
    <s v="33 FAIRCHILD ST"/>
    <n v="98900"/>
    <n v="184500"/>
    <n v="0.53600000000000003"/>
    <n v="1.865520728008089"/>
    <s v="Residential"/>
    <s v="Undervalued"/>
    <s v="N"/>
  </r>
  <r>
    <n v="200527"/>
    <d v="2021-03-01T00:00:00"/>
    <s v="March"/>
    <n v="2021"/>
    <d v="2021-03-01T00:00:00"/>
    <x v="67"/>
    <s v="25 WARD ST"/>
    <n v="85680"/>
    <n v="183000"/>
    <n v="0.46810000000000002"/>
    <n v="2.1358543417366946"/>
    <s v="Residential"/>
    <s v="Overvalued"/>
    <s v="B"/>
  </r>
  <r>
    <n v="161740"/>
    <d v="2017-08-04T00:00:00"/>
    <s v="August"/>
    <n v="2017"/>
    <d v="2017-08-01T00:00:00"/>
    <x v="10"/>
    <s v="44 STRAWBERRY HILL AVE #3P"/>
    <n v="102440"/>
    <n v="180450"/>
    <n v="0.56769188100000001"/>
    <n v="1.761518937914877"/>
    <s v="Condo"/>
    <s v="Undervalued"/>
    <s v="S"/>
  </r>
  <r>
    <n v="200362"/>
    <d v="2021-05-24T00:00:00"/>
    <s v="May"/>
    <n v="2021"/>
    <d v="2021-05-01T00:00:00"/>
    <x v="52"/>
    <s v="75 HILLTOP DRIVE"/>
    <n v="99660"/>
    <n v="180000"/>
    <n v="0.55359999999999998"/>
    <n v="1.8061408789885611"/>
    <s v="Residential"/>
    <s v="Undervalued"/>
    <s v="S"/>
  </r>
  <r>
    <n v="20750"/>
    <d v="2021-05-06T00:00:00"/>
    <s v="May"/>
    <n v="2021"/>
    <d v="2021-05-01T00:00:00"/>
    <x v="33"/>
    <s v="3371 MAIN ST"/>
    <n v="126560"/>
    <n v="180000"/>
    <n v="0.70309999999999995"/>
    <n v="1.4222503160556257"/>
    <s v="Commercial"/>
    <s v="Undervalued"/>
    <s v="H"/>
  </r>
  <r>
    <n v="200212"/>
    <d v="2021-03-09T00:00:00"/>
    <s v="March"/>
    <n v="2021"/>
    <d v="2021-03-01T00:00:00"/>
    <x v="9"/>
    <s v="5 CHESTNUT DRIVE"/>
    <n v="130400"/>
    <n v="179900"/>
    <n v="0.7248"/>
    <n v="1.3796012269938651"/>
    <s v="Residential"/>
    <s v="Undervalued"/>
    <s v="A"/>
  </r>
  <r>
    <n v="160539"/>
    <d v="2017-01-06T00:00:00"/>
    <s v="January"/>
    <n v="2017"/>
    <d v="2017-01-01T00:00:00"/>
    <x v="10"/>
    <s v="186 SEATON ROAD # 22-C3"/>
    <n v="74670"/>
    <n v="176500"/>
    <n v="0.42305948999999998"/>
    <n v="2.36373376188563"/>
    <s v="Condo"/>
    <s v="Overvalued"/>
    <s v="S"/>
  </r>
  <r>
    <n v="900251"/>
    <d v="2010-05-03T00:00:00"/>
    <s v="May"/>
    <n v="2010"/>
    <d v="2010-05-01T00:00:00"/>
    <x v="31"/>
    <s v="251 NEW BRITAIN AVE"/>
    <n v="118860"/>
    <n v="175000"/>
    <n v="0.67920000000000003"/>
    <n v="1.4723203769140165"/>
    <s v="Condo"/>
    <s v="Undervalued"/>
    <s v="F"/>
  </r>
  <r>
    <n v="60610"/>
    <d v="2007-06-19T00:00:00"/>
    <s v="June"/>
    <n v="2007"/>
    <d v="2007-06-01T00:00:00"/>
    <x v="88"/>
    <s v="225 BEACH ST UT 1G"/>
    <n v="124250"/>
    <n v="175000"/>
    <n v="0.71"/>
    <n v="1.408450704225352"/>
    <s v="Condo"/>
    <s v="Undervalued"/>
    <s v="W"/>
  </r>
  <r>
    <n v="100052"/>
    <d v="2011-02-22T00:00:00"/>
    <s v="February"/>
    <n v="2011"/>
    <d v="2011-02-01T00:00:00"/>
    <x v="60"/>
    <s v="15 APPLEWOOD CONDO"/>
    <n v="137300"/>
    <n v="175000"/>
    <n v="0.78457142899999999"/>
    <n v="1.2745812090313182"/>
    <s v="Condo"/>
    <s v="Undervalued"/>
    <s v="A"/>
  </r>
  <r>
    <n v="70125"/>
    <d v="2008-01-25T00:00:00"/>
    <s v="January"/>
    <n v="2008"/>
    <d v="2008-01-01T00:00:00"/>
    <x v="63"/>
    <s v="191 SPRING ST"/>
    <n v="87500"/>
    <n v="173700"/>
    <n v="0.50374208399999998"/>
    <n v="1.9851428571428571"/>
    <s v="Condo"/>
    <s v="Undervalued"/>
    <s v="W"/>
  </r>
  <r>
    <n v="130311"/>
    <d v="2014-06-05T00:00:00"/>
    <s v="June"/>
    <n v="2014"/>
    <d v="2014-06-01T00:00:00"/>
    <x v="49"/>
    <s v="71 CANDLEWOOD DR"/>
    <n v="125840"/>
    <n v="173000"/>
    <n v="0.72739884399999999"/>
    <n v="1.3747616020343294"/>
    <s v="Condo"/>
    <s v="Undervalued"/>
    <s v="E"/>
  </r>
  <r>
    <n v="200192"/>
    <d v="2020-11-20T00:00:00"/>
    <s v="November"/>
    <n v="2020"/>
    <d v="2020-11-01T00:00:00"/>
    <x v="16"/>
    <s v="459 BLATCHLEY AV"/>
    <n v="71150"/>
    <n v="170000"/>
    <n v="0.41849999999999998"/>
    <n v="2.3893183415319745"/>
    <s v="Residential"/>
    <s v="Overvalued"/>
    <s v="N"/>
  </r>
  <r>
    <n v="20000179"/>
    <d v="2021-02-22T00:00:00"/>
    <s v="February"/>
    <n v="2021"/>
    <d v="2021-02-01T00:00:00"/>
    <x v="89"/>
    <s v="72 HOMESTEAD LN"/>
    <n v="94770"/>
    <n v="170000"/>
    <n v="0.55740000000000001"/>
    <n v="1.7938166086314233"/>
    <s v="Residential"/>
    <s v="Undervalued"/>
    <s v="B"/>
  </r>
  <r>
    <n v="200468"/>
    <d v="2021-02-12T00:00:00"/>
    <s v="February"/>
    <n v="2021"/>
    <d v="2021-02-01T00:00:00"/>
    <x v="64"/>
    <s v="28 STANLEY ST"/>
    <n v="100520"/>
    <n v="170000"/>
    <n v="0.59119999999999995"/>
    <n v="1.6912057302029446"/>
    <s v="Residential"/>
    <s v="Undervalued"/>
    <s v="M"/>
  </r>
  <r>
    <n v="160293"/>
    <d v="2017-04-20T00:00:00"/>
    <s v="April"/>
    <n v="2017"/>
    <d v="2017-04-01T00:00:00"/>
    <x v="37"/>
    <s v="329 A HERITAGE VILLAGE"/>
    <n v="102830"/>
    <n v="170000"/>
    <n v="0.60488235300000004"/>
    <n v="1.6532140425945736"/>
    <s v="Condo"/>
    <s v="Undervalued"/>
    <s v="S"/>
  </r>
  <r>
    <n v="200113"/>
    <d v="2021-01-14T00:00:00"/>
    <s v="January"/>
    <n v="2021"/>
    <d v="2021-01-01T00:00:00"/>
    <x v="72"/>
    <s v="4 CHELTENHAM CT"/>
    <n v="98280"/>
    <n v="169900"/>
    <n v="0.57840000000000003"/>
    <n v="1.7287342287342287"/>
    <s v="Residential"/>
    <s v="Undervalued"/>
    <s v="S"/>
  </r>
  <r>
    <n v="70491"/>
    <d v="2008-05-28T00:00:00"/>
    <s v="May"/>
    <n v="2008"/>
    <d v="2008-05-01T00:00:00"/>
    <x v="71"/>
    <s v="74 SHEPARD AVE."/>
    <n v="101990"/>
    <n v="169000"/>
    <n v="0.60349112400000005"/>
    <n v="1.6570251985488773"/>
    <s v="Condo"/>
    <s v="Undervalued"/>
    <s v="H"/>
  </r>
  <r>
    <n v="160427"/>
    <d v="2017-08-29T00:00:00"/>
    <s v="August"/>
    <n v="2017"/>
    <d v="2017-08-01T00:00:00"/>
    <x v="63"/>
    <s v="9B BARRINGTON DR"/>
    <n v="113800"/>
    <n v="169000"/>
    <n v="0.67337278099999998"/>
    <n v="1.4850615114235501"/>
    <s v="Condo"/>
    <s v="Undervalued"/>
    <s v="W"/>
  </r>
  <r>
    <n v="170091"/>
    <d v="2017-11-27T00:00:00"/>
    <s v="November"/>
    <n v="2017"/>
    <d v="2017-11-01T00:00:00"/>
    <x v="22"/>
    <s v="103 CEDAR KNOLLS"/>
    <n v="112800"/>
    <n v="167450"/>
    <n v="0.67363392099999997"/>
    <n v="1.4844858156028369"/>
    <s v="Condo"/>
    <s v="Undervalued"/>
    <s v="B"/>
  </r>
  <r>
    <n v="20522"/>
    <d v="2021-03-11T00:00:00"/>
    <s v="March"/>
    <n v="2021"/>
    <d v="2021-03-01T00:00:00"/>
    <x v="33"/>
    <s v="26 BRANFORD ST"/>
    <n v="35875"/>
    <n v="165000"/>
    <n v="0.21740000000000001"/>
    <n v="4.5993031358885021"/>
    <s v="Residential"/>
    <s v="Overvalued"/>
    <s v="H"/>
  </r>
  <r>
    <n v="20513"/>
    <d v="2021-03-11T00:00:00"/>
    <s v="March"/>
    <n v="2021"/>
    <d v="2021-03-01T00:00:00"/>
    <x v="43"/>
    <s v="32 HIGHLAND TERR"/>
    <n v="97580"/>
    <n v="163300"/>
    <n v="0.59750000000000003"/>
    <n v="1.673498667759787"/>
    <s v="Residential"/>
    <s v="Undervalued"/>
    <s v="N"/>
  </r>
  <r>
    <n v="100533"/>
    <d v="2011-06-29T00:00:00"/>
    <s v="June"/>
    <n v="2011"/>
    <d v="2011-06-01T00:00:00"/>
    <x v="4"/>
    <s v="166 OLD BROOKFIELD RD #27B1"/>
    <n v="146800"/>
    <n v="162800"/>
    <n v="0.90171990199999996"/>
    <n v="1.1089918256130791"/>
    <s v="Condo"/>
    <s v="Undervalued"/>
    <s v="D"/>
  </r>
  <r>
    <n v="90163"/>
    <d v="2009-11-24T00:00:00"/>
    <s v="November"/>
    <n v="2009"/>
    <d v="2009-11-01T00:00:00"/>
    <x v="39"/>
    <s v="893 FARMINGTON AVE 2-2E"/>
    <n v="105000"/>
    <n v="161000"/>
    <n v="0.65217391300000005"/>
    <n v="1.5333333333333334"/>
    <s v="Condo"/>
    <s v="Undervalued"/>
    <s v="W"/>
  </r>
  <r>
    <n v="10113"/>
    <d v="2010-12-22T00:00:00"/>
    <s v="December"/>
    <n v="2010"/>
    <d v="2010-12-01T00:00:00"/>
    <x v="34"/>
    <s v="70 SPRINGBROOK RD"/>
    <n v="119400"/>
    <n v="161000"/>
    <n v="0.74161490699999999"/>
    <n v="1.3484087102177555"/>
    <s v="Condo"/>
    <s v="Undervalued"/>
    <s v="G"/>
  </r>
  <r>
    <n v="200991"/>
    <d v="2021-07-08T00:00:00"/>
    <s v="July"/>
    <n v="2021"/>
    <d v="2021-07-01T00:00:00"/>
    <x v="18"/>
    <s v="64 MILFORD ROAD"/>
    <n v="104300"/>
    <n v="160000"/>
    <n v="0.65180000000000005"/>
    <n v="1.5340364333652925"/>
    <s v="Residential"/>
    <s v="Undervalued"/>
    <s v="M"/>
  </r>
  <r>
    <n v="20000050"/>
    <d v="2020-11-05T00:00:00"/>
    <s v="November"/>
    <n v="2020"/>
    <d v="2020-11-01T00:00:00"/>
    <x v="89"/>
    <s v="4 CHELSEA CT"/>
    <n v="105110"/>
    <n v="160000"/>
    <n v="0.65693749999999995"/>
    <n v="1.5222148225668348"/>
    <s v="Residential"/>
    <s v="Undervalued"/>
    <s v="B"/>
  </r>
  <r>
    <n v="80588"/>
    <d v="2009-07-21T00:00:00"/>
    <s v="July"/>
    <n v="2009"/>
    <d v="2009-07-01T00:00:00"/>
    <x v="4"/>
    <s v="55 MILL PLAIN RD #33-3"/>
    <n v="125900"/>
    <n v="160000"/>
    <n v="0.78687499999999999"/>
    <n v="1.2708498808578237"/>
    <s v="Condo"/>
    <s v="Undervalued"/>
    <s v="D"/>
  </r>
  <r>
    <n v="70130"/>
    <d v="2008-08-29T00:00:00"/>
    <s v="August"/>
    <n v="2008"/>
    <d v="2008-08-01T00:00:00"/>
    <x v="90"/>
    <s v="257 SABIN ST #18"/>
    <n v="91700"/>
    <n v="157000"/>
    <n v="0.58407643300000001"/>
    <n v="1.7121046892039258"/>
    <s v="Condo"/>
    <s v="Undervalued"/>
    <s v="P"/>
  </r>
  <r>
    <n v="180207"/>
    <d v="2019-02-27T00:00:00"/>
    <s v="February"/>
    <n v="2019"/>
    <d v="2019-02-01T00:00:00"/>
    <x v="22"/>
    <s v="406 THOREAU ST"/>
    <n v="100800"/>
    <n v="156000"/>
    <n v="0.64615384600000003"/>
    <n v="1.5476190476190477"/>
    <s v="Condo"/>
    <s v="Undervalued"/>
    <s v="B"/>
  </r>
  <r>
    <n v="200032"/>
    <d v="2020-10-08T00:00:00"/>
    <s v="October"/>
    <n v="2020"/>
    <d v="2020-10-01T00:00:00"/>
    <x v="67"/>
    <s v="9 LESLIE COURT"/>
    <n v="94920"/>
    <n v="155000"/>
    <n v="0.61229999999999996"/>
    <n v="1.6329540665823852"/>
    <s v="Residential"/>
    <s v="Undervalued"/>
    <s v="B"/>
  </r>
  <r>
    <n v="161240"/>
    <d v="2017-07-26T00:00:00"/>
    <s v="July"/>
    <n v="2017"/>
    <d v="2017-07-01T00:00:00"/>
    <x v="44"/>
    <s v="18 PROSPECT ST"/>
    <n v="95050"/>
    <n v="155000"/>
    <n v="0.61322580599999998"/>
    <n v="1.6307206733298265"/>
    <s v="Condo"/>
    <s v="Undervalued"/>
    <s v="N"/>
  </r>
  <r>
    <n v="62389"/>
    <d v="2007-08-24T00:00:00"/>
    <s v="August"/>
    <n v="2007"/>
    <d v="2007-08-01T00:00:00"/>
    <x v="91"/>
    <s v="166 KENNEDY DR"/>
    <n v="80521"/>
    <n v="154500"/>
    <n v="0.52117152099999997"/>
    <n v="1.9187541138336583"/>
    <s v="Condo"/>
    <s v="Undervalued"/>
    <s v="B"/>
  </r>
  <r>
    <n v="12323"/>
    <d v="2013-07-08T00:00:00"/>
    <s v="July"/>
    <n v="2013"/>
    <d v="2013-07-01T00:00:00"/>
    <x v="88"/>
    <s v="45 SAVIN PARK"/>
    <n v="126280"/>
    <n v="153500"/>
    <n v="0.82267100999999998"/>
    <n v="1.2155527399429837"/>
    <s v="Condo"/>
    <s v="Undervalued"/>
    <s v="W"/>
  </r>
  <r>
    <n v="190443"/>
    <d v="2020-04-29T00:00:00"/>
    <s v="April"/>
    <n v="2020"/>
    <d v="2020-04-01T00:00:00"/>
    <x v="92"/>
    <s v="94 CYNTHIA LA #B-6"/>
    <n v="92280"/>
    <n v="153000"/>
    <n v="0.60309999999999997"/>
    <n v="1.6579973992197659"/>
    <s v="Condo"/>
    <s v="Undervalued"/>
    <s v="M"/>
  </r>
  <r>
    <n v="90035"/>
    <d v="2009-12-01T00:00:00"/>
    <s v="December"/>
    <n v="2009"/>
    <d v="2009-12-01T00:00:00"/>
    <x v="93"/>
    <s v="2 WOODSTOCK HILLS"/>
    <n v="110700"/>
    <n v="151000"/>
    <n v="0.73311258300000004"/>
    <n v="1.3640469738030714"/>
    <s v="Condo"/>
    <s v="Undervalued"/>
    <s v="W"/>
  </r>
  <r>
    <n v="201777"/>
    <d v="2021-06-08T00:00:00"/>
    <s v="June"/>
    <n v="2021"/>
    <d v="2021-06-01T00:00:00"/>
    <x v="94"/>
    <s v="18 CAMP ST"/>
    <n v="36770"/>
    <n v="150000"/>
    <n v="0.24510000000000001"/>
    <n v="4.0794125645906991"/>
    <s v="Residential"/>
    <s v="Overvalued"/>
    <s v="W"/>
  </r>
  <r>
    <n v="200285"/>
    <d v="2021-04-12T00:00:00"/>
    <s v="April"/>
    <n v="2021"/>
    <d v="2021-04-01T00:00:00"/>
    <x v="40"/>
    <s v="30 GRANITE RD"/>
    <n v="77840"/>
    <n v="150000"/>
    <n v="0.51890000000000003"/>
    <n v="1.9270298047276464"/>
    <s v="Residential"/>
    <s v="Undervalued"/>
    <s v="G"/>
  </r>
  <r>
    <n v="201018"/>
    <d v="2021-06-03T00:00:00"/>
    <s v="June"/>
    <n v="2021"/>
    <d v="2021-06-01T00:00:00"/>
    <x v="4"/>
    <s v="55 FOREST AV"/>
    <n v="136900"/>
    <n v="150000"/>
    <n v="0.91259999999999997"/>
    <n v="1.0956902848794741"/>
    <s v="Residential"/>
    <s v="Undervalued"/>
    <s v="D"/>
  </r>
  <r>
    <n v="200230"/>
    <d v="2021-04-26T00:00:00"/>
    <s v="April"/>
    <n v="2021"/>
    <d v="2021-04-01T00:00:00"/>
    <x v="95"/>
    <s v="152 NORTH ST"/>
    <n v="143220"/>
    <n v="150000"/>
    <n v="0.95479999999999998"/>
    <n v="1.0473397570171763"/>
    <s v="Apartments"/>
    <s v="Undervalued"/>
    <s v="K"/>
  </r>
  <r>
    <n v="90347"/>
    <d v="2009-12-30T00:00:00"/>
    <s v="December"/>
    <n v="2009"/>
    <d v="2009-12-01T00:00:00"/>
    <x v="94"/>
    <s v="210 STONEFIELD DR #48"/>
    <n v="87700"/>
    <n v="149850"/>
    <n v="0.58525191899999995"/>
    <n v="1.7086659064994298"/>
    <s v="Condo"/>
    <s v="Undervalued"/>
    <s v="W"/>
  </r>
  <r>
    <n v="90832"/>
    <d v="2010-06-30T00:00:00"/>
    <s v="June"/>
    <n v="2010"/>
    <d v="2010-06-01T00:00:00"/>
    <x v="16"/>
    <s v="418 WOODWARD AVE UNIT 16"/>
    <n v="99960"/>
    <n v="146000"/>
    <n v="0.68465753399999996"/>
    <n v="1.4605842336934773"/>
    <s v="Condo"/>
    <s v="Undervalued"/>
    <s v="N"/>
  </r>
  <r>
    <n v="150007"/>
    <d v="2015-10-28T00:00:00"/>
    <s v="October"/>
    <n v="2015"/>
    <d v="2015-10-01T00:00:00"/>
    <x v="96"/>
    <s v="32 CHELSEA LANE"/>
    <n v="100900"/>
    <n v="144900"/>
    <n v="0.69634230500000005"/>
    <n v="1.4360753221010902"/>
    <s v="Condo"/>
    <s v="Undervalued"/>
    <s v="E"/>
  </r>
  <r>
    <n v="100020"/>
    <d v="2010-10-22T00:00:00"/>
    <s v="October"/>
    <n v="2010"/>
    <d v="2010-10-01T00:00:00"/>
    <x v="22"/>
    <s v="6B ROCKLEDGE"/>
    <n v="123700"/>
    <n v="143800"/>
    <n v="0.86022253100000001"/>
    <n v="1.1624898949070332"/>
    <s v="Condo"/>
    <s v="Undervalued"/>
    <s v="B"/>
  </r>
  <r>
    <n v="60190"/>
    <d v="2006-12-11T00:00:00"/>
    <s v="December"/>
    <n v="2006"/>
    <d v="2006-12-01T00:00:00"/>
    <x v="62"/>
    <s v="19 TERRACE GDNS"/>
    <n v="78260"/>
    <n v="143000"/>
    <n v="0.54727272699999996"/>
    <n v="1.8272425249169435"/>
    <s v="Condo"/>
    <s v="Undervalued"/>
    <s v="W"/>
  </r>
  <r>
    <n v="9347"/>
    <d v="2010-02-23T00:00:00"/>
    <s v="February"/>
    <n v="2010"/>
    <d v="2010-02-01T00:00:00"/>
    <x v="64"/>
    <s v="28 STERLING VLG"/>
    <n v="93050"/>
    <n v="143000"/>
    <n v="0.65069930099999995"/>
    <n v="1.5368081676518002"/>
    <s v="Condo"/>
    <s v="Undervalued"/>
    <s v="M"/>
  </r>
  <r>
    <n v="17141"/>
    <d v="2017-11-30T00:00:00"/>
    <s v="November"/>
    <n v="2017"/>
    <d v="2017-11-01T00:00:00"/>
    <x v="88"/>
    <s v="375 CAPT THOMAS BLVD #14"/>
    <n v="119630"/>
    <n v="142650"/>
    <n v="0.83860000000000001"/>
    <n v="1.1924266488339046"/>
    <s v="Condo"/>
    <s v="Undervalued"/>
    <s v="W"/>
  </r>
  <r>
    <n v="200375"/>
    <d v="2021-04-06T00:00:00"/>
    <s v="April"/>
    <n v="2021"/>
    <d v="2021-04-01T00:00:00"/>
    <x v="87"/>
    <s v="55      THOMPSON ST #5A"/>
    <n v="76960"/>
    <n v="140000"/>
    <n v="0.54969999999999997"/>
    <n v="1.8191268191268191"/>
    <s v="Residential"/>
    <s v="Undervalued"/>
    <s v="E"/>
  </r>
  <r>
    <n v="14332"/>
    <d v="2015-06-24T00:00:00"/>
    <s v="June"/>
    <n v="2015"/>
    <d v="2015-06-01T00:00:00"/>
    <x v="76"/>
    <s v="154 COTTONWOOD ROAD"/>
    <n v="107520"/>
    <n v="140000"/>
    <n v="0.76800000000000002"/>
    <n v="1.3020833333333333"/>
    <s v="Condo"/>
    <s v="Undervalued"/>
    <s v="N"/>
  </r>
  <r>
    <n v="202250"/>
    <d v="2021-08-09T00:00:00"/>
    <s v="August"/>
    <n v="2021"/>
    <d v="2021-08-01T00:00:00"/>
    <x v="94"/>
    <s v="94 SOUTHMAYD RD #3"/>
    <n v="63100"/>
    <n v="139900"/>
    <n v="0.45100000000000001"/>
    <n v="2.2171156893819335"/>
    <s v="Residential"/>
    <s v="Overvalued"/>
    <s v="W"/>
  </r>
  <r>
    <n v="150498"/>
    <d v="2016-05-02T00:00:00"/>
    <s v="May"/>
    <n v="2016"/>
    <d v="2016-05-01T00:00:00"/>
    <x v="64"/>
    <s v="160 SUFFOLK CT"/>
    <n v="94570"/>
    <n v="135000"/>
    <n v="0.70051851899999995"/>
    <n v="1.4275140107856614"/>
    <s v="Condo"/>
    <s v="Undervalued"/>
    <s v="M"/>
  </r>
  <r>
    <n v="13105"/>
    <d v="2014-03-11T00:00:00"/>
    <s v="March"/>
    <n v="2014"/>
    <d v="2014-03-01T00:00:00"/>
    <x v="75"/>
    <s v="42 SILO WAY"/>
    <n v="124460"/>
    <n v="133000"/>
    <n v="0.93578947400000001"/>
    <n v="1.0686164229471316"/>
    <s v="Condo"/>
    <s v="Undervalued"/>
    <s v="B"/>
  </r>
  <r>
    <n v="200436"/>
    <d v="2021-05-04T00:00:00"/>
    <s v="May"/>
    <n v="2021"/>
    <d v="2021-05-01T00:00:00"/>
    <x v="11"/>
    <s v="67 LEAFWOOD LN S250"/>
    <n v="71960"/>
    <n v="130000"/>
    <n v="0.55349999999999999"/>
    <n v="1.8065591995553085"/>
    <s v="Residential"/>
    <s v="Undervalued"/>
    <s v="G"/>
  </r>
  <r>
    <n v="200377"/>
    <d v="2021-05-28T00:00:00"/>
    <s v="May"/>
    <n v="2021"/>
    <d v="2021-05-01T00:00:00"/>
    <x v="52"/>
    <s v="108 LIBRARY LANE"/>
    <n v="80010"/>
    <n v="130000"/>
    <n v="0.61539999999999995"/>
    <n v="1.6247969003874516"/>
    <s v="Residential"/>
    <s v="Undervalued"/>
    <s v="S"/>
  </r>
  <r>
    <n v="90097"/>
    <d v="2010-06-03T00:00:00"/>
    <s v="June"/>
    <n v="2010"/>
    <d v="2010-06-01T00:00:00"/>
    <x v="93"/>
    <s v="5 WOODSTOCK MEADOWS"/>
    <n v="126200"/>
    <n v="130000"/>
    <n v="0.97076923100000001"/>
    <n v="1.0301109350237718"/>
    <s v="Condo"/>
    <s v="Undervalued"/>
    <s v="W"/>
  </r>
  <r>
    <n v="140129"/>
    <d v="2015-07-13T00:00:00"/>
    <s v="July"/>
    <n v="2015"/>
    <d v="2015-07-01T00:00:00"/>
    <x v="97"/>
    <s v="229 BRANFORD RD #222"/>
    <n v="88000"/>
    <n v="128866"/>
    <n v="0.68287989100000002"/>
    <n v="1.4643863636363637"/>
    <s v="Condo"/>
    <s v="Undervalued"/>
    <s v="N"/>
  </r>
  <r>
    <n v="20273"/>
    <d v="2021-01-11T00:00:00"/>
    <s v="January"/>
    <n v="2021"/>
    <d v="2021-01-01T00:00:00"/>
    <x v="98"/>
    <s v="12 CARPENTER CLOSE"/>
    <n v="89810"/>
    <n v="128300"/>
    <n v="0.7"/>
    <n v="1.4285714285714286"/>
    <s v="Residential"/>
    <s v="Undervalued"/>
    <s v="R"/>
  </r>
  <r>
    <n v="900152"/>
    <d v="2010-05-03T00:00:00"/>
    <s v="May"/>
    <n v="2010"/>
    <d v="2010-05-01T00:00:00"/>
    <x v="0"/>
    <s v="5D CARILLON DRIVE"/>
    <n v="88620"/>
    <n v="127000"/>
    <n v="0.69779527600000002"/>
    <n v="1.4330850823741819"/>
    <s v="Condo"/>
    <s v="Undervalued"/>
    <s v="R"/>
  </r>
  <r>
    <n v="160624"/>
    <d v="2017-08-17T00:00:00"/>
    <s v="August"/>
    <n v="2017"/>
    <d v="2017-08-01T00:00:00"/>
    <x v="12"/>
    <s v="306 SALEM TPKE UNIT#4"/>
    <n v="96100"/>
    <n v="125500"/>
    <n v="0.76573705199999997"/>
    <n v="1.3059313215400625"/>
    <s v="Condo"/>
    <s v="Undervalued"/>
    <s v="N"/>
  </r>
  <r>
    <n v="160521"/>
    <d v="2017-06-30T00:00:00"/>
    <s v="June"/>
    <n v="2017"/>
    <d v="2017-06-01T00:00:00"/>
    <x v="82"/>
    <s v="442 EVERGREEN RD"/>
    <n v="88000"/>
    <n v="125000"/>
    <n v="0.70399999999999996"/>
    <n v="1.4204545454545454"/>
    <s v="Condo"/>
    <s v="Undervalued"/>
    <s v="T"/>
  </r>
  <r>
    <n v="130523"/>
    <d v="2014-09-26T00:00:00"/>
    <s v="September"/>
    <n v="2014"/>
    <d v="2014-09-01T00:00:00"/>
    <x v="49"/>
    <s v="156 WYNWOOD DR"/>
    <n v="97940"/>
    <n v="125000"/>
    <n v="0.78351999999999999"/>
    <n v="1.2762916071063917"/>
    <s v="Condo"/>
    <s v="Undervalued"/>
    <s v="E"/>
  </r>
  <r>
    <n v="160010"/>
    <d v="2016-10-13T00:00:00"/>
    <s v="October"/>
    <n v="2016"/>
    <d v="2016-10-01T00:00:00"/>
    <x v="0"/>
    <s v="29A CARILLON DRIVE"/>
    <n v="76930"/>
    <n v="124500"/>
    <n v="0.61791164700000001"/>
    <n v="1.6183543481086702"/>
    <s v="Condo"/>
    <s v="Undervalued"/>
    <s v="R"/>
  </r>
  <r>
    <n v="70133"/>
    <d v="2008-03-20T00:00:00"/>
    <s v="March"/>
    <n v="2008"/>
    <d v="2008-03-01T00:00:00"/>
    <x v="99"/>
    <s v="3N LAKESIDE DR"/>
    <n v="92820"/>
    <n v="124000"/>
    <n v="0.74854838700000004"/>
    <n v="1.3359189829778064"/>
    <s v="Condo"/>
    <s v="Undervalued"/>
    <s v="L"/>
  </r>
  <r>
    <n v="200174"/>
    <d v="2020-11-20T00:00:00"/>
    <s v="November"/>
    <n v="2020"/>
    <d v="2020-11-01T00:00:00"/>
    <x v="82"/>
    <s v="194 LEDGE DR"/>
    <n v="58020"/>
    <n v="122500"/>
    <n v="0.47360000000000002"/>
    <n v="2.1113409169251982"/>
    <s v="Residential"/>
    <s v="Overvalued"/>
    <s v="T"/>
  </r>
  <r>
    <n v="160065"/>
    <d v="2016-12-05T00:00:00"/>
    <s v="December"/>
    <n v="2016"/>
    <d v="2016-12-01T00:00:00"/>
    <x v="0"/>
    <s v="4 COPPER BEECH DRIVE"/>
    <n v="89950"/>
    <n v="122500"/>
    <n v="0.73428571399999998"/>
    <n v="1.3618677042801557"/>
    <s v="Condo"/>
    <s v="Undervalued"/>
    <s v="R"/>
  </r>
  <r>
    <n v="201592"/>
    <d v="2021-05-12T00:00:00"/>
    <s v="May"/>
    <n v="2021"/>
    <d v="2021-05-01T00:00:00"/>
    <x v="94"/>
    <s v="26 COOPER ST"/>
    <n v="73860"/>
    <n v="122000"/>
    <n v="0.60540000000000005"/>
    <n v="1.6517736257784998"/>
    <s v="Residential"/>
    <s v="Undervalued"/>
    <s v="W"/>
  </r>
  <r>
    <n v="100226"/>
    <d v="2011-02-25T00:00:00"/>
    <s v="February"/>
    <n v="2011"/>
    <d v="2011-02-01T00:00:00"/>
    <x v="67"/>
    <s v="35 RUTH ST #60"/>
    <n v="93450"/>
    <n v="120000"/>
    <n v="0.77875000000000005"/>
    <n v="1.2841091492776886"/>
    <s v="Condo"/>
    <s v="Undervalued"/>
    <s v="B"/>
  </r>
  <r>
    <n v="100254"/>
    <d v="2011-07-07T00:00:00"/>
    <s v="July"/>
    <n v="2011"/>
    <d v="2011-07-01T00:00:00"/>
    <x v="31"/>
    <s v="11-A4 BYRNE COURT"/>
    <n v="91000"/>
    <n v="115000"/>
    <n v="0.79130434800000005"/>
    <n v="1.2637362637362637"/>
    <s v="Condo"/>
    <s v="Undervalued"/>
    <s v="F"/>
  </r>
  <r>
    <n v="90010"/>
    <d v="2009-10-19T00:00:00"/>
    <s v="October"/>
    <n v="2009"/>
    <d v="2009-10-01T00:00:00"/>
    <x v="17"/>
    <s v="13 HOLT ST #4"/>
    <n v="94260"/>
    <n v="115000"/>
    <n v="0.81965217400000001"/>
    <n v="1.22002970507108"/>
    <s v="Condo"/>
    <s v="Undervalued"/>
    <s v="P"/>
  </r>
  <r>
    <n v="800234"/>
    <d v="2009-06-03T00:00:00"/>
    <s v="June"/>
    <n v="2009"/>
    <d v="2009-06-01T00:00:00"/>
    <x v="31"/>
    <s v="1622 FARMINGTON AV UNIT 11"/>
    <n v="82250"/>
    <n v="112500"/>
    <n v="0.73111111100000004"/>
    <n v="1.3677811550151975"/>
    <s v="Condo"/>
    <s v="Undervalued"/>
    <s v="F"/>
  </r>
  <r>
    <n v="160444"/>
    <d v="2017-07-10T00:00:00"/>
    <s v="July"/>
    <n v="2017"/>
    <d v="2017-07-01T00:00:00"/>
    <x v="37"/>
    <s v="73 B HERITAGE VILLAGE"/>
    <n v="58510"/>
    <n v="110000"/>
    <n v="0.53190909099999995"/>
    <n v="1.8800205093146471"/>
    <s v="Condo"/>
    <s v="Undervalued"/>
    <s v="S"/>
  </r>
  <r>
    <n v="180650"/>
    <d v="2019-01-24T00:00:00"/>
    <s v="January"/>
    <n v="2019"/>
    <d v="2019-01-01T00:00:00"/>
    <x v="91"/>
    <s v="333 VINCELLETTE ST UNIT 82"/>
    <n v="64720"/>
    <n v="108000"/>
    <n v="0.59919999999999995"/>
    <n v="1.6687268232385661"/>
    <s v="Condo"/>
    <s v="Undervalued"/>
    <s v="B"/>
  </r>
  <r>
    <n v="908206"/>
    <d v="2010-09-10T00:00:00"/>
    <s v="September"/>
    <n v="2010"/>
    <d v="2010-09-01T00:00:00"/>
    <x v="88"/>
    <s v="155 BULL HILL LA #S2"/>
    <n v="69020"/>
    <n v="107500"/>
    <n v="0.64204651199999996"/>
    <n v="1.5575195595479572"/>
    <s v="Condo"/>
    <s v="Undervalued"/>
    <s v="W"/>
  </r>
  <r>
    <n v="171321"/>
    <d v="2018-05-14T00:00:00"/>
    <s v="May"/>
    <n v="2018"/>
    <d v="2018-05-01T00:00:00"/>
    <x v="91"/>
    <s v="50 GREENHOUSE RD UNIT 57C"/>
    <n v="59750"/>
    <n v="107000"/>
    <n v="0.55840000000000001"/>
    <n v="1.7907949790794979"/>
    <s v="Condo"/>
    <s v="Undervalued"/>
    <s v="B"/>
  </r>
  <r>
    <n v="200953"/>
    <d v="2021-05-28T00:00:00"/>
    <s v="May"/>
    <n v="2021"/>
    <d v="2021-05-01T00:00:00"/>
    <x v="16"/>
    <s v="44 FRONT ST"/>
    <n v="64470"/>
    <n v="105000"/>
    <n v="0.61399999999999999"/>
    <n v="1.6286644951140066"/>
    <s v="Residential"/>
    <s v="Undervalued"/>
    <s v="N"/>
  </r>
  <r>
    <n v="200007"/>
    <d v="2020-10-02T00:00:00"/>
    <s v="October"/>
    <n v="2020"/>
    <d v="2020-10-01T00:00:00"/>
    <x v="100"/>
    <s v="23-D AMATO DR"/>
    <n v="68300"/>
    <n v="105000"/>
    <n v="0.65039999999999998"/>
    <n v="1.5373352855051245"/>
    <s v="Residential"/>
    <s v="Undervalued"/>
    <s v="S"/>
  </r>
  <r>
    <n v="120151"/>
    <d v="2013-09-13T00:00:00"/>
    <s v="September"/>
    <n v="2013"/>
    <d v="2013-09-01T00:00:00"/>
    <x v="17"/>
    <s v="30 SEYMOUR RD UNIT C-2"/>
    <n v="76270"/>
    <n v="105000"/>
    <n v="0.72638095199999997"/>
    <n v="1.3766880818146061"/>
    <s v="Condo"/>
    <s v="Undervalued"/>
    <s v="P"/>
  </r>
  <r>
    <n v="160052"/>
    <d v="2017-02-01T00:00:00"/>
    <s v="February"/>
    <n v="2017"/>
    <d v="2017-02-01T00:00:00"/>
    <x v="101"/>
    <s v="230 E WAKEFIELD BLVD"/>
    <n v="79310"/>
    <n v="100000"/>
    <n v="0.79310000000000003"/>
    <n v="1.2608750472828143"/>
    <s v="Condo"/>
    <s v="Undervalued"/>
    <s v="W"/>
  </r>
  <r>
    <n v="160606"/>
    <d v="2017-07-18T00:00:00"/>
    <s v="July"/>
    <n v="2017"/>
    <d v="2017-07-01T00:00:00"/>
    <x v="102"/>
    <s v="22 VILLAGE RD"/>
    <n v="68800"/>
    <n v="95000"/>
    <n v="0.72421052600000002"/>
    <n v="1.3808139534883721"/>
    <s v="Condo"/>
    <s v="Undervalued"/>
    <s v="S"/>
  </r>
  <r>
    <n v="201212"/>
    <d v="2021-08-23T00:00:00"/>
    <s v="August"/>
    <n v="2021"/>
    <d v="2021-08-01T00:00:00"/>
    <x v="67"/>
    <s v="8 JENNINGS TERR"/>
    <n v="88060"/>
    <n v="91000"/>
    <n v="0.96760000000000002"/>
    <n v="1.0333863275039745"/>
    <s v="Residential"/>
    <s v="Undervalued"/>
    <s v="B"/>
  </r>
  <r>
    <n v="2020065"/>
    <d v="2020-12-20T00:00:00"/>
    <s v="December"/>
    <n v="2020"/>
    <d v="2020-12-01T00:00:00"/>
    <x v="103"/>
    <s v="H2 TOLLAND MEADOWS"/>
    <n v="55200"/>
    <n v="90000"/>
    <n v="0.61329999999999996"/>
    <n v="1.6304347826086956"/>
    <s v="Residential"/>
    <s v="Undervalued"/>
    <s v="T"/>
  </r>
  <r>
    <n v="200377"/>
    <d v="2021-08-16T00:00:00"/>
    <s v="August"/>
    <n v="2021"/>
    <d v="2021-08-01T00:00:00"/>
    <x v="104"/>
    <s v="492 EAST ST B-36"/>
    <n v="41090"/>
    <n v="89900"/>
    <n v="0.45700000000000002"/>
    <n v="2.1878802628376732"/>
    <s v="Residential"/>
    <s v="Overvalued"/>
    <s v="P"/>
  </r>
  <r>
    <n v="2020256"/>
    <d v="2021-06-23T00:00:00"/>
    <s v="June"/>
    <n v="2021"/>
    <d v="2021-06-01T00:00:00"/>
    <x v="103"/>
    <s v="D3 TOLLAND MEADOWS"/>
    <n v="55200"/>
    <n v="89900"/>
    <n v="0.61401557299999998"/>
    <n v="1.6286231884057971"/>
    <s v="Residential"/>
    <s v="Undervalued"/>
    <s v="T"/>
  </r>
  <r>
    <n v="90706"/>
    <d v="2010-07-01T00:00:00"/>
    <s v="July"/>
    <n v="2010"/>
    <d v="2010-07-01T00:00:00"/>
    <x v="39"/>
    <s v="140 KANE ST B1"/>
    <n v="76500"/>
    <n v="86000"/>
    <n v="0.88953488400000003"/>
    <n v="1.1241830065359477"/>
    <s v="Condo"/>
    <s v="Undervalued"/>
    <s v="W"/>
  </r>
  <r>
    <n v="160697"/>
    <d v="2017-02-16T00:00:00"/>
    <s v="February"/>
    <n v="2017"/>
    <d v="2017-02-01T00:00:00"/>
    <x v="10"/>
    <s v="22 GLENBROOK ROAD # 103"/>
    <n v="47960"/>
    <n v="85000"/>
    <n v="0.56423529400000005"/>
    <n v="1.7723102585487907"/>
    <s v="Condo"/>
    <s v="Undervalued"/>
    <s v="S"/>
  </r>
  <r>
    <n v="160400"/>
    <d v="2017-06-21T00:00:00"/>
    <s v="June"/>
    <n v="2017"/>
    <d v="2017-06-01T00:00:00"/>
    <x v="37"/>
    <s v="270 D HERITAGE VILLAGE"/>
    <n v="57720"/>
    <n v="85000"/>
    <n v="0.67905882399999995"/>
    <n v="1.4726264726264726"/>
    <s v="Condo"/>
    <s v="Undervalued"/>
    <s v="S"/>
  </r>
  <r>
    <n v="200821"/>
    <d v="2021-05-27T00:00:00"/>
    <s v="May"/>
    <n v="2021"/>
    <d v="2021-05-01T00:00:00"/>
    <x v="64"/>
    <s v="7 CARRIAGE CRSNG"/>
    <n v="67270"/>
    <n v="82000"/>
    <n v="0.82030000000000003"/>
    <n v="1.2189683365541846"/>
    <s v="Residential"/>
    <s v="Undervalued"/>
    <s v="M"/>
  </r>
  <r>
    <n v="90111"/>
    <d v="2009-12-02T00:00:00"/>
    <s v="December"/>
    <n v="2009"/>
    <d v="2009-12-01T00:00:00"/>
    <x v="66"/>
    <s v="165-53 SOUTH ST"/>
    <n v="62630"/>
    <n v="74000"/>
    <n v="0.84635135100000003"/>
    <n v="1.1815423918250041"/>
    <s v="Condo"/>
    <s v="Undervalued"/>
    <s v="V"/>
  </r>
  <r>
    <n v="200242"/>
    <d v="2021-01-27T00:00:00"/>
    <s v="January"/>
    <n v="2021"/>
    <d v="2021-01-01T00:00:00"/>
    <x v="87"/>
    <s v="130 COE AVE #51"/>
    <n v="28240"/>
    <n v="73000"/>
    <n v="0.38684931500000003"/>
    <n v="2.5849858356940509"/>
    <s v="Residential"/>
    <s v="Overvalued"/>
    <s v="E"/>
  </r>
  <r>
    <n v="91123"/>
    <d v="2010-07-12T00:00:00"/>
    <s v="July"/>
    <n v="2010"/>
    <d v="2010-07-01T00:00:00"/>
    <x v="94"/>
    <s v="192 MAYBURY CIRCLE #5"/>
    <n v="52580"/>
    <n v="65000"/>
    <n v="0.80892307699999999"/>
    <n v="1.2362114872575123"/>
    <s v="Condo"/>
    <s v="Undervalued"/>
    <s v="W"/>
  </r>
  <r>
    <n v="190767"/>
    <d v="2020-03-02T00:00:00"/>
    <s v="March"/>
    <n v="2020"/>
    <d v="2020-03-01T00:00:00"/>
    <x v="94"/>
    <s v="1424 THOMASTON AVE #2"/>
    <n v="28490"/>
    <n v="61000"/>
    <n v="0.46700000000000003"/>
    <n v="2.1411021411021411"/>
    <s v="Condo"/>
    <s v="Overvalued"/>
    <s v="W"/>
  </r>
  <r>
    <n v="170668"/>
    <d v="2018-01-31T00:00:00"/>
    <s v="January"/>
    <n v="2018"/>
    <d v="2018-01-01T00:00:00"/>
    <x v="91"/>
    <s v="120 HUNTINGTON TPKE UNIT 708"/>
    <n v="27570"/>
    <n v="59000"/>
    <n v="0.4672"/>
    <n v="2.1400072542618789"/>
    <s v="Condo"/>
    <s v="Overvalued"/>
    <s v="B"/>
  </r>
  <r>
    <n v="160606"/>
    <d v="2017-08-10T00:00:00"/>
    <s v="August"/>
    <n v="2017"/>
    <d v="2017-08-01T00:00:00"/>
    <x v="12"/>
    <s v="1913 OLD POND LN"/>
    <n v="41000"/>
    <n v="55000"/>
    <n v="0.74545454499999997"/>
    <n v="1.3414634146341464"/>
    <s v="Condo"/>
    <s v="Undervalued"/>
    <s v="N"/>
  </r>
  <r>
    <n v="181369"/>
    <d v="2019-06-07T00:00:00"/>
    <s v="June"/>
    <n v="2019"/>
    <d v="2019-06-01T00:00:00"/>
    <x v="91"/>
    <s v="265-A TEXAS AVE"/>
    <n v="36950"/>
    <n v="52000"/>
    <n v="0.71050000000000002"/>
    <n v="1.4073071718538566"/>
    <s v="Condo"/>
    <s v="Undervalued"/>
    <s v="B"/>
  </r>
  <r>
    <n v="100418"/>
    <d v="2011-08-10T00:00:00"/>
    <s v="August"/>
    <n v="2011"/>
    <d v="2011-08-01T00:00:00"/>
    <x v="105"/>
    <s v="233 ELLINGTON RD #312"/>
    <n v="38500"/>
    <n v="50000"/>
    <n v="0.77"/>
    <n v="1.2987012987012987"/>
    <s v="Condo"/>
    <s v="Undervalued"/>
    <s v="E"/>
  </r>
  <r>
    <n v="10470"/>
    <d v="2011-06-06T00:00:00"/>
    <s v="June"/>
    <n v="2011"/>
    <d v="2011-06-01T00:00:00"/>
    <x v="33"/>
    <s v="29 MORRIS ST. UNIT M29C"/>
    <n v="27874"/>
    <n v="42000"/>
    <n v="0.66366666699999999"/>
    <n v="1.5067805123053741"/>
    <s v="Condo"/>
    <s v="Undervalued"/>
    <s v="H"/>
  </r>
  <r>
    <n v="17568"/>
    <d v="2018-05-24T00:00:00"/>
    <s v="May"/>
    <n v="2018"/>
    <d v="2018-05-01T00:00:00"/>
    <x v="33"/>
    <s v="755 WETHERSFIELD AV UNIT B2"/>
    <n v="11620"/>
    <n v="38500"/>
    <n v="0.30180000000000001"/>
    <n v="3.3132530120481927"/>
    <s v="Condo"/>
    <s v="Overvalued"/>
    <s v="H"/>
  </r>
  <r>
    <n v="61464"/>
    <d v="2007-05-25T00:00:00"/>
    <s v="May"/>
    <n v="2007"/>
    <d v="2007-05-01T00:00:00"/>
    <x v="94"/>
    <s v="21 THIRD ST UT 6B"/>
    <n v="14770"/>
    <n v="33000"/>
    <n v="0.44757575799999999"/>
    <n v="2.2342586323628977"/>
    <s v="Condo"/>
    <s v="Overvalued"/>
    <s v="W"/>
  </r>
  <r>
    <n v="180558"/>
    <d v="2019-05-21T00:00:00"/>
    <s v="May"/>
    <n v="2019"/>
    <d v="2019-05-01T00:00:00"/>
    <x v="16"/>
    <s v="1203 ELLA T GRASSO BLVD # B"/>
    <n v="28910"/>
    <n v="30000"/>
    <n v="0.96360000000000001"/>
    <n v="1.0377032168799722"/>
    <s v="Condo"/>
    <s v="Undervalued"/>
    <s v="N"/>
  </r>
  <r>
    <n v="2000720"/>
    <d v="2021-01-05T00:00:00"/>
    <s v="January"/>
    <n v="2021"/>
    <d v="2021-01-01T00:00:00"/>
    <x v="10"/>
    <s v="57 HARBOR DRIVE GARAGE G-105B"/>
    <n v="19110"/>
    <n v="27500"/>
    <n v="0.69489999999999996"/>
    <n v="1.4390371533228676"/>
    <s v="Residential"/>
    <s v="Undervalued"/>
    <s v="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70CDE6-9A67-4A5D-BA33-40364E087357}"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4:O111" firstHeaderRow="0" firstDataRow="1" firstDataCol="1"/>
  <pivotFields count="17">
    <pivotField showAll="0"/>
    <pivotField numFmtId="22" showAll="0">
      <items count="256">
        <item x="195"/>
        <item x="68"/>
        <item x="242"/>
        <item x="165"/>
        <item x="186"/>
        <item x="138"/>
        <item x="125"/>
        <item x="128"/>
        <item x="167"/>
        <item x="158"/>
        <item x="41"/>
        <item x="143"/>
        <item x="210"/>
        <item x="58"/>
        <item x="110"/>
        <item x="173"/>
        <item x="148"/>
        <item x="182"/>
        <item x="47"/>
        <item x="109"/>
        <item x="216"/>
        <item x="181"/>
        <item x="146"/>
        <item x="215"/>
        <item x="118"/>
        <item x="155"/>
        <item x="178"/>
        <item x="133"/>
        <item x="189"/>
        <item x="232"/>
        <item x="119"/>
        <item x="192"/>
        <item x="196"/>
        <item x="164"/>
        <item m="1" x="247"/>
        <item x="114"/>
        <item x="203"/>
        <item x="132"/>
        <item x="228"/>
        <item x="234"/>
        <item m="1" x="250"/>
        <item x="83"/>
        <item x="219"/>
        <item x="136"/>
        <item x="194"/>
        <item m="1" x="248"/>
        <item m="1" x="251"/>
        <item x="122"/>
        <item x="96"/>
        <item x="179"/>
        <item m="1" x="249"/>
        <item x="166"/>
        <item x="213"/>
        <item m="1" x="246"/>
        <item x="240"/>
        <item x="177"/>
        <item x="214"/>
        <item x="239"/>
        <item m="1" x="252"/>
        <item x="187"/>
        <item x="221"/>
        <item m="1" x="253"/>
        <item x="201"/>
        <item x="168"/>
        <item x="55"/>
        <item x="208"/>
        <item x="49"/>
        <item x="199"/>
        <item x="204"/>
        <item x="193"/>
        <item x="200"/>
        <item x="57"/>
        <item x="209"/>
        <item x="116"/>
        <item x="211"/>
        <item x="0"/>
        <item x="163"/>
        <item x="222"/>
        <item x="229"/>
        <item x="171"/>
        <item x="108"/>
        <item x="101"/>
        <item x="43"/>
        <item x="12"/>
        <item x="145"/>
        <item x="230"/>
        <item x="207"/>
        <item x="217"/>
        <item x="151"/>
        <item x="223"/>
        <item x="185"/>
        <item x="160"/>
        <item x="237"/>
        <item x="206"/>
        <item x="174"/>
        <item x="99"/>
        <item x="61"/>
        <item x="141"/>
        <item x="81"/>
        <item x="69"/>
        <item x="175"/>
        <item x="197"/>
        <item x="123"/>
        <item x="236"/>
        <item x="129"/>
        <item x="153"/>
        <item x="3"/>
        <item x="220"/>
        <item x="241"/>
        <item x="218"/>
        <item x="183"/>
        <item x="243"/>
        <item x="238"/>
        <item x="235"/>
        <item m="1" x="254"/>
        <item x="188"/>
        <item x="42"/>
        <item x="67"/>
        <item x="15"/>
        <item x="184"/>
        <item x="103"/>
        <item x="79"/>
        <item x="31"/>
        <item x="120"/>
        <item x="142"/>
        <item x="93"/>
        <item x="76"/>
        <item x="140"/>
        <item x="59"/>
        <item x="32"/>
        <item x="82"/>
        <item x="23"/>
        <item x="152"/>
        <item x="169"/>
        <item x="95"/>
        <item x="14"/>
        <item x="46"/>
        <item x="94"/>
        <item x="131"/>
        <item x="225"/>
        <item x="106"/>
        <item x="36"/>
        <item x="107"/>
        <item x="84"/>
        <item x="105"/>
        <item x="244"/>
        <item x="80"/>
        <item x="127"/>
        <item x="30"/>
        <item x="205"/>
        <item x="172"/>
        <item x="150"/>
        <item x="37"/>
        <item x="8"/>
        <item x="73"/>
        <item x="233"/>
        <item x="25"/>
        <item x="157"/>
        <item x="17"/>
        <item x="154"/>
        <item x="5"/>
        <item x="137"/>
        <item x="97"/>
        <item x="170"/>
        <item x="51"/>
        <item x="117"/>
        <item x="16"/>
        <item x="63"/>
        <item x="156"/>
        <item x="176"/>
        <item x="104"/>
        <item x="85"/>
        <item x="71"/>
        <item x="65"/>
        <item x="26"/>
        <item x="45"/>
        <item x="21"/>
        <item x="70"/>
        <item x="198"/>
        <item x="111"/>
        <item x="113"/>
        <item x="20"/>
        <item x="112"/>
        <item x="24"/>
        <item x="1"/>
        <item x="53"/>
        <item x="92"/>
        <item x="74"/>
        <item x="202"/>
        <item x="162"/>
        <item x="10"/>
        <item x="212"/>
        <item x="135"/>
        <item x="18"/>
        <item x="48"/>
        <item x="139"/>
        <item x="40"/>
        <item x="149"/>
        <item x="126"/>
        <item x="161"/>
        <item x="231"/>
        <item x="64"/>
        <item x="191"/>
        <item x="28"/>
        <item x="87"/>
        <item x="190"/>
        <item x="130"/>
        <item x="34"/>
        <item x="159"/>
        <item x="100"/>
        <item x="35"/>
        <item x="115"/>
        <item x="2"/>
        <item x="227"/>
        <item x="88"/>
        <item x="38"/>
        <item x="11"/>
        <item x="144"/>
        <item x="180"/>
        <item x="4"/>
        <item x="102"/>
        <item x="60"/>
        <item m="1" x="245"/>
        <item x="9"/>
        <item x="7"/>
        <item x="22"/>
        <item x="52"/>
        <item x="13"/>
        <item x="56"/>
        <item x="89"/>
        <item x="33"/>
        <item x="62"/>
        <item x="91"/>
        <item x="75"/>
        <item x="226"/>
        <item x="90"/>
        <item x="86"/>
        <item x="224"/>
        <item x="27"/>
        <item x="6"/>
        <item x="147"/>
        <item x="78"/>
        <item x="134"/>
        <item x="29"/>
        <item x="124"/>
        <item x="54"/>
        <item x="98"/>
        <item x="121"/>
        <item x="77"/>
        <item x="19"/>
        <item x="72"/>
        <item x="66"/>
        <item x="50"/>
        <item x="39"/>
        <item x="44"/>
        <item t="default"/>
      </items>
    </pivotField>
    <pivotField showAll="0">
      <items count="13">
        <item x="7"/>
        <item x="5"/>
        <item x="9"/>
        <item x="1"/>
        <item x="3"/>
        <item x="2"/>
        <item x="4"/>
        <item x="6"/>
        <item x="10"/>
        <item x="8"/>
        <item x="11"/>
        <item x="0"/>
        <item t="default"/>
      </items>
    </pivotField>
    <pivotField showAll="0">
      <items count="16">
        <item x="14"/>
        <item x="8"/>
        <item x="5"/>
        <item x="10"/>
        <item x="9"/>
        <item x="11"/>
        <item x="13"/>
        <item x="7"/>
        <item x="6"/>
        <item x="0"/>
        <item x="3"/>
        <item x="2"/>
        <item x="12"/>
        <item x="4"/>
        <item x="1"/>
        <item t="default"/>
      </items>
    </pivotField>
    <pivotField showAll="0"/>
    <pivotField axis="axisRow" showAll="0">
      <items count="107">
        <item x="60"/>
        <item x="47"/>
        <item x="9"/>
        <item x="23"/>
        <item x="19"/>
        <item x="59"/>
        <item x="56"/>
        <item x="75"/>
        <item x="22"/>
        <item x="91"/>
        <item x="67"/>
        <item x="89"/>
        <item x="26"/>
        <item x="69"/>
        <item x="53"/>
        <item x="48"/>
        <item x="50"/>
        <item x="51"/>
        <item x="41"/>
        <item x="1"/>
        <item x="4"/>
        <item x="78"/>
        <item x="15"/>
        <item x="96"/>
        <item x="68"/>
        <item x="105"/>
        <item x="87"/>
        <item x="8"/>
        <item x="49"/>
        <item x="35"/>
        <item x="36"/>
        <item x="31"/>
        <item x="85"/>
        <item x="34"/>
        <item x="2"/>
        <item x="65"/>
        <item x="11"/>
        <item x="40"/>
        <item x="71"/>
        <item x="33"/>
        <item x="55"/>
        <item x="95"/>
        <item x="25"/>
        <item x="81"/>
        <item x="99"/>
        <item x="86"/>
        <item x="73"/>
        <item x="18"/>
        <item x="57"/>
        <item x="64"/>
        <item x="92"/>
        <item x="61"/>
        <item x="27"/>
        <item x="70"/>
        <item x="43"/>
        <item x="5"/>
        <item x="79"/>
        <item x="42"/>
        <item x="16"/>
        <item x="3"/>
        <item x="76"/>
        <item x="13"/>
        <item x="97"/>
        <item x="45"/>
        <item x="44"/>
        <item x="12"/>
        <item x="29"/>
        <item x="30"/>
        <item x="54"/>
        <item x="104"/>
        <item x="17"/>
        <item x="84"/>
        <item x="90"/>
        <item x="7"/>
        <item x="98"/>
        <item x="0"/>
        <item x="28"/>
        <item x="38"/>
        <item x="32"/>
        <item x="52"/>
        <item x="100"/>
        <item x="37"/>
        <item x="102"/>
        <item x="10"/>
        <item x="74"/>
        <item x="46"/>
        <item x="24"/>
        <item x="72"/>
        <item x="58"/>
        <item x="103"/>
        <item x="82"/>
        <item x="14"/>
        <item x="66"/>
        <item x="77"/>
        <item x="62"/>
        <item x="6"/>
        <item x="94"/>
        <item x="21"/>
        <item x="83"/>
        <item x="39"/>
        <item x="88"/>
        <item x="20"/>
        <item x="63"/>
        <item x="101"/>
        <item x="80"/>
        <item x="93"/>
        <item t="default"/>
      </items>
    </pivotField>
    <pivotField showAll="0"/>
    <pivotField showAll="0"/>
    <pivotField showAll="0"/>
    <pivotField dataField="1" showAll="0"/>
    <pivotField dataField="1" showAll="0"/>
    <pivotField showAll="0"/>
    <pivotField showAll="0">
      <items count="5">
        <item x="3"/>
        <item x="1"/>
        <item x="0"/>
        <item x="2"/>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19">
        <item x="0"/>
        <item x="1"/>
        <item x="2"/>
        <item x="3"/>
        <item x="4"/>
        <item x="5"/>
        <item x="6"/>
        <item x="7"/>
        <item x="8"/>
        <item x="9"/>
        <item x="10"/>
        <item x="11"/>
        <item x="12"/>
        <item x="13"/>
        <item x="14"/>
        <item x="15"/>
        <item x="16"/>
        <item x="17"/>
        <item t="default"/>
      </items>
    </pivotField>
  </pivotFields>
  <rowFields count="1">
    <field x="5"/>
  </rowFields>
  <rowItems count="10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t="grand">
      <x/>
    </i>
  </rowItems>
  <colFields count="1">
    <field x="-2"/>
  </colFields>
  <colItems count="3">
    <i>
      <x/>
    </i>
    <i i="1">
      <x v="1"/>
    </i>
    <i i="2">
      <x v="2"/>
    </i>
  </colItems>
  <dataFields count="3">
    <dataField name=" Sale Amount" fld="9" baseField="5" baseItem="0"/>
    <dataField name="Count of Sale Amount" fld="9" subtotal="count" baseField="5" baseItem="0"/>
    <dataField name="Avg Sales Ratio" fld="10" subtotal="average"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24AE62-D8A1-4F13-84D3-1ACCAABF9640}" name="PivotTable26" cacheId="5"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8" rowHeaderCaption="Property type">
  <location ref="CO15:CP17" firstHeaderRow="1" firstDataRow="1" firstDataCol="1"/>
  <pivotFields count="13">
    <pivotField showAll="0"/>
    <pivotField numFmtId="22" showAll="0"/>
    <pivotField showAll="0"/>
    <pivotField showAll="0"/>
    <pivotField numFmtId="14" showAll="0"/>
    <pivotField showAll="0"/>
    <pivotField showAll="0"/>
    <pivotField showAll="0"/>
    <pivotField dataField="1" showAll="0"/>
    <pivotField showAll="0"/>
    <pivotField showAll="0"/>
    <pivotField axis="axisRow" showAll="0">
      <items count="3">
        <item x="0"/>
        <item x="1"/>
        <item t="default"/>
      </items>
    </pivotField>
    <pivotField showAll="0"/>
  </pivotFields>
  <rowFields count="1">
    <field x="11"/>
  </rowFields>
  <rowItems count="2">
    <i>
      <x/>
    </i>
    <i>
      <x v="1"/>
    </i>
  </rowItems>
  <colItems count="1">
    <i/>
  </colItems>
  <dataFields count="1">
    <dataField name="Average of Sale Amount" fld="8" subtotal="average" baseField="11" baseItem="0"/>
  </dataFields>
  <formats count="2">
    <format dxfId="4">
      <pivotArea collapsedLevelsAreSubtotals="1" fieldPosition="0">
        <references count="1">
          <reference field="11" count="1">
            <x v="0"/>
          </reference>
        </references>
      </pivotArea>
    </format>
    <format dxfId="3">
      <pivotArea collapsedLevelsAreSubtotals="1" fieldPosition="0">
        <references count="1">
          <reference field="11" count="1">
            <x v="1"/>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ECA417-8C40-444F-AE9B-D6034DC58973}" name="PivotTable21" cacheId="11"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40:A147" firstHeaderRow="1" firstDataRow="1" firstDataCol="1"/>
  <pivotFields count="14">
    <pivotField showAll="0"/>
    <pivotField numFmtId="22" showAll="0"/>
    <pivotField showAll="0"/>
    <pivotField showAll="0"/>
    <pivotField numFmtId="22" showAll="0"/>
    <pivotField axis="axisRow" showAll="0">
      <items count="107">
        <item x="60"/>
        <item x="47"/>
        <item x="9"/>
        <item x="23"/>
        <item x="19"/>
        <item x="59"/>
        <item x="56"/>
        <item x="75"/>
        <item x="22"/>
        <item x="91"/>
        <item x="67"/>
        <item x="89"/>
        <item x="26"/>
        <item x="69"/>
        <item x="53"/>
        <item x="48"/>
        <item x="50"/>
        <item x="51"/>
        <item x="41"/>
        <item x="1"/>
        <item x="4"/>
        <item x="78"/>
        <item x="15"/>
        <item x="96"/>
        <item x="68"/>
        <item x="105"/>
        <item x="87"/>
        <item x="8"/>
        <item x="49"/>
        <item x="35"/>
        <item x="36"/>
        <item x="31"/>
        <item x="85"/>
        <item x="34"/>
        <item x="2"/>
        <item x="65"/>
        <item x="11"/>
        <item x="40"/>
        <item x="71"/>
        <item x="33"/>
        <item x="55"/>
        <item x="95"/>
        <item x="25"/>
        <item x="81"/>
        <item x="99"/>
        <item x="86"/>
        <item x="73"/>
        <item x="18"/>
        <item x="57"/>
        <item x="64"/>
        <item x="92"/>
        <item x="61"/>
        <item x="27"/>
        <item x="70"/>
        <item x="43"/>
        <item x="5"/>
        <item x="79"/>
        <item x="42"/>
        <item x="16"/>
        <item x="3"/>
        <item x="76"/>
        <item x="13"/>
        <item x="97"/>
        <item x="45"/>
        <item x="44"/>
        <item x="12"/>
        <item x="29"/>
        <item x="30"/>
        <item x="54"/>
        <item x="104"/>
        <item x="17"/>
        <item x="84"/>
        <item x="90"/>
        <item x="7"/>
        <item x="98"/>
        <item x="0"/>
        <item x="28"/>
        <item x="38"/>
        <item x="32"/>
        <item x="52"/>
        <item x="100"/>
        <item x="37"/>
        <item x="102"/>
        <item x="10"/>
        <item x="74"/>
        <item x="46"/>
        <item x="24"/>
        <item x="72"/>
        <item x="58"/>
        <item x="103"/>
        <item x="82"/>
        <item x="14"/>
        <item x="66"/>
        <item x="77"/>
        <item x="62"/>
        <item x="6"/>
        <item x="94"/>
        <item x="21"/>
        <item x="83"/>
        <item x="39"/>
        <item x="88"/>
        <item x="20"/>
        <item x="63"/>
        <item x="101"/>
        <item x="80"/>
        <item x="93"/>
        <item t="default"/>
      </items>
    </pivotField>
    <pivotField showAll="0"/>
    <pivotField showAll="0"/>
    <pivotField showAll="0"/>
    <pivotField showAll="0"/>
    <pivotField showAll="0"/>
    <pivotField showAll="0"/>
    <pivotField showAll="0"/>
    <pivotField showAll="0"/>
  </pivotFields>
  <rowFields count="1">
    <field x="5"/>
  </rowFields>
  <rowItems count="10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D48DDFA-EF50-40B5-AFA1-38F67595CDC2}" name="PivotTable4" cacheId="8"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8" rowHeaderCaption="Month">
  <location ref="V4:W16" firstHeaderRow="1" firstDataRow="1" firstDataCol="1"/>
  <pivotFields count="17">
    <pivotField showAll="0"/>
    <pivotField numFmtId="22" showAll="0">
      <items count="256">
        <item x="195"/>
        <item x="68"/>
        <item x="242"/>
        <item x="165"/>
        <item x="186"/>
        <item x="138"/>
        <item x="125"/>
        <item x="128"/>
        <item x="167"/>
        <item x="158"/>
        <item x="41"/>
        <item x="143"/>
        <item x="210"/>
        <item x="58"/>
        <item x="110"/>
        <item x="173"/>
        <item x="148"/>
        <item x="182"/>
        <item x="47"/>
        <item x="109"/>
        <item x="216"/>
        <item x="181"/>
        <item x="146"/>
        <item x="215"/>
        <item x="118"/>
        <item x="155"/>
        <item x="178"/>
        <item x="133"/>
        <item x="189"/>
        <item x="232"/>
        <item x="119"/>
        <item x="192"/>
        <item x="196"/>
        <item x="164"/>
        <item m="1" x="247"/>
        <item x="114"/>
        <item x="203"/>
        <item x="132"/>
        <item x="228"/>
        <item x="234"/>
        <item m="1" x="250"/>
        <item x="83"/>
        <item x="219"/>
        <item x="136"/>
        <item x="194"/>
        <item m="1" x="248"/>
        <item m="1" x="251"/>
        <item x="122"/>
        <item x="96"/>
        <item x="179"/>
        <item m="1" x="249"/>
        <item x="166"/>
        <item x="213"/>
        <item m="1" x="246"/>
        <item x="240"/>
        <item x="177"/>
        <item x="214"/>
        <item x="239"/>
        <item m="1" x="252"/>
        <item x="187"/>
        <item x="221"/>
        <item m="1" x="253"/>
        <item x="201"/>
        <item x="168"/>
        <item x="55"/>
        <item x="208"/>
        <item x="49"/>
        <item x="199"/>
        <item x="204"/>
        <item x="193"/>
        <item x="200"/>
        <item x="57"/>
        <item x="209"/>
        <item x="116"/>
        <item x="211"/>
        <item x="0"/>
        <item x="163"/>
        <item x="222"/>
        <item x="229"/>
        <item x="171"/>
        <item x="108"/>
        <item x="101"/>
        <item x="43"/>
        <item x="12"/>
        <item x="145"/>
        <item x="230"/>
        <item x="207"/>
        <item x="217"/>
        <item x="151"/>
        <item x="223"/>
        <item x="185"/>
        <item x="160"/>
        <item x="237"/>
        <item x="206"/>
        <item x="174"/>
        <item x="99"/>
        <item x="61"/>
        <item x="141"/>
        <item x="81"/>
        <item x="69"/>
        <item x="175"/>
        <item x="197"/>
        <item x="123"/>
        <item x="236"/>
        <item x="129"/>
        <item x="153"/>
        <item x="3"/>
        <item x="220"/>
        <item x="241"/>
        <item x="218"/>
        <item x="183"/>
        <item x="243"/>
        <item x="238"/>
        <item x="235"/>
        <item m="1" x="254"/>
        <item x="188"/>
        <item x="42"/>
        <item x="67"/>
        <item x="15"/>
        <item x="184"/>
        <item x="103"/>
        <item x="79"/>
        <item x="31"/>
        <item x="120"/>
        <item x="142"/>
        <item x="93"/>
        <item x="76"/>
        <item x="140"/>
        <item x="59"/>
        <item x="32"/>
        <item x="82"/>
        <item x="23"/>
        <item x="152"/>
        <item x="169"/>
        <item x="95"/>
        <item x="14"/>
        <item x="46"/>
        <item x="94"/>
        <item x="131"/>
        <item x="225"/>
        <item x="106"/>
        <item x="36"/>
        <item x="107"/>
        <item x="84"/>
        <item x="105"/>
        <item x="244"/>
        <item x="80"/>
        <item x="127"/>
        <item x="30"/>
        <item x="205"/>
        <item x="172"/>
        <item x="150"/>
        <item x="37"/>
        <item x="8"/>
        <item x="73"/>
        <item x="233"/>
        <item x="25"/>
        <item x="157"/>
        <item x="17"/>
        <item x="154"/>
        <item x="5"/>
        <item x="137"/>
        <item x="97"/>
        <item x="170"/>
        <item x="51"/>
        <item x="117"/>
        <item x="16"/>
        <item x="63"/>
        <item x="156"/>
        <item x="176"/>
        <item x="104"/>
        <item x="85"/>
        <item x="71"/>
        <item x="65"/>
        <item x="26"/>
        <item x="45"/>
        <item x="21"/>
        <item x="70"/>
        <item x="198"/>
        <item x="111"/>
        <item x="113"/>
        <item x="20"/>
        <item x="112"/>
        <item x="24"/>
        <item x="1"/>
        <item x="53"/>
        <item x="92"/>
        <item x="74"/>
        <item x="202"/>
        <item x="162"/>
        <item x="10"/>
        <item x="212"/>
        <item x="135"/>
        <item x="18"/>
        <item x="48"/>
        <item x="139"/>
        <item x="40"/>
        <item x="149"/>
        <item x="126"/>
        <item x="161"/>
        <item x="231"/>
        <item x="64"/>
        <item x="191"/>
        <item x="28"/>
        <item x="87"/>
        <item x="190"/>
        <item x="130"/>
        <item x="34"/>
        <item x="159"/>
        <item x="100"/>
        <item x="35"/>
        <item x="115"/>
        <item x="2"/>
        <item x="227"/>
        <item x="88"/>
        <item x="38"/>
        <item x="11"/>
        <item x="144"/>
        <item x="180"/>
        <item x="4"/>
        <item x="102"/>
        <item x="60"/>
        <item m="1" x="245"/>
        <item x="9"/>
        <item x="7"/>
        <item x="22"/>
        <item x="52"/>
        <item x="13"/>
        <item x="56"/>
        <item x="89"/>
        <item x="33"/>
        <item x="62"/>
        <item x="91"/>
        <item x="75"/>
        <item x="226"/>
        <item x="90"/>
        <item x="86"/>
        <item x="224"/>
        <item x="27"/>
        <item x="6"/>
        <item x="147"/>
        <item x="78"/>
        <item x="134"/>
        <item x="29"/>
        <item x="124"/>
        <item x="54"/>
        <item x="98"/>
        <item x="121"/>
        <item x="77"/>
        <item x="19"/>
        <item x="72"/>
        <item x="66"/>
        <item x="50"/>
        <item x="39"/>
        <item x="44"/>
        <item t="default"/>
      </items>
    </pivotField>
    <pivotField axis="axisRow" showAll="0">
      <items count="13">
        <item x="7"/>
        <item x="5"/>
        <item x="9"/>
        <item x="1"/>
        <item x="3"/>
        <item x="2"/>
        <item x="4"/>
        <item x="6"/>
        <item x="10"/>
        <item x="8"/>
        <item x="11"/>
        <item x="0"/>
        <item t="default"/>
      </items>
    </pivotField>
    <pivotField showAll="0">
      <items count="16">
        <item x="14"/>
        <item x="8"/>
        <item x="5"/>
        <item x="10"/>
        <item x="9"/>
        <item x="11"/>
        <item x="13"/>
        <item x="7"/>
        <item x="6"/>
        <item x="0"/>
        <item x="3"/>
        <item x="2"/>
        <item x="12"/>
        <item x="4"/>
        <item x="1"/>
        <item t="default"/>
      </items>
    </pivotField>
    <pivotField multipleItemSelectionAllowed="1" showAll="0"/>
    <pivotField showAll="0">
      <items count="107">
        <item x="60"/>
        <item x="47"/>
        <item x="9"/>
        <item x="23"/>
        <item x="19"/>
        <item x="59"/>
        <item x="56"/>
        <item x="75"/>
        <item x="22"/>
        <item x="91"/>
        <item x="67"/>
        <item x="89"/>
        <item x="26"/>
        <item x="69"/>
        <item x="53"/>
        <item x="48"/>
        <item x="50"/>
        <item x="51"/>
        <item x="41"/>
        <item x="1"/>
        <item x="4"/>
        <item x="78"/>
        <item x="15"/>
        <item x="96"/>
        <item x="68"/>
        <item x="105"/>
        <item x="87"/>
        <item x="8"/>
        <item x="49"/>
        <item x="35"/>
        <item x="36"/>
        <item x="31"/>
        <item x="85"/>
        <item x="34"/>
        <item x="2"/>
        <item x="65"/>
        <item x="11"/>
        <item x="40"/>
        <item x="71"/>
        <item x="33"/>
        <item x="55"/>
        <item x="95"/>
        <item x="25"/>
        <item x="81"/>
        <item x="99"/>
        <item x="86"/>
        <item x="73"/>
        <item x="18"/>
        <item x="57"/>
        <item x="64"/>
        <item x="92"/>
        <item x="61"/>
        <item x="27"/>
        <item x="70"/>
        <item x="43"/>
        <item x="5"/>
        <item x="79"/>
        <item x="42"/>
        <item x="16"/>
        <item x="3"/>
        <item x="76"/>
        <item x="13"/>
        <item x="97"/>
        <item x="45"/>
        <item x="44"/>
        <item x="12"/>
        <item x="29"/>
        <item x="30"/>
        <item x="54"/>
        <item x="104"/>
        <item x="17"/>
        <item x="84"/>
        <item x="90"/>
        <item x="7"/>
        <item x="98"/>
        <item x="0"/>
        <item x="28"/>
        <item x="38"/>
        <item x="32"/>
        <item x="52"/>
        <item x="100"/>
        <item x="37"/>
        <item x="102"/>
        <item x="10"/>
        <item x="74"/>
        <item x="46"/>
        <item x="24"/>
        <item x="72"/>
        <item x="58"/>
        <item x="103"/>
        <item x="82"/>
        <item x="14"/>
        <item x="66"/>
        <item x="77"/>
        <item x="62"/>
        <item x="6"/>
        <item x="94"/>
        <item x="21"/>
        <item x="83"/>
        <item x="39"/>
        <item x="88"/>
        <item x="20"/>
        <item x="63"/>
        <item x="101"/>
        <item x="80"/>
        <item x="93"/>
        <item t="default"/>
      </items>
    </pivotField>
    <pivotField showAll="0"/>
    <pivotField showAll="0"/>
    <pivotField showAll="0"/>
    <pivotField dataField="1" showAll="0"/>
    <pivotField showAll="0"/>
    <pivotField showAll="0"/>
    <pivotField showAll="0">
      <items count="5">
        <item x="3"/>
        <item x="1"/>
        <item x="0"/>
        <item x="2"/>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19">
        <item x="0"/>
        <item x="1"/>
        <item x="2"/>
        <item x="3"/>
        <item x="4"/>
        <item x="5"/>
        <item x="6"/>
        <item x="7"/>
        <item x="8"/>
        <item x="9"/>
        <item x="10"/>
        <item x="11"/>
        <item x="12"/>
        <item x="13"/>
        <item x="14"/>
        <item x="15"/>
        <item x="16"/>
        <item x="17"/>
        <item t="default"/>
      </items>
    </pivotField>
  </pivotFields>
  <rowFields count="1">
    <field x="2"/>
  </rowFields>
  <rowItems count="12">
    <i>
      <x/>
    </i>
    <i>
      <x v="1"/>
    </i>
    <i>
      <x v="2"/>
    </i>
    <i>
      <x v="3"/>
    </i>
    <i>
      <x v="4"/>
    </i>
    <i>
      <x v="5"/>
    </i>
    <i>
      <x v="6"/>
    </i>
    <i>
      <x v="7"/>
    </i>
    <i>
      <x v="8"/>
    </i>
    <i>
      <x v="9"/>
    </i>
    <i>
      <x v="10"/>
    </i>
    <i>
      <x v="11"/>
    </i>
  </rowItems>
  <colItems count="1">
    <i/>
  </colItems>
  <dataFields count="1">
    <dataField name="Sum of Sale Amount" fld="9" baseField="0" baseItem="0" numFmtId="166"/>
  </dataFields>
  <formats count="1">
    <format dxfId="5">
      <pivotArea outline="0" collapsedLevelsAreSubtotals="1" fieldPosition="0"/>
    </format>
  </formats>
  <chartFormats count="6">
    <chartFormat chart="0" format="2"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CCD06F4-B331-44C2-BDCD-7A3F0962C73F}" name="PivotTable  18 " cacheId="8" applyNumberFormats="0" applyBorderFormats="0" applyFontFormats="0" applyPatternFormats="0" applyAlignmentFormats="0" applyWidthHeightFormats="1" dataCaption="Values" updatedVersion="8" minRefreshableVersion="3" useAutoFormatting="1" itemPrintTitles="1" createdVersion="8" indent="0" multipleFieldFilters="0" rowHeaderCaption="Town">
  <location ref="AY21:AZ128" firstHeaderRow="1" firstDataRow="1" firstDataCol="1"/>
  <pivotFields count="17">
    <pivotField showAll="0"/>
    <pivotField numFmtId="22" showAll="0">
      <items count="256">
        <item x="195"/>
        <item x="68"/>
        <item x="242"/>
        <item x="165"/>
        <item x="186"/>
        <item x="138"/>
        <item x="125"/>
        <item x="128"/>
        <item x="167"/>
        <item x="158"/>
        <item x="41"/>
        <item x="143"/>
        <item x="210"/>
        <item x="58"/>
        <item x="110"/>
        <item x="173"/>
        <item x="148"/>
        <item x="182"/>
        <item x="47"/>
        <item x="109"/>
        <item x="216"/>
        <item x="181"/>
        <item x="146"/>
        <item x="215"/>
        <item x="118"/>
        <item x="155"/>
        <item x="178"/>
        <item x="133"/>
        <item x="189"/>
        <item x="232"/>
        <item x="119"/>
        <item x="192"/>
        <item x="196"/>
        <item x="164"/>
        <item m="1" x="247"/>
        <item x="114"/>
        <item x="203"/>
        <item x="132"/>
        <item x="228"/>
        <item x="234"/>
        <item m="1" x="250"/>
        <item x="83"/>
        <item x="219"/>
        <item x="136"/>
        <item x="194"/>
        <item m="1" x="248"/>
        <item m="1" x="251"/>
        <item x="122"/>
        <item x="96"/>
        <item x="179"/>
        <item m="1" x="249"/>
        <item x="166"/>
        <item x="213"/>
        <item m="1" x="246"/>
        <item x="240"/>
        <item x="177"/>
        <item x="214"/>
        <item x="239"/>
        <item m="1" x="252"/>
        <item x="187"/>
        <item x="221"/>
        <item m="1" x="253"/>
        <item x="201"/>
        <item x="168"/>
        <item x="55"/>
        <item x="208"/>
        <item x="49"/>
        <item x="199"/>
        <item x="204"/>
        <item x="193"/>
        <item x="200"/>
        <item x="57"/>
        <item x="209"/>
        <item x="116"/>
        <item x="211"/>
        <item x="0"/>
        <item x="163"/>
        <item x="222"/>
        <item x="229"/>
        <item x="171"/>
        <item x="108"/>
        <item x="101"/>
        <item x="43"/>
        <item x="12"/>
        <item x="145"/>
        <item x="230"/>
        <item x="207"/>
        <item x="217"/>
        <item x="151"/>
        <item x="223"/>
        <item x="185"/>
        <item x="160"/>
        <item x="237"/>
        <item x="206"/>
        <item x="174"/>
        <item x="99"/>
        <item x="61"/>
        <item x="141"/>
        <item x="81"/>
        <item x="69"/>
        <item x="175"/>
        <item x="197"/>
        <item x="123"/>
        <item x="236"/>
        <item x="129"/>
        <item x="153"/>
        <item x="3"/>
        <item x="220"/>
        <item x="241"/>
        <item x="218"/>
        <item x="183"/>
        <item x="243"/>
        <item x="238"/>
        <item x="235"/>
        <item m="1" x="254"/>
        <item x="188"/>
        <item x="42"/>
        <item x="67"/>
        <item x="15"/>
        <item x="184"/>
        <item x="103"/>
        <item x="79"/>
        <item x="31"/>
        <item x="120"/>
        <item x="142"/>
        <item x="93"/>
        <item x="76"/>
        <item x="140"/>
        <item x="59"/>
        <item x="32"/>
        <item x="82"/>
        <item x="23"/>
        <item x="152"/>
        <item x="169"/>
        <item x="95"/>
        <item x="14"/>
        <item x="46"/>
        <item x="94"/>
        <item x="131"/>
        <item x="225"/>
        <item x="106"/>
        <item x="36"/>
        <item x="107"/>
        <item x="84"/>
        <item x="105"/>
        <item x="244"/>
        <item x="80"/>
        <item x="127"/>
        <item x="30"/>
        <item x="205"/>
        <item x="172"/>
        <item x="150"/>
        <item x="37"/>
        <item x="8"/>
        <item x="73"/>
        <item x="233"/>
        <item x="25"/>
        <item x="157"/>
        <item x="17"/>
        <item x="154"/>
        <item x="5"/>
        <item x="137"/>
        <item x="97"/>
        <item x="170"/>
        <item x="51"/>
        <item x="117"/>
        <item x="16"/>
        <item x="63"/>
        <item x="156"/>
        <item x="176"/>
        <item x="104"/>
        <item x="85"/>
        <item x="71"/>
        <item x="65"/>
        <item x="26"/>
        <item x="45"/>
        <item x="21"/>
        <item x="70"/>
        <item x="198"/>
        <item x="111"/>
        <item x="113"/>
        <item x="20"/>
        <item x="112"/>
        <item x="24"/>
        <item x="1"/>
        <item x="53"/>
        <item x="92"/>
        <item x="74"/>
        <item x="202"/>
        <item x="162"/>
        <item x="10"/>
        <item x="212"/>
        <item x="135"/>
        <item x="18"/>
        <item x="48"/>
        <item x="139"/>
        <item x="40"/>
        <item x="149"/>
        <item x="126"/>
        <item x="161"/>
        <item x="231"/>
        <item x="64"/>
        <item x="191"/>
        <item x="28"/>
        <item x="87"/>
        <item x="190"/>
        <item x="130"/>
        <item x="34"/>
        <item x="159"/>
        <item x="100"/>
        <item x="35"/>
        <item x="115"/>
        <item x="2"/>
        <item x="227"/>
        <item x="88"/>
        <item x="38"/>
        <item x="11"/>
        <item x="144"/>
        <item x="180"/>
        <item x="4"/>
        <item x="102"/>
        <item x="60"/>
        <item m="1" x="245"/>
        <item x="9"/>
        <item x="7"/>
        <item x="22"/>
        <item x="52"/>
        <item x="13"/>
        <item x="56"/>
        <item x="89"/>
        <item x="33"/>
        <item x="62"/>
        <item x="91"/>
        <item x="75"/>
        <item x="226"/>
        <item x="90"/>
        <item x="86"/>
        <item x="224"/>
        <item x="27"/>
        <item x="6"/>
        <item x="147"/>
        <item x="78"/>
        <item x="134"/>
        <item x="29"/>
        <item x="124"/>
        <item x="54"/>
        <item x="98"/>
        <item x="121"/>
        <item x="77"/>
        <item x="19"/>
        <item x="72"/>
        <item x="66"/>
        <item x="50"/>
        <item x="39"/>
        <item x="44"/>
        <item t="default"/>
      </items>
    </pivotField>
    <pivotField showAll="0">
      <items count="13">
        <item x="7"/>
        <item x="5"/>
        <item x="9"/>
        <item x="1"/>
        <item x="3"/>
        <item x="2"/>
        <item x="4"/>
        <item x="6"/>
        <item x="10"/>
        <item x="8"/>
        <item x="11"/>
        <item x="0"/>
        <item t="default"/>
      </items>
    </pivotField>
    <pivotField showAll="0">
      <items count="16">
        <item x="14"/>
        <item x="8"/>
        <item x="5"/>
        <item x="10"/>
        <item x="9"/>
        <item x="11"/>
        <item x="13"/>
        <item x="7"/>
        <item x="6"/>
        <item x="0"/>
        <item x="3"/>
        <item x="2"/>
        <item x="12"/>
        <item x="4"/>
        <item x="1"/>
        <item t="default"/>
      </items>
    </pivotField>
    <pivotField showAll="0"/>
    <pivotField axis="axisRow" showAll="0" sortType="descending">
      <items count="107">
        <item x="60"/>
        <item x="47"/>
        <item x="9"/>
        <item x="23"/>
        <item x="19"/>
        <item x="59"/>
        <item x="56"/>
        <item x="75"/>
        <item x="22"/>
        <item x="91"/>
        <item x="67"/>
        <item x="89"/>
        <item x="26"/>
        <item x="69"/>
        <item x="53"/>
        <item x="48"/>
        <item x="50"/>
        <item x="51"/>
        <item x="41"/>
        <item x="1"/>
        <item x="4"/>
        <item x="78"/>
        <item x="15"/>
        <item x="96"/>
        <item x="68"/>
        <item x="105"/>
        <item x="87"/>
        <item x="8"/>
        <item x="49"/>
        <item x="35"/>
        <item x="36"/>
        <item x="31"/>
        <item x="85"/>
        <item x="34"/>
        <item x="2"/>
        <item x="65"/>
        <item x="11"/>
        <item x="40"/>
        <item x="71"/>
        <item x="33"/>
        <item x="55"/>
        <item x="95"/>
        <item x="25"/>
        <item x="81"/>
        <item x="99"/>
        <item x="86"/>
        <item x="73"/>
        <item x="18"/>
        <item x="57"/>
        <item x="64"/>
        <item x="92"/>
        <item x="61"/>
        <item x="27"/>
        <item x="70"/>
        <item x="43"/>
        <item x="5"/>
        <item x="79"/>
        <item x="42"/>
        <item x="16"/>
        <item x="3"/>
        <item x="76"/>
        <item x="13"/>
        <item x="97"/>
        <item x="45"/>
        <item x="44"/>
        <item x="12"/>
        <item x="29"/>
        <item x="30"/>
        <item x="54"/>
        <item x="104"/>
        <item x="17"/>
        <item x="84"/>
        <item x="90"/>
        <item x="7"/>
        <item x="98"/>
        <item x="0"/>
        <item x="28"/>
        <item x="38"/>
        <item x="32"/>
        <item x="52"/>
        <item x="100"/>
        <item x="37"/>
        <item x="102"/>
        <item x="10"/>
        <item x="74"/>
        <item x="46"/>
        <item x="24"/>
        <item x="72"/>
        <item x="58"/>
        <item x="103"/>
        <item x="82"/>
        <item x="14"/>
        <item x="66"/>
        <item x="77"/>
        <item x="62"/>
        <item x="6"/>
        <item x="94"/>
        <item x="21"/>
        <item x="83"/>
        <item x="39"/>
        <item x="88"/>
        <item x="20"/>
        <item x="63"/>
        <item x="101"/>
        <item x="80"/>
        <item x="9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numFmtId="44" showAll="0"/>
    <pivotField showAll="0"/>
    <pivotField showAll="0"/>
    <pivotField showAll="0">
      <items count="5">
        <item x="3"/>
        <item x="1"/>
        <item x="0"/>
        <item x="2"/>
        <item t="default"/>
      </items>
    </pivotField>
    <pivotField showAll="0"/>
    <pivotField showAll="0"/>
    <pivotField showAll="0"/>
    <pivotField showAll="0">
      <items count="19">
        <item x="0"/>
        <item x="1"/>
        <item x="2"/>
        <item x="3"/>
        <item x="4"/>
        <item x="5"/>
        <item x="6"/>
        <item x="7"/>
        <item x="8"/>
        <item x="9"/>
        <item x="10"/>
        <item x="11"/>
        <item x="12"/>
        <item x="13"/>
        <item x="14"/>
        <item x="15"/>
        <item x="16"/>
        <item x="17"/>
        <item t="default"/>
      </items>
    </pivotField>
  </pivotFields>
  <rowFields count="1">
    <field x="5"/>
  </rowFields>
  <rowItems count="107">
    <i>
      <x v="19"/>
    </i>
    <i>
      <x v="34"/>
    </i>
    <i>
      <x v="95"/>
    </i>
    <i>
      <x v="59"/>
    </i>
    <i>
      <x v="75"/>
    </i>
    <i>
      <x v="73"/>
    </i>
    <i>
      <x v="55"/>
    </i>
    <i>
      <x v="2"/>
    </i>
    <i>
      <x v="22"/>
    </i>
    <i>
      <x v="4"/>
    </i>
    <i>
      <x v="61"/>
    </i>
    <i>
      <x v="27"/>
    </i>
    <i>
      <x v="97"/>
    </i>
    <i>
      <x v="3"/>
    </i>
    <i>
      <x v="42"/>
    </i>
    <i>
      <x v="36"/>
    </i>
    <i>
      <x v="12"/>
    </i>
    <i>
      <x v="20"/>
    </i>
    <i>
      <x v="76"/>
    </i>
    <i>
      <x v="66"/>
    </i>
    <i>
      <x v="101"/>
    </i>
    <i>
      <x v="67"/>
    </i>
    <i>
      <x v="83"/>
    </i>
    <i>
      <x v="91"/>
    </i>
    <i>
      <x v="29"/>
    </i>
    <i>
      <x v="57"/>
    </i>
    <i>
      <x v="63"/>
    </i>
    <i>
      <x v="52"/>
    </i>
    <i>
      <x v="85"/>
    </i>
    <i>
      <x v="1"/>
    </i>
    <i>
      <x v="78"/>
    </i>
    <i>
      <x v="15"/>
    </i>
    <i>
      <x v="47"/>
    </i>
    <i>
      <x v="30"/>
    </i>
    <i>
      <x v="77"/>
    </i>
    <i>
      <x v="16"/>
    </i>
    <i>
      <x v="17"/>
    </i>
    <i>
      <x v="86"/>
    </i>
    <i>
      <x v="18"/>
    </i>
    <i>
      <x v="65"/>
    </i>
    <i>
      <x v="40"/>
    </i>
    <i>
      <x v="6"/>
    </i>
    <i>
      <x v="70"/>
    </i>
    <i>
      <x v="48"/>
    </i>
    <i>
      <x v="8"/>
    </i>
    <i>
      <x v="33"/>
    </i>
    <i>
      <x v="5"/>
    </i>
    <i>
      <x v="51"/>
    </i>
    <i>
      <x v="37"/>
    </i>
    <i>
      <x v="88"/>
    </i>
    <i>
      <x v="35"/>
    </i>
    <i>
      <x v="24"/>
    </i>
    <i>
      <x v="64"/>
    </i>
    <i>
      <x v="54"/>
    </i>
    <i>
      <x v="68"/>
    </i>
    <i>
      <x v="99"/>
    </i>
    <i>
      <x v="31"/>
    </i>
    <i>
      <x v="46"/>
    </i>
    <i>
      <x v="14"/>
    </i>
    <i>
      <x v="28"/>
    </i>
    <i>
      <x v="84"/>
    </i>
    <i>
      <x v="94"/>
    </i>
    <i>
      <x/>
    </i>
    <i>
      <x v="39"/>
    </i>
    <i>
      <x v="13"/>
    </i>
    <i>
      <x v="93"/>
    </i>
    <i>
      <x v="58"/>
    </i>
    <i>
      <x v="21"/>
    </i>
    <i>
      <x v="56"/>
    </i>
    <i>
      <x v="104"/>
    </i>
    <i>
      <x v="79"/>
    </i>
    <i>
      <x v="43"/>
    </i>
    <i>
      <x v="102"/>
    </i>
    <i>
      <x v="98"/>
    </i>
    <i>
      <x v="38"/>
    </i>
    <i>
      <x v="71"/>
    </i>
    <i>
      <x v="92"/>
    </i>
    <i>
      <x v="87"/>
    </i>
    <i>
      <x v="53"/>
    </i>
    <i>
      <x v="81"/>
    </i>
    <i>
      <x v="32"/>
    </i>
    <i>
      <x v="49"/>
    </i>
    <i>
      <x v="45"/>
    </i>
    <i>
      <x v="60"/>
    </i>
    <i>
      <x v="7"/>
    </i>
    <i>
      <x v="10"/>
    </i>
    <i>
      <x v="90"/>
    </i>
    <i>
      <x v="11"/>
    </i>
    <i>
      <x v="72"/>
    </i>
    <i>
      <x v="50"/>
    </i>
    <i>
      <x v="41"/>
    </i>
    <i>
      <x v="23"/>
    </i>
    <i>
      <x v="100"/>
    </i>
    <i>
      <x v="105"/>
    </i>
    <i>
      <x v="26"/>
    </i>
    <i>
      <x v="62"/>
    </i>
    <i>
      <x v="74"/>
    </i>
    <i>
      <x v="44"/>
    </i>
    <i>
      <x v="80"/>
    </i>
    <i>
      <x v="96"/>
    </i>
    <i>
      <x v="103"/>
    </i>
    <i>
      <x v="9"/>
    </i>
    <i>
      <x v="82"/>
    </i>
    <i>
      <x v="89"/>
    </i>
    <i>
      <x v="69"/>
    </i>
    <i>
      <x v="25"/>
    </i>
    <i t="grand">
      <x/>
    </i>
  </rowItems>
  <colItems count="1">
    <i/>
  </colItems>
  <dataFields count="1">
    <dataField name="Average of Sale %" fld="9" subtotal="average" showDataAs="percentOfTotal" baseField="5"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BE56C50-823F-4114-A7B2-DA7FCC73000B}" name="PivotTable36" cacheId="8" applyNumberFormats="0" applyBorderFormats="0" applyFontFormats="0" applyPatternFormats="0" applyAlignmentFormats="0" applyWidthHeightFormats="1" dataCaption="Values" updatedVersion="8" minRefreshableVersion="3" useAutoFormatting="1" itemPrintTitles="1" createdVersion="8" indent="0" multipleFieldFilters="0">
  <location ref="CA19:CB24" firstHeaderRow="1" firstDataRow="1" firstDataCol="1"/>
  <pivotFields count="17">
    <pivotField showAll="0"/>
    <pivotField numFmtId="22" showAll="0">
      <items count="256">
        <item x="195"/>
        <item x="68"/>
        <item x="242"/>
        <item x="165"/>
        <item x="186"/>
        <item x="138"/>
        <item x="125"/>
        <item x="128"/>
        <item x="167"/>
        <item x="158"/>
        <item x="41"/>
        <item x="143"/>
        <item x="210"/>
        <item x="58"/>
        <item x="110"/>
        <item x="173"/>
        <item x="148"/>
        <item x="182"/>
        <item x="47"/>
        <item x="109"/>
        <item x="216"/>
        <item x="181"/>
        <item x="146"/>
        <item x="215"/>
        <item x="118"/>
        <item x="155"/>
        <item x="178"/>
        <item x="133"/>
        <item x="189"/>
        <item x="232"/>
        <item x="119"/>
        <item x="192"/>
        <item x="196"/>
        <item x="164"/>
        <item m="1" x="247"/>
        <item x="114"/>
        <item x="203"/>
        <item x="132"/>
        <item x="228"/>
        <item x="234"/>
        <item m="1" x="250"/>
        <item x="83"/>
        <item x="219"/>
        <item x="136"/>
        <item x="194"/>
        <item m="1" x="248"/>
        <item m="1" x="251"/>
        <item x="122"/>
        <item x="96"/>
        <item x="179"/>
        <item m="1" x="249"/>
        <item x="166"/>
        <item x="213"/>
        <item m="1" x="246"/>
        <item x="240"/>
        <item x="177"/>
        <item x="214"/>
        <item x="239"/>
        <item m="1" x="252"/>
        <item x="187"/>
        <item x="221"/>
        <item m="1" x="253"/>
        <item x="201"/>
        <item x="168"/>
        <item x="55"/>
        <item x="208"/>
        <item x="49"/>
        <item x="199"/>
        <item x="204"/>
        <item x="193"/>
        <item x="200"/>
        <item x="57"/>
        <item x="209"/>
        <item x="116"/>
        <item x="211"/>
        <item x="0"/>
        <item x="163"/>
        <item x="222"/>
        <item x="229"/>
        <item x="171"/>
        <item x="108"/>
        <item x="101"/>
        <item x="43"/>
        <item x="12"/>
        <item x="145"/>
        <item x="230"/>
        <item x="207"/>
        <item x="217"/>
        <item x="151"/>
        <item x="223"/>
        <item x="185"/>
        <item x="160"/>
        <item x="237"/>
        <item x="206"/>
        <item x="174"/>
        <item x="99"/>
        <item x="61"/>
        <item x="141"/>
        <item x="81"/>
        <item x="69"/>
        <item x="175"/>
        <item x="197"/>
        <item x="123"/>
        <item x="236"/>
        <item x="129"/>
        <item x="153"/>
        <item x="3"/>
        <item x="220"/>
        <item x="241"/>
        <item x="218"/>
        <item x="183"/>
        <item x="243"/>
        <item x="238"/>
        <item x="235"/>
        <item m="1" x="254"/>
        <item x="188"/>
        <item x="42"/>
        <item x="67"/>
        <item x="15"/>
        <item x="184"/>
        <item x="103"/>
        <item x="79"/>
        <item x="31"/>
        <item x="120"/>
        <item x="142"/>
        <item x="93"/>
        <item x="76"/>
        <item x="140"/>
        <item x="59"/>
        <item x="32"/>
        <item x="82"/>
        <item x="23"/>
        <item x="152"/>
        <item x="169"/>
        <item x="95"/>
        <item x="14"/>
        <item x="46"/>
        <item x="94"/>
        <item x="131"/>
        <item x="225"/>
        <item x="106"/>
        <item x="36"/>
        <item x="107"/>
        <item x="84"/>
        <item x="105"/>
        <item x="244"/>
        <item x="80"/>
        <item x="127"/>
        <item x="30"/>
        <item x="205"/>
        <item x="172"/>
        <item x="150"/>
        <item x="37"/>
        <item x="8"/>
        <item x="73"/>
        <item x="233"/>
        <item x="25"/>
        <item x="157"/>
        <item x="17"/>
        <item x="154"/>
        <item x="5"/>
        <item x="137"/>
        <item x="97"/>
        <item x="170"/>
        <item x="51"/>
        <item x="117"/>
        <item x="16"/>
        <item x="63"/>
        <item x="156"/>
        <item x="176"/>
        <item x="104"/>
        <item x="85"/>
        <item x="71"/>
        <item x="65"/>
        <item x="26"/>
        <item x="45"/>
        <item x="21"/>
        <item x="70"/>
        <item x="198"/>
        <item x="111"/>
        <item x="113"/>
        <item x="20"/>
        <item x="112"/>
        <item x="24"/>
        <item x="1"/>
        <item x="53"/>
        <item x="92"/>
        <item x="74"/>
        <item x="202"/>
        <item x="162"/>
        <item x="10"/>
        <item x="212"/>
        <item x="135"/>
        <item x="18"/>
        <item x="48"/>
        <item x="139"/>
        <item x="40"/>
        <item x="149"/>
        <item x="126"/>
        <item x="161"/>
        <item x="231"/>
        <item x="64"/>
        <item x="191"/>
        <item x="28"/>
        <item x="87"/>
        <item x="190"/>
        <item x="130"/>
        <item x="34"/>
        <item x="159"/>
        <item x="100"/>
        <item x="35"/>
        <item x="115"/>
        <item x="2"/>
        <item x="227"/>
        <item x="88"/>
        <item x="38"/>
        <item x="11"/>
        <item x="144"/>
        <item x="180"/>
        <item x="4"/>
        <item x="102"/>
        <item x="60"/>
        <item m="1" x="245"/>
        <item x="9"/>
        <item x="7"/>
        <item x="22"/>
        <item x="52"/>
        <item x="13"/>
        <item x="56"/>
        <item x="89"/>
        <item x="33"/>
        <item x="62"/>
        <item x="91"/>
        <item x="75"/>
        <item x="226"/>
        <item x="90"/>
        <item x="86"/>
        <item x="224"/>
        <item x="27"/>
        <item x="6"/>
        <item x="147"/>
        <item x="78"/>
        <item x="134"/>
        <item x="29"/>
        <item x="124"/>
        <item x="54"/>
        <item x="98"/>
        <item x="121"/>
        <item x="77"/>
        <item x="19"/>
        <item x="72"/>
        <item x="66"/>
        <item x="50"/>
        <item x="39"/>
        <item x="44"/>
        <item t="default"/>
      </items>
    </pivotField>
    <pivotField showAll="0"/>
    <pivotField showAll="0"/>
    <pivotField showAll="0"/>
    <pivotField showAll="0"/>
    <pivotField showAll="0"/>
    <pivotField showAll="0"/>
    <pivotField showAll="0"/>
    <pivotField dataField="1" numFmtId="44" showAll="0"/>
    <pivotField showAll="0"/>
    <pivotField showAll="0"/>
    <pivotField axis="axisRow" showAll="0" sortType="descending">
      <items count="5">
        <item x="3"/>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19">
        <item x="0"/>
        <item x="1"/>
        <item x="2"/>
        <item x="3"/>
        <item x="4"/>
        <item x="5"/>
        <item x="6"/>
        <item x="7"/>
        <item x="8"/>
        <item x="9"/>
        <item x="10"/>
        <item x="11"/>
        <item x="12"/>
        <item x="13"/>
        <item x="14"/>
        <item x="15"/>
        <item x="16"/>
        <item x="17"/>
        <item t="default"/>
      </items>
    </pivotField>
  </pivotFields>
  <rowFields count="1">
    <field x="12"/>
  </rowFields>
  <rowItems count="5">
    <i>
      <x v="3"/>
    </i>
    <i>
      <x v="2"/>
    </i>
    <i>
      <x v="1"/>
    </i>
    <i>
      <x/>
    </i>
    <i t="grand">
      <x/>
    </i>
  </rowItems>
  <colItems count="1">
    <i/>
  </colItems>
  <dataFields count="1">
    <dataField name="Count of Sale Amount"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879421C-6D22-4AE5-8996-1736F157E343}" name="PivotTable10" cacheId="8"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25" rowHeaderCaption="Property Types">
  <location ref="BZ7:CA11" firstHeaderRow="1" firstDataRow="1" firstDataCol="1"/>
  <pivotFields count="17">
    <pivotField showAll="0"/>
    <pivotField numFmtId="22" showAll="0">
      <items count="256">
        <item x="195"/>
        <item x="68"/>
        <item x="242"/>
        <item x="165"/>
        <item x="186"/>
        <item x="138"/>
        <item x="125"/>
        <item x="128"/>
        <item x="167"/>
        <item x="158"/>
        <item x="41"/>
        <item x="143"/>
        <item x="210"/>
        <item x="58"/>
        <item x="110"/>
        <item x="173"/>
        <item x="148"/>
        <item x="182"/>
        <item x="47"/>
        <item x="109"/>
        <item x="216"/>
        <item x="181"/>
        <item x="146"/>
        <item x="215"/>
        <item x="118"/>
        <item x="155"/>
        <item x="178"/>
        <item x="133"/>
        <item x="189"/>
        <item x="232"/>
        <item x="119"/>
        <item x="192"/>
        <item x="196"/>
        <item x="164"/>
        <item m="1" x="247"/>
        <item x="114"/>
        <item x="203"/>
        <item x="132"/>
        <item x="228"/>
        <item x="234"/>
        <item m="1" x="250"/>
        <item x="83"/>
        <item x="219"/>
        <item x="136"/>
        <item x="194"/>
        <item m="1" x="248"/>
        <item m="1" x="251"/>
        <item x="122"/>
        <item x="96"/>
        <item x="179"/>
        <item m="1" x="249"/>
        <item x="166"/>
        <item x="213"/>
        <item m="1" x="246"/>
        <item x="240"/>
        <item x="177"/>
        <item x="214"/>
        <item x="239"/>
        <item m="1" x="252"/>
        <item x="187"/>
        <item x="221"/>
        <item m="1" x="253"/>
        <item x="201"/>
        <item x="168"/>
        <item x="55"/>
        <item x="208"/>
        <item x="49"/>
        <item x="199"/>
        <item x="204"/>
        <item x="193"/>
        <item x="200"/>
        <item x="57"/>
        <item x="209"/>
        <item x="116"/>
        <item x="211"/>
        <item x="0"/>
        <item x="163"/>
        <item x="222"/>
        <item x="229"/>
        <item x="171"/>
        <item x="108"/>
        <item x="101"/>
        <item x="43"/>
        <item x="12"/>
        <item x="145"/>
        <item x="230"/>
        <item x="207"/>
        <item x="217"/>
        <item x="151"/>
        <item x="223"/>
        <item x="185"/>
        <item x="160"/>
        <item x="237"/>
        <item x="206"/>
        <item x="174"/>
        <item x="99"/>
        <item x="61"/>
        <item x="141"/>
        <item x="81"/>
        <item x="69"/>
        <item x="175"/>
        <item x="197"/>
        <item x="123"/>
        <item x="236"/>
        <item x="129"/>
        <item x="153"/>
        <item x="3"/>
        <item x="220"/>
        <item x="241"/>
        <item x="218"/>
        <item x="183"/>
        <item x="243"/>
        <item x="238"/>
        <item x="235"/>
        <item m="1" x="254"/>
        <item x="188"/>
        <item x="42"/>
        <item x="67"/>
        <item x="15"/>
        <item x="184"/>
        <item x="103"/>
        <item x="79"/>
        <item x="31"/>
        <item x="120"/>
        <item x="142"/>
        <item x="93"/>
        <item x="76"/>
        <item x="140"/>
        <item x="59"/>
        <item x="32"/>
        <item x="82"/>
        <item x="23"/>
        <item x="152"/>
        <item x="169"/>
        <item x="95"/>
        <item x="14"/>
        <item x="46"/>
        <item x="94"/>
        <item x="131"/>
        <item x="225"/>
        <item x="106"/>
        <item x="36"/>
        <item x="107"/>
        <item x="84"/>
        <item x="105"/>
        <item x="244"/>
        <item x="80"/>
        <item x="127"/>
        <item x="30"/>
        <item x="205"/>
        <item x="172"/>
        <item x="150"/>
        <item x="37"/>
        <item x="8"/>
        <item x="73"/>
        <item x="233"/>
        <item x="25"/>
        <item x="157"/>
        <item x="17"/>
        <item x="154"/>
        <item x="5"/>
        <item x="137"/>
        <item x="97"/>
        <item x="170"/>
        <item x="51"/>
        <item x="117"/>
        <item x="16"/>
        <item x="63"/>
        <item x="156"/>
        <item x="176"/>
        <item x="104"/>
        <item x="85"/>
        <item x="71"/>
        <item x="65"/>
        <item x="26"/>
        <item x="45"/>
        <item x="21"/>
        <item x="70"/>
        <item x="198"/>
        <item x="111"/>
        <item x="113"/>
        <item x="20"/>
        <item x="112"/>
        <item x="24"/>
        <item x="1"/>
        <item x="53"/>
        <item x="92"/>
        <item x="74"/>
        <item x="202"/>
        <item x="162"/>
        <item x="10"/>
        <item x="212"/>
        <item x="135"/>
        <item x="18"/>
        <item x="48"/>
        <item x="139"/>
        <item x="40"/>
        <item x="149"/>
        <item x="126"/>
        <item x="161"/>
        <item x="231"/>
        <item x="64"/>
        <item x="191"/>
        <item x="28"/>
        <item x="87"/>
        <item x="190"/>
        <item x="130"/>
        <item x="34"/>
        <item x="159"/>
        <item x="100"/>
        <item x="35"/>
        <item x="115"/>
        <item x="2"/>
        <item x="227"/>
        <item x="88"/>
        <item x="38"/>
        <item x="11"/>
        <item x="144"/>
        <item x="180"/>
        <item x="4"/>
        <item x="102"/>
        <item x="60"/>
        <item m="1" x="245"/>
        <item x="9"/>
        <item x="7"/>
        <item x="22"/>
        <item x="52"/>
        <item x="13"/>
        <item x="56"/>
        <item x="89"/>
        <item x="33"/>
        <item x="62"/>
        <item x="91"/>
        <item x="75"/>
        <item x="226"/>
        <item x="90"/>
        <item x="86"/>
        <item x="224"/>
        <item x="27"/>
        <item x="6"/>
        <item x="147"/>
        <item x="78"/>
        <item x="134"/>
        <item x="29"/>
        <item x="124"/>
        <item x="54"/>
        <item x="98"/>
        <item x="121"/>
        <item x="77"/>
        <item x="19"/>
        <item x="72"/>
        <item x="66"/>
        <item x="50"/>
        <item x="39"/>
        <item x="44"/>
        <item t="default"/>
      </items>
    </pivotField>
    <pivotField showAll="0">
      <items count="13">
        <item x="7"/>
        <item x="5"/>
        <item x="9"/>
        <item x="1"/>
        <item x="3"/>
        <item x="2"/>
        <item x="4"/>
        <item x="6"/>
        <item x="10"/>
        <item x="8"/>
        <item x="11"/>
        <item x="0"/>
        <item t="default"/>
      </items>
    </pivotField>
    <pivotField showAll="0">
      <items count="16">
        <item x="14"/>
        <item x="8"/>
        <item x="5"/>
        <item x="10"/>
        <item x="9"/>
        <item x="11"/>
        <item x="13"/>
        <item x="7"/>
        <item x="6"/>
        <item x="0"/>
        <item x="3"/>
        <item x="2"/>
        <item x="12"/>
        <item x="4"/>
        <item x="1"/>
        <item t="default"/>
      </items>
    </pivotField>
    <pivotField showAll="0"/>
    <pivotField showAll="0">
      <items count="107">
        <item x="60"/>
        <item x="47"/>
        <item x="9"/>
        <item x="23"/>
        <item x="19"/>
        <item x="59"/>
        <item x="56"/>
        <item x="75"/>
        <item x="22"/>
        <item x="91"/>
        <item x="67"/>
        <item x="89"/>
        <item x="26"/>
        <item x="69"/>
        <item x="53"/>
        <item x="48"/>
        <item x="50"/>
        <item x="51"/>
        <item x="41"/>
        <item x="1"/>
        <item x="4"/>
        <item x="78"/>
        <item x="15"/>
        <item x="96"/>
        <item x="68"/>
        <item x="105"/>
        <item x="87"/>
        <item x="8"/>
        <item x="49"/>
        <item x="35"/>
        <item x="36"/>
        <item x="31"/>
        <item x="85"/>
        <item x="34"/>
        <item x="2"/>
        <item x="65"/>
        <item x="11"/>
        <item x="40"/>
        <item x="71"/>
        <item x="33"/>
        <item x="55"/>
        <item x="95"/>
        <item x="25"/>
        <item x="81"/>
        <item x="99"/>
        <item x="86"/>
        <item x="73"/>
        <item x="18"/>
        <item x="57"/>
        <item x="64"/>
        <item x="92"/>
        <item x="61"/>
        <item x="27"/>
        <item x="70"/>
        <item x="43"/>
        <item x="5"/>
        <item x="79"/>
        <item x="42"/>
        <item x="16"/>
        <item x="3"/>
        <item x="76"/>
        <item x="13"/>
        <item x="97"/>
        <item x="45"/>
        <item x="44"/>
        <item x="12"/>
        <item x="29"/>
        <item x="30"/>
        <item x="54"/>
        <item x="104"/>
        <item x="17"/>
        <item x="84"/>
        <item x="90"/>
        <item x="7"/>
        <item x="98"/>
        <item x="0"/>
        <item x="28"/>
        <item x="38"/>
        <item x="32"/>
        <item x="52"/>
        <item x="100"/>
        <item x="37"/>
        <item x="102"/>
        <item x="10"/>
        <item x="74"/>
        <item x="46"/>
        <item x="24"/>
        <item x="72"/>
        <item x="58"/>
        <item x="103"/>
        <item x="82"/>
        <item x="14"/>
        <item x="66"/>
        <item x="77"/>
        <item x="62"/>
        <item x="6"/>
        <item x="94"/>
        <item x="21"/>
        <item x="83"/>
        <item x="39"/>
        <item x="88"/>
        <item x="20"/>
        <item x="63"/>
        <item x="101"/>
        <item x="80"/>
        <item x="93"/>
        <item t="default"/>
      </items>
    </pivotField>
    <pivotField showAll="0"/>
    <pivotField showAll="0"/>
    <pivotField showAll="0"/>
    <pivotField dataField="1" showAll="0"/>
    <pivotField showAll="0"/>
    <pivotField showAll="0"/>
    <pivotField axis="axisRow" showAll="0">
      <items count="5">
        <item x="3"/>
        <item x="1"/>
        <item x="0"/>
        <item x="2"/>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19">
        <item x="0"/>
        <item x="1"/>
        <item x="2"/>
        <item x="3"/>
        <item x="4"/>
        <item x="5"/>
        <item x="6"/>
        <item x="7"/>
        <item x="8"/>
        <item x="9"/>
        <item x="10"/>
        <item x="11"/>
        <item x="12"/>
        <item x="13"/>
        <item x="14"/>
        <item x="15"/>
        <item x="16"/>
        <item x="17"/>
        <item t="default"/>
      </items>
    </pivotField>
  </pivotFields>
  <rowFields count="1">
    <field x="12"/>
  </rowFields>
  <rowItems count="4">
    <i>
      <x/>
    </i>
    <i>
      <x v="1"/>
    </i>
    <i>
      <x v="2"/>
    </i>
    <i>
      <x v="3"/>
    </i>
  </rowItems>
  <colItems count="1">
    <i/>
  </colItems>
  <dataFields count="1">
    <dataField name="Average of Sale Amount" fld="9" subtotal="average" baseField="11" baseItem="0"/>
  </dataFields>
  <formats count="2">
    <format dxfId="7">
      <pivotArea collapsedLevelsAreSubtotals="1" fieldPosition="0">
        <references count="1">
          <reference field="12" count="0"/>
        </references>
      </pivotArea>
    </format>
    <format dxfId="6">
      <pivotArea collapsedLevelsAreSubtotals="1" fieldPosition="0">
        <references count="1">
          <reference field="12" count="1">
            <x v="0"/>
          </reference>
        </references>
      </pivotArea>
    </format>
  </format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 chart="0" format="4">
      <pivotArea type="data" outline="0" fieldPosition="0">
        <references count="2">
          <reference field="4294967294" count="1" selected="0">
            <x v="0"/>
          </reference>
          <reference field="12" count="1" selected="0">
            <x v="3"/>
          </reference>
        </references>
      </pivotArea>
    </chartFormat>
    <chartFormat chart="0" format="5">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D6AC666-1360-42A6-934A-9D1C45718885}" name="PivotTable1" cacheId="8"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4">
  <location ref="AP7:AQ17" firstHeaderRow="1" firstDataRow="1" firstDataCol="1"/>
  <pivotFields count="17">
    <pivotField showAll="0"/>
    <pivotField numFmtId="22" showAll="0">
      <items count="256">
        <item x="195"/>
        <item x="68"/>
        <item x="242"/>
        <item x="165"/>
        <item x="186"/>
        <item x="138"/>
        <item x="125"/>
        <item x="128"/>
        <item x="167"/>
        <item x="158"/>
        <item x="41"/>
        <item x="143"/>
        <item x="210"/>
        <item x="58"/>
        <item x="110"/>
        <item x="173"/>
        <item x="148"/>
        <item x="182"/>
        <item x="47"/>
        <item x="109"/>
        <item x="216"/>
        <item x="181"/>
        <item x="146"/>
        <item x="215"/>
        <item x="118"/>
        <item x="155"/>
        <item x="178"/>
        <item x="133"/>
        <item x="189"/>
        <item x="232"/>
        <item x="119"/>
        <item x="192"/>
        <item x="196"/>
        <item x="164"/>
        <item m="1" x="247"/>
        <item x="114"/>
        <item x="203"/>
        <item x="132"/>
        <item x="228"/>
        <item x="234"/>
        <item m="1" x="250"/>
        <item x="83"/>
        <item x="219"/>
        <item x="136"/>
        <item x="194"/>
        <item m="1" x="248"/>
        <item m="1" x="251"/>
        <item x="122"/>
        <item x="96"/>
        <item x="179"/>
        <item m="1" x="249"/>
        <item x="166"/>
        <item x="213"/>
        <item m="1" x="246"/>
        <item x="240"/>
        <item x="177"/>
        <item x="214"/>
        <item x="239"/>
        <item m="1" x="252"/>
        <item x="187"/>
        <item x="221"/>
        <item m="1" x="253"/>
        <item x="201"/>
        <item x="168"/>
        <item x="55"/>
        <item x="208"/>
        <item x="49"/>
        <item x="199"/>
        <item x="204"/>
        <item x="193"/>
        <item x="200"/>
        <item x="57"/>
        <item x="209"/>
        <item x="116"/>
        <item x="211"/>
        <item x="0"/>
        <item x="163"/>
        <item x="222"/>
        <item x="229"/>
        <item x="171"/>
        <item x="108"/>
        <item x="101"/>
        <item x="43"/>
        <item x="12"/>
        <item x="145"/>
        <item x="230"/>
        <item x="207"/>
        <item x="217"/>
        <item x="151"/>
        <item x="223"/>
        <item x="185"/>
        <item x="160"/>
        <item x="237"/>
        <item x="206"/>
        <item x="174"/>
        <item x="99"/>
        <item x="61"/>
        <item x="141"/>
        <item x="81"/>
        <item x="69"/>
        <item x="175"/>
        <item x="197"/>
        <item x="123"/>
        <item x="236"/>
        <item x="129"/>
        <item x="153"/>
        <item x="3"/>
        <item x="220"/>
        <item x="241"/>
        <item x="218"/>
        <item x="183"/>
        <item x="243"/>
        <item x="238"/>
        <item x="235"/>
        <item m="1" x="254"/>
        <item x="188"/>
        <item x="42"/>
        <item x="67"/>
        <item x="15"/>
        <item x="184"/>
        <item x="103"/>
        <item x="79"/>
        <item x="31"/>
        <item x="120"/>
        <item x="142"/>
        <item x="93"/>
        <item x="76"/>
        <item x="140"/>
        <item x="59"/>
        <item x="32"/>
        <item x="82"/>
        <item x="23"/>
        <item x="152"/>
        <item x="169"/>
        <item x="95"/>
        <item x="14"/>
        <item x="46"/>
        <item x="94"/>
        <item x="131"/>
        <item x="225"/>
        <item x="106"/>
        <item x="36"/>
        <item x="107"/>
        <item x="84"/>
        <item x="105"/>
        <item x="244"/>
        <item x="80"/>
        <item x="127"/>
        <item x="30"/>
        <item x="205"/>
        <item x="172"/>
        <item x="150"/>
        <item x="37"/>
        <item x="8"/>
        <item x="73"/>
        <item x="233"/>
        <item x="25"/>
        <item x="157"/>
        <item x="17"/>
        <item x="154"/>
        <item x="5"/>
        <item x="137"/>
        <item x="97"/>
        <item x="170"/>
        <item x="51"/>
        <item x="117"/>
        <item x="16"/>
        <item x="63"/>
        <item x="156"/>
        <item x="176"/>
        <item x="104"/>
        <item x="85"/>
        <item x="71"/>
        <item x="65"/>
        <item x="26"/>
        <item x="45"/>
        <item x="21"/>
        <item x="70"/>
        <item x="198"/>
        <item x="111"/>
        <item x="113"/>
        <item x="20"/>
        <item x="112"/>
        <item x="24"/>
        <item x="1"/>
        <item x="53"/>
        <item x="92"/>
        <item x="74"/>
        <item x="202"/>
        <item x="162"/>
        <item x="10"/>
        <item x="212"/>
        <item x="135"/>
        <item x="18"/>
        <item x="48"/>
        <item x="139"/>
        <item x="40"/>
        <item x="149"/>
        <item x="126"/>
        <item x="161"/>
        <item x="231"/>
        <item x="64"/>
        <item x="191"/>
        <item x="28"/>
        <item x="87"/>
        <item x="190"/>
        <item x="130"/>
        <item x="34"/>
        <item x="159"/>
        <item x="100"/>
        <item x="35"/>
        <item x="115"/>
        <item x="2"/>
        <item x="227"/>
        <item x="88"/>
        <item x="38"/>
        <item x="11"/>
        <item x="144"/>
        <item x="180"/>
        <item x="4"/>
        <item x="102"/>
        <item x="60"/>
        <item m="1" x="245"/>
        <item x="9"/>
        <item x="7"/>
        <item x="22"/>
        <item x="52"/>
        <item x="13"/>
        <item x="56"/>
        <item x="89"/>
        <item x="33"/>
        <item x="62"/>
        <item x="91"/>
        <item x="75"/>
        <item x="226"/>
        <item x="90"/>
        <item x="86"/>
        <item x="224"/>
        <item x="27"/>
        <item x="6"/>
        <item x="147"/>
        <item x="78"/>
        <item x="134"/>
        <item x="29"/>
        <item x="124"/>
        <item x="54"/>
        <item x="98"/>
        <item x="121"/>
        <item x="77"/>
        <item x="19"/>
        <item x="72"/>
        <item x="66"/>
        <item x="50"/>
        <item x="39"/>
        <item x="44"/>
        <item t="default"/>
      </items>
    </pivotField>
    <pivotField showAll="0">
      <items count="13">
        <item x="7"/>
        <item x="5"/>
        <item x="9"/>
        <item x="1"/>
        <item x="3"/>
        <item x="2"/>
        <item x="4"/>
        <item x="6"/>
        <item x="10"/>
        <item x="8"/>
        <item x="11"/>
        <item x="0"/>
        <item t="default"/>
      </items>
    </pivotField>
    <pivotField showAll="0">
      <items count="16">
        <item x="14"/>
        <item x="8"/>
        <item x="5"/>
        <item x="10"/>
        <item x="9"/>
        <item x="11"/>
        <item x="13"/>
        <item x="7"/>
        <item x="6"/>
        <item x="0"/>
        <item x="3"/>
        <item x="2"/>
        <item x="12"/>
        <item x="4"/>
        <item x="1"/>
        <item t="default"/>
      </items>
    </pivotField>
    <pivotField showAll="0"/>
    <pivotField axis="axisRow" showAll="0" sortType="descending">
      <items count="107">
        <item x="60"/>
        <item x="47"/>
        <item x="9"/>
        <item x="23"/>
        <item x="19"/>
        <item x="59"/>
        <item x="56"/>
        <item x="75"/>
        <item x="22"/>
        <item x="91"/>
        <item x="67"/>
        <item x="89"/>
        <item x="26"/>
        <item x="69"/>
        <item x="53"/>
        <item x="48"/>
        <item x="50"/>
        <item x="51"/>
        <item x="41"/>
        <item x="1"/>
        <item x="4"/>
        <item x="78"/>
        <item x="15"/>
        <item x="96"/>
        <item x="68"/>
        <item x="105"/>
        <item x="87"/>
        <item x="8"/>
        <item x="49"/>
        <item x="35"/>
        <item x="36"/>
        <item x="31"/>
        <item x="85"/>
        <item x="34"/>
        <item x="2"/>
        <item x="65"/>
        <item x="11"/>
        <item x="40"/>
        <item x="71"/>
        <item x="33"/>
        <item x="55"/>
        <item x="95"/>
        <item x="25"/>
        <item x="81"/>
        <item x="99"/>
        <item x="86"/>
        <item x="73"/>
        <item x="18"/>
        <item x="57"/>
        <item x="64"/>
        <item x="92"/>
        <item x="61"/>
        <item x="27"/>
        <item x="70"/>
        <item x="43"/>
        <item x="5"/>
        <item x="79"/>
        <item x="42"/>
        <item x="16"/>
        <item x="3"/>
        <item x="76"/>
        <item x="13"/>
        <item x="97"/>
        <item x="45"/>
        <item x="44"/>
        <item x="12"/>
        <item x="29"/>
        <item x="30"/>
        <item x="54"/>
        <item x="104"/>
        <item x="17"/>
        <item x="84"/>
        <item x="90"/>
        <item x="7"/>
        <item x="98"/>
        <item x="0"/>
        <item x="28"/>
        <item x="38"/>
        <item x="32"/>
        <item x="52"/>
        <item x="100"/>
        <item x="37"/>
        <item x="102"/>
        <item x="10"/>
        <item x="74"/>
        <item x="46"/>
        <item x="24"/>
        <item x="72"/>
        <item x="58"/>
        <item x="103"/>
        <item x="82"/>
        <item x="14"/>
        <item x="66"/>
        <item x="77"/>
        <item x="62"/>
        <item x="6"/>
        <item x="94"/>
        <item x="21"/>
        <item x="83"/>
        <item x="39"/>
        <item x="88"/>
        <item x="20"/>
        <item x="63"/>
        <item x="101"/>
        <item x="80"/>
        <item x="93"/>
        <item t="default"/>
      </items>
      <autoSortScope>
        <pivotArea dataOnly="0" outline="0" fieldPosition="0">
          <references count="1">
            <reference field="4294967294" count="1" selected="0">
              <x v="0"/>
            </reference>
          </references>
        </pivotArea>
      </autoSortScope>
    </pivotField>
    <pivotField showAll="0"/>
    <pivotField axis="axisRow" showAll="0" measureFilter="1" sortType="descending">
      <items count="303">
        <item x="192"/>
        <item x="162"/>
        <item x="80"/>
        <item x="136"/>
        <item x="221"/>
        <item x="167"/>
        <item x="158"/>
        <item x="37"/>
        <item x="201"/>
        <item x="163"/>
        <item x="255"/>
        <item x="75"/>
        <item x="2"/>
        <item x="25"/>
        <item x="54"/>
        <item x="58"/>
        <item x="22"/>
        <item x="107"/>
        <item x="144"/>
        <item x="42"/>
        <item x="26"/>
        <item x="45"/>
        <item x="269"/>
        <item x="258"/>
        <item x="177"/>
        <item x="77"/>
        <item x="13"/>
        <item x="186"/>
        <item x="103"/>
        <item x="21"/>
        <item x="293"/>
        <item x="300"/>
        <item x="6"/>
        <item x="181"/>
        <item x="270"/>
        <item x="145"/>
        <item x="166"/>
        <item x="290"/>
        <item x="39"/>
        <item x="76"/>
        <item x="91"/>
        <item x="9"/>
        <item x="0"/>
        <item x="61"/>
        <item x="96"/>
        <item x="285"/>
        <item x="199"/>
        <item x="104"/>
        <item x="292"/>
        <item x="184"/>
        <item x="69"/>
        <item x="211"/>
        <item x="53"/>
        <item x="85"/>
        <item x="148"/>
        <item x="73"/>
        <item x="169"/>
        <item x="137"/>
        <item x="241"/>
        <item x="250"/>
        <item x="274"/>
        <item x="108"/>
        <item x="262"/>
        <item x="65"/>
        <item x="140"/>
        <item x="111"/>
        <item x="118"/>
        <item x="33"/>
        <item x="89"/>
        <item x="252"/>
        <item x="271"/>
        <item x="289"/>
        <item x="234"/>
        <item x="224"/>
        <item x="102"/>
        <item x="105"/>
        <item x="52"/>
        <item x="48"/>
        <item x="56"/>
        <item x="93"/>
        <item x="151"/>
        <item x="86"/>
        <item x="238"/>
        <item x="233"/>
        <item x="128"/>
        <item x="208"/>
        <item x="113"/>
        <item x="246"/>
        <item x="212"/>
        <item x="294"/>
        <item x="291"/>
        <item x="265"/>
        <item x="23"/>
        <item x="109"/>
        <item x="68"/>
        <item x="237"/>
        <item x="49"/>
        <item x="14"/>
        <item x="100"/>
        <item x="29"/>
        <item x="64"/>
        <item x="299"/>
        <item x="242"/>
        <item x="150"/>
        <item x="41"/>
        <item x="129"/>
        <item x="122"/>
        <item x="286"/>
        <item x="127"/>
        <item x="280"/>
        <item x="147"/>
        <item x="210"/>
        <item x="257"/>
        <item x="31"/>
        <item x="176"/>
        <item x="126"/>
        <item x="279"/>
        <item x="116"/>
        <item x="44"/>
        <item x="296"/>
        <item x="92"/>
        <item x="277"/>
        <item x="153"/>
        <item x="160"/>
        <item x="10"/>
        <item x="139"/>
        <item x="134"/>
        <item x="67"/>
        <item x="57"/>
        <item x="189"/>
        <item x="203"/>
        <item x="209"/>
        <item x="230"/>
        <item x="222"/>
        <item x="267"/>
        <item x="174"/>
        <item x="295"/>
        <item x="62"/>
        <item x="173"/>
        <item x="287"/>
        <item x="5"/>
        <item x="216"/>
        <item x="247"/>
        <item x="28"/>
        <item x="18"/>
        <item x="74"/>
        <item x="297"/>
        <item x="83"/>
        <item x="263"/>
        <item x="95"/>
        <item x="135"/>
        <item x="90"/>
        <item x="20"/>
        <item x="239"/>
        <item x="278"/>
        <item x="141"/>
        <item x="188"/>
        <item x="260"/>
        <item x="182"/>
        <item x="156"/>
        <item x="142"/>
        <item x="165"/>
        <item x="244"/>
        <item x="223"/>
        <item x="7"/>
        <item x="27"/>
        <item x="217"/>
        <item x="202"/>
        <item x="79"/>
        <item x="273"/>
        <item x="206"/>
        <item x="1"/>
        <item x="30"/>
        <item x="40"/>
        <item x="81"/>
        <item x="268"/>
        <item x="55"/>
        <item x="133"/>
        <item x="175"/>
        <item x="248"/>
        <item x="60"/>
        <item x="17"/>
        <item x="51"/>
        <item x="106"/>
        <item x="78"/>
        <item x="131"/>
        <item x="264"/>
        <item x="228"/>
        <item x="218"/>
        <item x="117"/>
        <item x="266"/>
        <item x="38"/>
        <item x="43"/>
        <item x="24"/>
        <item x="197"/>
        <item x="168"/>
        <item x="101"/>
        <item x="231"/>
        <item x="195"/>
        <item x="124"/>
        <item x="59"/>
        <item x="243"/>
        <item x="253"/>
        <item x="276"/>
        <item x="204"/>
        <item x="261"/>
        <item x="235"/>
        <item x="214"/>
        <item x="46"/>
        <item x="193"/>
        <item x="119"/>
        <item x="63"/>
        <item x="112"/>
        <item x="283"/>
        <item x="170"/>
        <item x="125"/>
        <item x="87"/>
        <item x="207"/>
        <item x="256"/>
        <item x="99"/>
        <item x="275"/>
        <item x="132"/>
        <item x="138"/>
        <item x="19"/>
        <item x="171"/>
        <item x="161"/>
        <item x="249"/>
        <item x="240"/>
        <item x="229"/>
        <item x="178"/>
        <item x="8"/>
        <item x="32"/>
        <item x="15"/>
        <item x="301"/>
        <item x="196"/>
        <item x="149"/>
        <item x="259"/>
        <item x="36"/>
        <item x="157"/>
        <item x="84"/>
        <item x="155"/>
        <item x="34"/>
        <item x="94"/>
        <item x="227"/>
        <item x="143"/>
        <item x="254"/>
        <item x="190"/>
        <item x="245"/>
        <item x="288"/>
        <item x="35"/>
        <item x="12"/>
        <item x="226"/>
        <item x="121"/>
        <item x="213"/>
        <item x="215"/>
        <item x="179"/>
        <item x="272"/>
        <item x="159"/>
        <item x="219"/>
        <item x="205"/>
        <item x="298"/>
        <item x="88"/>
        <item x="198"/>
        <item x="180"/>
        <item x="194"/>
        <item x="281"/>
        <item x="82"/>
        <item x="114"/>
        <item x="123"/>
        <item x="98"/>
        <item x="200"/>
        <item x="50"/>
        <item x="71"/>
        <item x="115"/>
        <item x="4"/>
        <item x="3"/>
        <item x="187"/>
        <item x="164"/>
        <item x="185"/>
        <item x="183"/>
        <item x="225"/>
        <item x="11"/>
        <item x="66"/>
        <item x="232"/>
        <item x="154"/>
        <item x="70"/>
        <item x="130"/>
        <item x="172"/>
        <item x="47"/>
        <item x="146"/>
        <item x="120"/>
        <item x="236"/>
        <item x="72"/>
        <item x="251"/>
        <item x="152"/>
        <item x="191"/>
        <item x="110"/>
        <item x="97"/>
        <item x="16"/>
        <item x="220"/>
        <item x="284"/>
        <item x="282"/>
        <item t="default"/>
      </items>
      <autoSortScope>
        <pivotArea dataOnly="0" outline="0" fieldPosition="0">
          <references count="1">
            <reference field="4294967294" count="1" selected="0">
              <x v="0"/>
            </reference>
          </references>
        </pivotArea>
      </autoSortScope>
    </pivotField>
    <pivotField showAll="0"/>
    <pivotField dataField="1" numFmtId="44" showAll="0"/>
    <pivotField showAll="0"/>
    <pivotField showAll="0"/>
    <pivotField showAll="0">
      <items count="5">
        <item x="3"/>
        <item x="1"/>
        <item x="0"/>
        <item x="2"/>
        <item t="default"/>
      </items>
    </pivotField>
    <pivotField showAll="0"/>
    <pivotField showAll="0"/>
    <pivotField showAll="0"/>
    <pivotField showAll="0">
      <items count="19">
        <item x="0"/>
        <item x="1"/>
        <item x="2"/>
        <item x="3"/>
        <item x="4"/>
        <item x="5"/>
        <item x="6"/>
        <item x="7"/>
        <item x="8"/>
        <item x="9"/>
        <item x="10"/>
        <item x="11"/>
        <item x="12"/>
        <item x="13"/>
        <item x="14"/>
        <item x="15"/>
        <item x="16"/>
        <item x="17"/>
        <item t="default"/>
      </items>
    </pivotField>
  </pivotFields>
  <rowFields count="2">
    <field x="7"/>
    <field x="5"/>
  </rowFields>
  <rowItems count="10">
    <i>
      <x v="42"/>
    </i>
    <i r="1">
      <x v="75"/>
    </i>
    <i>
      <x v="171"/>
    </i>
    <i r="1">
      <x v="19"/>
    </i>
    <i>
      <x v="12"/>
    </i>
    <i r="1">
      <x v="34"/>
    </i>
    <i>
      <x v="275"/>
    </i>
    <i r="1">
      <x v="59"/>
    </i>
    <i>
      <x v="274"/>
    </i>
    <i r="1">
      <x v="59"/>
    </i>
  </rowItems>
  <colItems count="1">
    <i/>
  </colItems>
  <dataFields count="1">
    <dataField name="Sum of Sale Amount" fld="9" baseField="0" baseItem="0" numFmtId="42"/>
  </dataFields>
  <formats count="1">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150A432-7C26-427D-BDC3-DFFDB82ACF6E}" name="PivotTable29" cacheId="8" applyNumberFormats="0" applyBorderFormats="0" applyFontFormats="0" applyPatternFormats="0" applyAlignmentFormats="0" applyWidthHeightFormats="1" dataCaption="Values" updatedVersion="8" minRefreshableVersion="3" useAutoFormatting="1" itemPrintTitles="1" createdVersion="8" indent="0" multipleFieldFilters="0" chartFormat="6">
  <location ref="CN39:CO65" firstHeaderRow="1" firstDataRow="1" firstDataCol="1"/>
  <pivotFields count="17">
    <pivotField showAll="0"/>
    <pivotField numFmtId="22" showAll="0">
      <items count="256">
        <item x="195"/>
        <item x="68"/>
        <item x="242"/>
        <item x="165"/>
        <item x="186"/>
        <item x="138"/>
        <item x="125"/>
        <item x="128"/>
        <item x="167"/>
        <item x="158"/>
        <item x="41"/>
        <item x="143"/>
        <item x="210"/>
        <item x="58"/>
        <item x="110"/>
        <item x="173"/>
        <item x="148"/>
        <item x="182"/>
        <item x="47"/>
        <item x="109"/>
        <item x="216"/>
        <item x="181"/>
        <item x="146"/>
        <item x="215"/>
        <item x="118"/>
        <item x="155"/>
        <item x="178"/>
        <item x="133"/>
        <item x="189"/>
        <item x="232"/>
        <item x="119"/>
        <item x="192"/>
        <item x="196"/>
        <item x="164"/>
        <item m="1" x="247"/>
        <item x="114"/>
        <item x="203"/>
        <item x="132"/>
        <item x="228"/>
        <item x="234"/>
        <item m="1" x="250"/>
        <item x="83"/>
        <item x="219"/>
        <item x="136"/>
        <item x="194"/>
        <item m="1" x="248"/>
        <item m="1" x="251"/>
        <item x="122"/>
        <item x="96"/>
        <item x="179"/>
        <item m="1" x="249"/>
        <item x="166"/>
        <item x="213"/>
        <item m="1" x="246"/>
        <item x="240"/>
        <item x="177"/>
        <item x="214"/>
        <item x="239"/>
        <item m="1" x="252"/>
        <item x="187"/>
        <item x="221"/>
        <item m="1" x="253"/>
        <item x="201"/>
        <item x="168"/>
        <item x="55"/>
        <item x="208"/>
        <item x="49"/>
        <item x="199"/>
        <item x="204"/>
        <item x="193"/>
        <item x="200"/>
        <item x="57"/>
        <item x="209"/>
        <item x="116"/>
        <item x="211"/>
        <item x="0"/>
        <item x="163"/>
        <item x="222"/>
        <item x="229"/>
        <item x="171"/>
        <item x="108"/>
        <item x="101"/>
        <item x="43"/>
        <item x="12"/>
        <item x="145"/>
        <item x="230"/>
        <item x="207"/>
        <item x="217"/>
        <item x="151"/>
        <item x="223"/>
        <item x="185"/>
        <item x="160"/>
        <item x="237"/>
        <item x="206"/>
        <item x="174"/>
        <item x="99"/>
        <item x="61"/>
        <item x="141"/>
        <item x="81"/>
        <item x="69"/>
        <item x="175"/>
        <item x="197"/>
        <item x="123"/>
        <item x="236"/>
        <item x="129"/>
        <item x="153"/>
        <item x="3"/>
        <item x="220"/>
        <item x="241"/>
        <item x="218"/>
        <item x="183"/>
        <item x="243"/>
        <item x="238"/>
        <item x="235"/>
        <item m="1" x="254"/>
        <item x="188"/>
        <item x="42"/>
        <item x="67"/>
        <item x="15"/>
        <item x="184"/>
        <item x="103"/>
        <item x="79"/>
        <item x="31"/>
        <item x="120"/>
        <item x="142"/>
        <item x="93"/>
        <item x="76"/>
        <item x="140"/>
        <item x="59"/>
        <item x="32"/>
        <item x="82"/>
        <item x="23"/>
        <item x="152"/>
        <item x="169"/>
        <item x="95"/>
        <item x="14"/>
        <item x="46"/>
        <item x="94"/>
        <item x="131"/>
        <item x="225"/>
        <item x="106"/>
        <item x="36"/>
        <item x="107"/>
        <item x="84"/>
        <item x="105"/>
        <item x="244"/>
        <item x="80"/>
        <item x="127"/>
        <item x="30"/>
        <item x="205"/>
        <item x="172"/>
        <item x="150"/>
        <item x="37"/>
        <item x="8"/>
        <item x="73"/>
        <item x="233"/>
        <item x="25"/>
        <item x="157"/>
        <item x="17"/>
        <item x="154"/>
        <item x="5"/>
        <item x="137"/>
        <item x="97"/>
        <item x="170"/>
        <item x="51"/>
        <item x="117"/>
        <item x="16"/>
        <item x="63"/>
        <item x="156"/>
        <item x="176"/>
        <item x="104"/>
        <item x="85"/>
        <item x="71"/>
        <item x="65"/>
        <item x="26"/>
        <item x="45"/>
        <item x="21"/>
        <item x="70"/>
        <item x="198"/>
        <item x="111"/>
        <item x="113"/>
        <item x="20"/>
        <item x="112"/>
        <item x="24"/>
        <item x="1"/>
        <item x="53"/>
        <item x="92"/>
        <item x="74"/>
        <item x="202"/>
        <item x="162"/>
        <item x="10"/>
        <item x="212"/>
        <item x="135"/>
        <item x="18"/>
        <item x="48"/>
        <item x="139"/>
        <item x="40"/>
        <item x="149"/>
        <item x="126"/>
        <item x="161"/>
        <item x="231"/>
        <item x="64"/>
        <item x="191"/>
        <item x="28"/>
        <item x="87"/>
        <item x="190"/>
        <item x="130"/>
        <item x="34"/>
        <item x="159"/>
        <item x="100"/>
        <item x="35"/>
        <item x="115"/>
        <item x="2"/>
        <item x="227"/>
        <item x="88"/>
        <item x="38"/>
        <item x="11"/>
        <item x="144"/>
        <item x="180"/>
        <item x="4"/>
        <item x="102"/>
        <item x="60"/>
        <item m="1" x="245"/>
        <item x="9"/>
        <item x="7"/>
        <item x="22"/>
        <item x="52"/>
        <item x="13"/>
        <item x="56"/>
        <item x="89"/>
        <item x="33"/>
        <item x="62"/>
        <item x="91"/>
        <item x="75"/>
        <item x="226"/>
        <item x="90"/>
        <item x="86"/>
        <item x="224"/>
        <item x="27"/>
        <item x="6"/>
        <item x="147"/>
        <item x="78"/>
        <item x="134"/>
        <item x="29"/>
        <item x="124"/>
        <item x="54"/>
        <item x="98"/>
        <item x="121"/>
        <item x="77"/>
        <item x="19"/>
        <item x="72"/>
        <item x="66"/>
        <item x="50"/>
        <item x="39"/>
        <item x="44"/>
        <item t="default"/>
      </items>
    </pivotField>
    <pivotField showAll="0">
      <items count="13">
        <item x="7"/>
        <item x="5"/>
        <item x="9"/>
        <item x="1"/>
        <item x="3"/>
        <item x="2"/>
        <item x="4"/>
        <item x="6"/>
        <item x="10"/>
        <item x="8"/>
        <item x="11"/>
        <item x="0"/>
        <item t="default"/>
      </items>
    </pivotField>
    <pivotField showAll="0">
      <items count="16">
        <item x="14"/>
        <item x="8"/>
        <item x="5"/>
        <item x="10"/>
        <item x="9"/>
        <item x="11"/>
        <item x="13"/>
        <item x="7"/>
        <item x="6"/>
        <item x="0"/>
        <item x="3"/>
        <item x="2"/>
        <item x="12"/>
        <item x="4"/>
        <item x="1"/>
        <item t="default"/>
      </items>
    </pivotField>
    <pivotField showAll="0"/>
    <pivotField showAll="0">
      <items count="107">
        <item x="60"/>
        <item x="47"/>
        <item x="9"/>
        <item x="23"/>
        <item x="19"/>
        <item x="59"/>
        <item x="56"/>
        <item x="75"/>
        <item x="22"/>
        <item x="91"/>
        <item x="67"/>
        <item x="89"/>
        <item x="26"/>
        <item x="69"/>
        <item x="53"/>
        <item x="48"/>
        <item x="50"/>
        <item x="51"/>
        <item x="41"/>
        <item x="1"/>
        <item x="4"/>
        <item x="78"/>
        <item x="15"/>
        <item x="96"/>
        <item x="68"/>
        <item x="105"/>
        <item x="87"/>
        <item x="8"/>
        <item x="49"/>
        <item x="35"/>
        <item x="36"/>
        <item x="31"/>
        <item x="85"/>
        <item x="34"/>
        <item x="2"/>
        <item x="65"/>
        <item x="11"/>
        <item x="40"/>
        <item x="71"/>
        <item x="33"/>
        <item x="55"/>
        <item x="95"/>
        <item x="25"/>
        <item x="81"/>
        <item x="99"/>
        <item x="86"/>
        <item x="73"/>
        <item x="18"/>
        <item x="57"/>
        <item x="64"/>
        <item x="92"/>
        <item x="61"/>
        <item x="27"/>
        <item x="70"/>
        <item x="43"/>
        <item x="5"/>
        <item x="79"/>
        <item x="42"/>
        <item x="16"/>
        <item x="3"/>
        <item x="76"/>
        <item x="13"/>
        <item x="97"/>
        <item x="45"/>
        <item x="44"/>
        <item x="12"/>
        <item x="29"/>
        <item x="30"/>
        <item x="54"/>
        <item x="104"/>
        <item x="17"/>
        <item x="84"/>
        <item x="90"/>
        <item x="7"/>
        <item x="98"/>
        <item x="0"/>
        <item x="28"/>
        <item x="38"/>
        <item x="32"/>
        <item x="52"/>
        <item x="100"/>
        <item x="37"/>
        <item x="102"/>
        <item x="10"/>
        <item x="74"/>
        <item x="46"/>
        <item x="24"/>
        <item x="72"/>
        <item x="58"/>
        <item x="103"/>
        <item x="82"/>
        <item x="14"/>
        <item x="66"/>
        <item x="77"/>
        <item x="62"/>
        <item x="6"/>
        <item x="94"/>
        <item x="21"/>
        <item x="83"/>
        <item x="39"/>
        <item x="88"/>
        <item x="20"/>
        <item x="63"/>
        <item x="101"/>
        <item x="80"/>
        <item x="93"/>
        <item t="default"/>
      </items>
    </pivotField>
    <pivotField showAll="0"/>
    <pivotField showAll="0"/>
    <pivotField showAll="0"/>
    <pivotField dataField="1" showAll="0"/>
    <pivotField showAll="0"/>
    <pivotField showAll="0"/>
    <pivotField showAll="0">
      <items count="5">
        <item x="3"/>
        <item x="1"/>
        <item x="0"/>
        <item x="2"/>
        <item t="default"/>
      </items>
    </pivotField>
    <pivotField showAll="0"/>
    <pivotField showAll="0"/>
    <pivotField axis="axisRow" showAll="0">
      <items count="15">
        <item x="0"/>
        <item x="1"/>
        <item x="2"/>
        <item x="3"/>
        <item x="4"/>
        <item x="5"/>
        <item x="6"/>
        <item x="7"/>
        <item x="8"/>
        <item x="9"/>
        <item x="10"/>
        <item x="11"/>
        <item x="12"/>
        <item x="13"/>
        <item t="default"/>
      </items>
    </pivotField>
    <pivotField axis="axisRow" showAll="0">
      <items count="19">
        <item h="1" x="0"/>
        <item h="1" x="1"/>
        <item h="1" x="2"/>
        <item h="1" x="3"/>
        <item h="1" x="4"/>
        <item h="1" x="5"/>
        <item h="1" x="6"/>
        <item h="1" x="7"/>
        <item h="1" x="8"/>
        <item h="1" x="9"/>
        <item h="1" x="10"/>
        <item h="1" x="11"/>
        <item h="1" x="12"/>
        <item x="13"/>
        <item x="14"/>
        <item x="15"/>
        <item x="16"/>
        <item x="17"/>
        <item t="default"/>
      </items>
    </pivotField>
  </pivotFields>
  <rowFields count="2">
    <field x="16"/>
    <field x="15"/>
  </rowFields>
  <rowItems count="26">
    <i>
      <x v="13"/>
    </i>
    <i r="1">
      <x v="1"/>
    </i>
    <i r="1">
      <x v="4"/>
    </i>
    <i r="1">
      <x v="5"/>
    </i>
    <i>
      <x v="14"/>
    </i>
    <i r="1">
      <x v="1"/>
    </i>
    <i r="1">
      <x v="2"/>
    </i>
    <i r="1">
      <x v="5"/>
    </i>
    <i r="1">
      <x v="6"/>
    </i>
    <i>
      <x v="15"/>
    </i>
    <i r="1">
      <x v="3"/>
    </i>
    <i r="1">
      <x v="4"/>
    </i>
    <i r="1">
      <x v="10"/>
    </i>
    <i r="1">
      <x v="11"/>
    </i>
    <i r="1">
      <x v="12"/>
    </i>
    <i>
      <x v="16"/>
    </i>
    <i r="1">
      <x v="1"/>
    </i>
    <i r="1">
      <x v="2"/>
    </i>
    <i r="1">
      <x v="3"/>
    </i>
    <i r="1">
      <x v="4"/>
    </i>
    <i r="1">
      <x v="5"/>
    </i>
    <i r="1">
      <x v="6"/>
    </i>
    <i r="1">
      <x v="7"/>
    </i>
    <i r="1">
      <x v="8"/>
    </i>
    <i r="1">
      <x v="9"/>
    </i>
    <i t="grand">
      <x/>
    </i>
  </rowItems>
  <colItems count="1">
    <i/>
  </colItems>
  <dataFields count="1">
    <dataField name="Sum of Sale Amount" fld="9"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77AA03A-EA21-4FEA-94F3-49ADDD228BBF}" name="PivotTable33"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18" rowHeaderCaption="Month" colHeaderCaption="Year">
  <location ref="CP70:CT83" firstHeaderRow="1" firstDataRow="2" firstDataCol="1"/>
  <pivotFields count="16">
    <pivotField showAll="0"/>
    <pivotField showAll="0"/>
    <pivotField axis="axisRow" showAll="0">
      <items count="14">
        <item x="6"/>
        <item x="4"/>
        <item x="9"/>
        <item x="0"/>
        <item x="2"/>
        <item x="1"/>
        <item x="3"/>
        <item x="5"/>
        <item x="10"/>
        <item x="8"/>
        <item x="11"/>
        <item x="7"/>
        <item x="12"/>
        <item t="default"/>
      </items>
    </pivotField>
    <pivotField axis="axisCol" showAll="0">
      <items count="6">
        <item x="1"/>
        <item x="3"/>
        <item x="2"/>
        <item x="0"/>
        <item h="1" x="4"/>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2"/>
  </rowFields>
  <rowItems count="12">
    <i>
      <x/>
    </i>
    <i>
      <x v="1"/>
    </i>
    <i>
      <x v="2"/>
    </i>
    <i>
      <x v="3"/>
    </i>
    <i>
      <x v="4"/>
    </i>
    <i>
      <x v="5"/>
    </i>
    <i>
      <x v="6"/>
    </i>
    <i>
      <x v="7"/>
    </i>
    <i>
      <x v="8"/>
    </i>
    <i>
      <x v="9"/>
    </i>
    <i>
      <x v="10"/>
    </i>
    <i>
      <x v="11"/>
    </i>
  </rowItems>
  <colFields count="1">
    <field x="3"/>
  </colFields>
  <colItems count="4">
    <i>
      <x/>
    </i>
    <i>
      <x v="1"/>
    </i>
    <i>
      <x v="2"/>
    </i>
    <i>
      <x v="3"/>
    </i>
  </colItems>
  <dataFields count="1">
    <dataField name="Sum of Sale Amount" fld="8" baseField="0" baseItem="0"/>
  </dataFields>
  <formats count="4">
    <format dxfId="11">
      <pivotArea outline="0" collapsedLevelsAreSubtotals="1" fieldPosition="0">
        <references count="1">
          <reference field="3" count="1" selected="0">
            <x v="0"/>
          </reference>
        </references>
      </pivotArea>
    </format>
    <format dxfId="10">
      <pivotArea outline="0" collapsedLevelsAreSubtotals="1" fieldPosition="0">
        <references count="1">
          <reference field="3" count="1" selected="0">
            <x v="1"/>
          </reference>
        </references>
      </pivotArea>
    </format>
    <format dxfId="9">
      <pivotArea outline="0" collapsedLevelsAreSubtotals="1" fieldPosition="0">
        <references count="1">
          <reference field="3" count="1" selected="0">
            <x v="2"/>
          </reference>
        </references>
      </pivotArea>
    </format>
    <format dxfId="8">
      <pivotArea outline="0" collapsedLevelsAreSubtotals="1" fieldPosition="0">
        <references count="1">
          <reference field="3" count="1" selected="0">
            <x v="3"/>
          </reference>
        </references>
      </pivotArea>
    </format>
  </formats>
  <chartFormats count="12">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9" format="0" series="1">
      <pivotArea type="data" outline="0" fieldPosition="0">
        <references count="2">
          <reference field="4294967294" count="1" selected="0">
            <x v="0"/>
          </reference>
          <reference field="3" count="1" selected="0">
            <x v="0"/>
          </reference>
        </references>
      </pivotArea>
    </chartFormat>
    <chartFormat chart="9" format="1" series="1">
      <pivotArea type="data" outline="0" fieldPosition="0">
        <references count="2">
          <reference field="4294967294" count="1" selected="0">
            <x v="0"/>
          </reference>
          <reference field="3" count="1" selected="0">
            <x v="1"/>
          </reference>
        </references>
      </pivotArea>
    </chartFormat>
    <chartFormat chart="9" format="2" series="1">
      <pivotArea type="data" outline="0" fieldPosition="0">
        <references count="2">
          <reference field="4294967294" count="1" selected="0">
            <x v="0"/>
          </reference>
          <reference field="3" count="1" selected="0">
            <x v="2"/>
          </reference>
        </references>
      </pivotArea>
    </chartFormat>
    <chartFormat chart="9" format="3" series="1">
      <pivotArea type="data" outline="0" fieldPosition="0">
        <references count="2">
          <reference field="4294967294" count="1" selected="0">
            <x v="0"/>
          </reference>
          <reference field="3" count="1" selected="0">
            <x v="3"/>
          </reference>
        </references>
      </pivotArea>
    </chartFormat>
    <chartFormat chart="12" format="8" series="1">
      <pivotArea type="data" outline="0" fieldPosition="0">
        <references count="2">
          <reference field="4294967294" count="1" selected="0">
            <x v="0"/>
          </reference>
          <reference field="3" count="1" selected="0">
            <x v="0"/>
          </reference>
        </references>
      </pivotArea>
    </chartFormat>
    <chartFormat chart="12" format="9" series="1">
      <pivotArea type="data" outline="0" fieldPosition="0">
        <references count="2">
          <reference field="4294967294" count="1" selected="0">
            <x v="0"/>
          </reference>
          <reference field="3" count="1" selected="0">
            <x v="1"/>
          </reference>
        </references>
      </pivotArea>
    </chartFormat>
    <chartFormat chart="12" format="10" series="1">
      <pivotArea type="data" outline="0" fieldPosition="0">
        <references count="2">
          <reference field="4294967294" count="1" selected="0">
            <x v="0"/>
          </reference>
          <reference field="3" count="1" selected="0">
            <x v="2"/>
          </reference>
        </references>
      </pivotArea>
    </chartFormat>
    <chartFormat chart="12" format="11" series="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9A838E5-38AD-4094-A71F-58B934456F84}" name="PivotTable6" cacheId="6"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19">
  <location ref="BP7:BQ16" firstHeaderRow="1" firstDataRow="1" firstDataCol="1" rowPageCount="1" colPageCount="1"/>
  <pivotFields count="13">
    <pivotField showAll="0"/>
    <pivotField numFmtId="22" showAll="0">
      <items count="246">
        <item x="81"/>
        <item x="4"/>
        <item x="29"/>
        <item x="184"/>
        <item x="69"/>
        <item x="187"/>
        <item x="182"/>
        <item x="179"/>
        <item x="59"/>
        <item x="163"/>
        <item x="118"/>
        <item x="106"/>
        <item x="207"/>
        <item x="47"/>
        <item x="138"/>
        <item x="125"/>
        <item x="46"/>
        <item x="110"/>
        <item x="145"/>
        <item x="181"/>
        <item x="199"/>
        <item x="218"/>
        <item x="191"/>
        <item x="226"/>
        <item x="223"/>
        <item x="188"/>
        <item x="159"/>
        <item x="38"/>
        <item x="200"/>
        <item x="231"/>
        <item x="160"/>
        <item x="112"/>
        <item x="157"/>
        <item x="171"/>
        <item x="219"/>
        <item x="242"/>
        <item x="5"/>
        <item x="234"/>
        <item x="225"/>
        <item x="192"/>
        <item x="150"/>
        <item x="224"/>
        <item x="232"/>
        <item x="215"/>
        <item x="213"/>
        <item x="203"/>
        <item x="217"/>
        <item x="212"/>
        <item x="165"/>
        <item x="236"/>
        <item x="221"/>
        <item x="211"/>
        <item x="228"/>
        <item x="196"/>
        <item x="238"/>
        <item x="198"/>
        <item x="111"/>
        <item x="216"/>
        <item x="121"/>
        <item x="210"/>
        <item x="173"/>
        <item x="175"/>
        <item x="177"/>
        <item x="135"/>
        <item x="140"/>
        <item x="63"/>
        <item x="201"/>
        <item x="0"/>
        <item x="25"/>
        <item x="222"/>
        <item x="97"/>
        <item x="126"/>
        <item x="124"/>
        <item x="128"/>
        <item x="147"/>
        <item x="3"/>
        <item x="189"/>
        <item x="170"/>
        <item x="180"/>
        <item x="74"/>
        <item x="190"/>
        <item x="194"/>
        <item x="133"/>
        <item x="99"/>
        <item x="205"/>
        <item x="209"/>
        <item x="168"/>
        <item x="142"/>
        <item x="152"/>
        <item x="156"/>
        <item x="183"/>
        <item x="2"/>
        <item x="169"/>
        <item x="230"/>
        <item x="167"/>
        <item x="40"/>
        <item x="84"/>
        <item x="148"/>
        <item x="1"/>
        <item x="92"/>
        <item x="11"/>
        <item x="122"/>
        <item x="154"/>
        <item x="240"/>
        <item x="186"/>
        <item x="39"/>
        <item x="123"/>
        <item x="202"/>
        <item x="114"/>
        <item x="141"/>
        <item x="131"/>
        <item x="172"/>
        <item x="54"/>
        <item x="162"/>
        <item x="130"/>
        <item x="82"/>
        <item x="109"/>
        <item x="91"/>
        <item x="96"/>
        <item x="58"/>
        <item x="44"/>
        <item x="197"/>
        <item x="146"/>
        <item x="206"/>
        <item x="23"/>
        <item x="70"/>
        <item x="83"/>
        <item x="34"/>
        <item x="62"/>
        <item x="129"/>
        <item x="134"/>
        <item x="102"/>
        <item x="22"/>
        <item x="107"/>
        <item x="88"/>
        <item x="105"/>
        <item x="244"/>
        <item x="85"/>
        <item x="132"/>
        <item x="36"/>
        <item x="229"/>
        <item x="193"/>
        <item x="158"/>
        <item x="43"/>
        <item x="13"/>
        <item x="76"/>
        <item x="243"/>
        <item x="30"/>
        <item x="166"/>
        <item x="19"/>
        <item x="161"/>
        <item x="9"/>
        <item x="144"/>
        <item x="100"/>
        <item x="185"/>
        <item x="55"/>
        <item x="119"/>
        <item x="18"/>
        <item x="66"/>
        <item x="164"/>
        <item x="195"/>
        <item x="108"/>
        <item x="86"/>
        <item x="73"/>
        <item x="67"/>
        <item x="31"/>
        <item x="50"/>
        <item x="26"/>
        <item x="72"/>
        <item x="220"/>
        <item x="113"/>
        <item x="116"/>
        <item x="24"/>
        <item x="115"/>
        <item x="27"/>
        <item x="6"/>
        <item x="57"/>
        <item x="95"/>
        <item x="78"/>
        <item x="227"/>
        <item x="178"/>
        <item x="15"/>
        <item x="233"/>
        <item x="143"/>
        <item x="20"/>
        <item x="52"/>
        <item x="149"/>
        <item x="49"/>
        <item x="155"/>
        <item x="136"/>
        <item x="176"/>
        <item x="241"/>
        <item x="68"/>
        <item x="214"/>
        <item x="33"/>
        <item x="89"/>
        <item x="208"/>
        <item x="137"/>
        <item x="41"/>
        <item x="174"/>
        <item x="103"/>
        <item x="42"/>
        <item x="117"/>
        <item x="7"/>
        <item x="239"/>
        <item x="90"/>
        <item x="45"/>
        <item x="16"/>
        <item x="151"/>
        <item x="204"/>
        <item x="8"/>
        <item x="104"/>
        <item x="64"/>
        <item x="14"/>
        <item x="12"/>
        <item x="28"/>
        <item x="53"/>
        <item x="17"/>
        <item x="61"/>
        <item x="93"/>
        <item x="37"/>
        <item x="65"/>
        <item x="98"/>
        <item x="77"/>
        <item x="237"/>
        <item x="94"/>
        <item x="87"/>
        <item x="235"/>
        <item x="32"/>
        <item x="10"/>
        <item x="153"/>
        <item x="80"/>
        <item x="139"/>
        <item x="35"/>
        <item x="127"/>
        <item x="60"/>
        <item x="101"/>
        <item x="120"/>
        <item x="79"/>
        <item x="21"/>
        <item x="75"/>
        <item x="71"/>
        <item x="56"/>
        <item x="48"/>
        <item x="51"/>
        <item t="default"/>
      </items>
    </pivotField>
    <pivotField showAll="0"/>
    <pivotField axis="axisPage" showAll="0">
      <items count="16">
        <item x="9"/>
        <item x="3"/>
        <item x="8"/>
        <item x="7"/>
        <item x="4"/>
        <item x="13"/>
        <item x="14"/>
        <item x="10"/>
        <item x="11"/>
        <item x="0"/>
        <item x="2"/>
        <item x="1"/>
        <item x="12"/>
        <item x="6"/>
        <item x="5"/>
        <item t="default"/>
      </items>
    </pivotField>
    <pivotField axis="axisRow" showAll="0">
      <items count="76">
        <item x="4"/>
        <item x="41"/>
        <item x="30"/>
        <item x="39"/>
        <item x="6"/>
        <item x="27"/>
        <item x="34"/>
        <item x="65"/>
        <item x="32"/>
        <item x="10"/>
        <item x="29"/>
        <item x="55"/>
        <item x="36"/>
        <item x="64"/>
        <item x="0"/>
        <item x="50"/>
        <item x="15"/>
        <item x="48"/>
        <item x="47"/>
        <item x="66"/>
        <item x="31"/>
        <item x="46"/>
        <item x="9"/>
        <item x="25"/>
        <item x="17"/>
        <item x="21"/>
        <item x="38"/>
        <item x="11"/>
        <item x="22"/>
        <item x="68"/>
        <item x="71"/>
        <item x="69"/>
        <item x="72"/>
        <item x="53"/>
        <item x="28"/>
        <item x="8"/>
        <item x="57"/>
        <item x="63"/>
        <item x="5"/>
        <item x="49"/>
        <item x="62"/>
        <item x="37"/>
        <item x="3"/>
        <item x="58"/>
        <item x="7"/>
        <item x="33"/>
        <item x="56"/>
        <item x="73"/>
        <item x="20"/>
        <item x="13"/>
        <item x="18"/>
        <item x="23"/>
        <item x="52"/>
        <item x="42"/>
        <item x="40"/>
        <item x="1"/>
        <item x="74"/>
        <item x="12"/>
        <item x="19"/>
        <item x="67"/>
        <item x="26"/>
        <item x="51"/>
        <item x="16"/>
        <item x="59"/>
        <item x="60"/>
        <item x="70"/>
        <item x="54"/>
        <item x="43"/>
        <item x="24"/>
        <item x="44"/>
        <item x="45"/>
        <item x="61"/>
        <item x="35"/>
        <item x="2"/>
        <item x="14"/>
        <item t="default"/>
      </items>
    </pivotField>
    <pivotField showAll="0"/>
    <pivotField showAll="0"/>
    <pivotField showAll="0"/>
    <pivotField dataField="1" showAll="0"/>
    <pivotField showAll="0"/>
    <pivotField showAll="0"/>
    <pivotField showAll="0"/>
    <pivotField showAll="0"/>
  </pivotFields>
  <rowFields count="1">
    <field x="4"/>
  </rowFields>
  <rowItems count="9">
    <i>
      <x v="4"/>
    </i>
    <i>
      <x v="9"/>
    </i>
    <i>
      <x v="22"/>
    </i>
    <i>
      <x v="27"/>
    </i>
    <i>
      <x v="35"/>
    </i>
    <i>
      <x v="44"/>
    </i>
    <i>
      <x v="49"/>
    </i>
    <i>
      <x v="57"/>
    </i>
    <i>
      <x v="74"/>
    </i>
  </rowItems>
  <colItems count="1">
    <i/>
  </colItems>
  <pageFields count="1">
    <pageField fld="3" item="14" hier="-1"/>
  </pageFields>
  <dataFields count="1">
    <dataField name="Sum of Sale Amount" fld="8" baseField="0" baseItem="0" numFmtId="167"/>
  </dataFields>
  <formats count="1">
    <format dxfId="12">
      <pivotArea outline="0" collapsedLevelsAreSubtotals="1" fieldPosition="0"/>
    </format>
  </formats>
  <chartFormats count="3">
    <chartFormat chart="0"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27146F0-60A6-4C80-952C-B470B11A6BE1}" name="PivotTable16" cacheId="8"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7" rowHeaderCaption="Town">
  <location ref="BA3:BB109" firstHeaderRow="1" firstDataRow="1" firstDataCol="1"/>
  <pivotFields count="17">
    <pivotField showAll="0"/>
    <pivotField numFmtId="22" showAll="0">
      <items count="256">
        <item x="195"/>
        <item x="68"/>
        <item x="242"/>
        <item x="165"/>
        <item x="186"/>
        <item x="138"/>
        <item x="125"/>
        <item x="128"/>
        <item x="167"/>
        <item x="158"/>
        <item x="41"/>
        <item x="143"/>
        <item x="210"/>
        <item x="58"/>
        <item x="110"/>
        <item x="173"/>
        <item x="148"/>
        <item x="182"/>
        <item x="47"/>
        <item x="109"/>
        <item x="216"/>
        <item x="181"/>
        <item x="146"/>
        <item x="215"/>
        <item x="118"/>
        <item x="155"/>
        <item x="178"/>
        <item x="133"/>
        <item x="189"/>
        <item x="232"/>
        <item x="119"/>
        <item x="192"/>
        <item x="196"/>
        <item x="164"/>
        <item m="1" x="247"/>
        <item x="114"/>
        <item x="203"/>
        <item x="132"/>
        <item x="228"/>
        <item x="234"/>
        <item m="1" x="250"/>
        <item x="83"/>
        <item x="219"/>
        <item x="136"/>
        <item x="194"/>
        <item m="1" x="248"/>
        <item m="1" x="251"/>
        <item x="122"/>
        <item x="96"/>
        <item x="179"/>
        <item m="1" x="249"/>
        <item x="166"/>
        <item x="213"/>
        <item m="1" x="246"/>
        <item x="240"/>
        <item x="177"/>
        <item x="214"/>
        <item x="239"/>
        <item m="1" x="252"/>
        <item x="187"/>
        <item x="221"/>
        <item m="1" x="253"/>
        <item x="201"/>
        <item x="168"/>
        <item x="55"/>
        <item x="208"/>
        <item x="49"/>
        <item x="199"/>
        <item x="204"/>
        <item x="193"/>
        <item x="200"/>
        <item x="57"/>
        <item x="209"/>
        <item x="116"/>
        <item x="211"/>
        <item x="0"/>
        <item x="163"/>
        <item x="222"/>
        <item x="229"/>
        <item x="171"/>
        <item x="108"/>
        <item x="101"/>
        <item x="43"/>
        <item x="12"/>
        <item x="145"/>
        <item x="230"/>
        <item x="207"/>
        <item x="217"/>
        <item x="151"/>
        <item x="223"/>
        <item x="185"/>
        <item x="160"/>
        <item x="237"/>
        <item x="206"/>
        <item x="174"/>
        <item x="99"/>
        <item x="61"/>
        <item x="141"/>
        <item x="81"/>
        <item x="69"/>
        <item x="175"/>
        <item x="197"/>
        <item x="123"/>
        <item x="236"/>
        <item x="129"/>
        <item x="153"/>
        <item x="3"/>
        <item x="220"/>
        <item x="241"/>
        <item x="218"/>
        <item x="183"/>
        <item x="243"/>
        <item x="238"/>
        <item x="235"/>
        <item m="1" x="254"/>
        <item x="188"/>
        <item x="42"/>
        <item x="67"/>
        <item x="15"/>
        <item x="184"/>
        <item x="103"/>
        <item x="79"/>
        <item x="31"/>
        <item x="120"/>
        <item x="142"/>
        <item x="93"/>
        <item x="76"/>
        <item x="140"/>
        <item x="59"/>
        <item x="32"/>
        <item x="82"/>
        <item x="23"/>
        <item x="152"/>
        <item x="169"/>
        <item x="95"/>
        <item x="14"/>
        <item x="46"/>
        <item x="94"/>
        <item x="131"/>
        <item x="225"/>
        <item x="106"/>
        <item x="36"/>
        <item x="107"/>
        <item x="84"/>
        <item x="105"/>
        <item x="244"/>
        <item x="80"/>
        <item x="127"/>
        <item x="30"/>
        <item x="205"/>
        <item x="172"/>
        <item x="150"/>
        <item x="37"/>
        <item x="8"/>
        <item x="73"/>
        <item x="233"/>
        <item x="25"/>
        <item x="157"/>
        <item x="17"/>
        <item x="154"/>
        <item x="5"/>
        <item x="137"/>
        <item x="97"/>
        <item x="170"/>
        <item x="51"/>
        <item x="117"/>
        <item x="16"/>
        <item x="63"/>
        <item x="156"/>
        <item x="176"/>
        <item x="104"/>
        <item x="85"/>
        <item x="71"/>
        <item x="65"/>
        <item x="26"/>
        <item x="45"/>
        <item x="21"/>
        <item x="70"/>
        <item x="198"/>
        <item x="111"/>
        <item x="113"/>
        <item x="20"/>
        <item x="112"/>
        <item x="24"/>
        <item x="1"/>
        <item x="53"/>
        <item x="92"/>
        <item x="74"/>
        <item x="202"/>
        <item x="162"/>
        <item x="10"/>
        <item x="212"/>
        <item x="135"/>
        <item x="18"/>
        <item x="48"/>
        <item x="139"/>
        <item x="40"/>
        <item x="149"/>
        <item x="126"/>
        <item x="161"/>
        <item x="231"/>
        <item x="64"/>
        <item x="191"/>
        <item x="28"/>
        <item x="87"/>
        <item x="190"/>
        <item x="130"/>
        <item x="34"/>
        <item x="159"/>
        <item x="100"/>
        <item x="35"/>
        <item x="115"/>
        <item x="2"/>
        <item x="227"/>
        <item x="88"/>
        <item x="38"/>
        <item x="11"/>
        <item x="144"/>
        <item x="180"/>
        <item x="4"/>
        <item x="102"/>
        <item x="60"/>
        <item m="1" x="245"/>
        <item x="9"/>
        <item x="7"/>
        <item x="22"/>
        <item x="52"/>
        <item x="13"/>
        <item x="56"/>
        <item x="89"/>
        <item x="33"/>
        <item x="62"/>
        <item x="91"/>
        <item x="75"/>
        <item x="226"/>
        <item x="90"/>
        <item x="86"/>
        <item x="224"/>
        <item x="27"/>
        <item x="6"/>
        <item x="147"/>
        <item x="78"/>
        <item x="134"/>
        <item x="29"/>
        <item x="124"/>
        <item x="54"/>
        <item x="98"/>
        <item x="121"/>
        <item x="77"/>
        <item x="19"/>
        <item x="72"/>
        <item x="66"/>
        <item x="50"/>
        <item x="39"/>
        <item x="44"/>
        <item t="default"/>
      </items>
    </pivotField>
    <pivotField showAll="0">
      <items count="13">
        <item x="7"/>
        <item x="5"/>
        <item x="9"/>
        <item x="1"/>
        <item x="3"/>
        <item x="2"/>
        <item x="4"/>
        <item x="6"/>
        <item x="10"/>
        <item x="8"/>
        <item x="11"/>
        <item x="0"/>
        <item t="default"/>
      </items>
    </pivotField>
    <pivotField showAll="0">
      <items count="16">
        <item x="14"/>
        <item x="8"/>
        <item x="5"/>
        <item x="10"/>
        <item x="9"/>
        <item x="11"/>
        <item x="13"/>
        <item x="7"/>
        <item x="6"/>
        <item x="0"/>
        <item x="3"/>
        <item x="2"/>
        <item x="12"/>
        <item x="4"/>
        <item x="1"/>
        <item t="default"/>
      </items>
    </pivotField>
    <pivotField showAll="0"/>
    <pivotField axis="axisRow" showAll="0" sortType="descending">
      <items count="107">
        <item x="60"/>
        <item x="47"/>
        <item x="9"/>
        <item x="23"/>
        <item x="19"/>
        <item x="59"/>
        <item x="56"/>
        <item x="75"/>
        <item x="22"/>
        <item x="91"/>
        <item x="67"/>
        <item x="89"/>
        <item x="26"/>
        <item x="69"/>
        <item x="53"/>
        <item x="48"/>
        <item x="50"/>
        <item x="51"/>
        <item x="41"/>
        <item x="1"/>
        <item x="4"/>
        <item x="78"/>
        <item x="15"/>
        <item x="96"/>
        <item x="68"/>
        <item x="105"/>
        <item x="87"/>
        <item x="8"/>
        <item x="49"/>
        <item x="35"/>
        <item x="36"/>
        <item x="31"/>
        <item x="85"/>
        <item x="34"/>
        <item x="2"/>
        <item x="65"/>
        <item x="11"/>
        <item x="40"/>
        <item x="71"/>
        <item x="33"/>
        <item x="55"/>
        <item x="95"/>
        <item x="25"/>
        <item x="81"/>
        <item x="99"/>
        <item x="86"/>
        <item x="73"/>
        <item x="18"/>
        <item x="57"/>
        <item x="64"/>
        <item x="92"/>
        <item x="61"/>
        <item x="27"/>
        <item x="70"/>
        <item x="43"/>
        <item x="5"/>
        <item x="79"/>
        <item x="42"/>
        <item x="16"/>
        <item x="3"/>
        <item x="76"/>
        <item x="13"/>
        <item x="97"/>
        <item x="45"/>
        <item x="44"/>
        <item x="12"/>
        <item x="29"/>
        <item x="30"/>
        <item x="54"/>
        <item x="104"/>
        <item x="17"/>
        <item x="84"/>
        <item x="90"/>
        <item x="7"/>
        <item x="98"/>
        <item x="0"/>
        <item x="28"/>
        <item x="38"/>
        <item x="32"/>
        <item x="52"/>
        <item x="100"/>
        <item x="37"/>
        <item x="102"/>
        <item x="10"/>
        <item x="74"/>
        <item x="46"/>
        <item x="24"/>
        <item x="72"/>
        <item x="58"/>
        <item x="103"/>
        <item x="82"/>
        <item x="14"/>
        <item x="66"/>
        <item x="77"/>
        <item x="62"/>
        <item x="6"/>
        <item x="94"/>
        <item x="21"/>
        <item x="83"/>
        <item x="39"/>
        <item x="88"/>
        <item x="20"/>
        <item x="63"/>
        <item x="101"/>
        <item x="80"/>
        <item x="9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numFmtId="44" showAll="0"/>
    <pivotField showAll="0"/>
    <pivotField showAll="0"/>
    <pivotField showAll="0">
      <items count="5">
        <item x="3"/>
        <item x="1"/>
        <item x="0"/>
        <item x="2"/>
        <item t="default"/>
      </items>
    </pivotField>
    <pivotField showAll="0"/>
    <pivotField showAll="0"/>
    <pivotField showAll="0"/>
    <pivotField showAll="0">
      <items count="19">
        <item x="0"/>
        <item x="1"/>
        <item x="2"/>
        <item x="3"/>
        <item x="4"/>
        <item x="5"/>
        <item x="6"/>
        <item x="7"/>
        <item x="8"/>
        <item x="9"/>
        <item x="10"/>
        <item x="11"/>
        <item x="12"/>
        <item x="13"/>
        <item x="14"/>
        <item x="15"/>
        <item x="16"/>
        <item x="17"/>
        <item t="default"/>
      </items>
    </pivotField>
  </pivotFields>
  <rowFields count="1">
    <field x="5"/>
  </rowFields>
  <rowItems count="106">
    <i>
      <x v="75"/>
    </i>
    <i>
      <x v="83"/>
    </i>
    <i>
      <x v="34"/>
    </i>
    <i>
      <x v="59"/>
    </i>
    <i>
      <x v="19"/>
    </i>
    <i>
      <x v="20"/>
    </i>
    <i>
      <x v="2"/>
    </i>
    <i>
      <x v="55"/>
    </i>
    <i>
      <x v="27"/>
    </i>
    <i>
      <x v="64"/>
    </i>
    <i>
      <x v="36"/>
    </i>
    <i>
      <x v="91"/>
    </i>
    <i>
      <x v="39"/>
    </i>
    <i>
      <x v="95"/>
    </i>
    <i>
      <x v="61"/>
    </i>
    <i>
      <x v="58"/>
    </i>
    <i>
      <x v="78"/>
    </i>
    <i>
      <x v="28"/>
    </i>
    <i>
      <x v="8"/>
    </i>
    <i>
      <x v="65"/>
    </i>
    <i>
      <x v="73"/>
    </i>
    <i>
      <x v="99"/>
    </i>
    <i>
      <x v="86"/>
    </i>
    <i>
      <x v="54"/>
    </i>
    <i>
      <x v="49"/>
    </i>
    <i>
      <x v="31"/>
    </i>
    <i>
      <x v="47"/>
    </i>
    <i>
      <x v="101"/>
    </i>
    <i>
      <x v="10"/>
    </i>
    <i>
      <x v="81"/>
    </i>
    <i>
      <x v="70"/>
    </i>
    <i>
      <x v="37"/>
    </i>
    <i>
      <x v="29"/>
    </i>
    <i>
      <x v="79"/>
    </i>
    <i>
      <x v="102"/>
    </i>
    <i>
      <x v="52"/>
    </i>
    <i>
      <x v="22"/>
    </i>
    <i>
      <x v="92"/>
    </i>
    <i>
      <x v="68"/>
    </i>
    <i>
      <x v="53"/>
    </i>
    <i>
      <x v="4"/>
    </i>
    <i>
      <x v="30"/>
    </i>
    <i>
      <x v="77"/>
    </i>
    <i>
      <x v="14"/>
    </i>
    <i>
      <x v="94"/>
    </i>
    <i>
      <x v="18"/>
    </i>
    <i>
      <x v="96"/>
    </i>
    <i>
      <x v="97"/>
    </i>
    <i>
      <x v="90"/>
    </i>
    <i>
      <x v="33"/>
    </i>
    <i>
      <x v="3"/>
    </i>
    <i>
      <x v="42"/>
    </i>
    <i>
      <x v="88"/>
    </i>
    <i>
      <x v="12"/>
    </i>
    <i>
      <x v="100"/>
    </i>
    <i>
      <x v="76"/>
    </i>
    <i>
      <x v="66"/>
    </i>
    <i>
      <x v="67"/>
    </i>
    <i>
      <x/>
    </i>
    <i>
      <x v="13"/>
    </i>
    <i>
      <x v="9"/>
    </i>
    <i>
      <x v="57"/>
    </i>
    <i>
      <x v="38"/>
    </i>
    <i>
      <x v="63"/>
    </i>
    <i>
      <x v="85"/>
    </i>
    <i>
      <x v="87"/>
    </i>
    <i>
      <x v="1"/>
    </i>
    <i>
      <x v="15"/>
    </i>
    <i>
      <x v="26"/>
    </i>
    <i>
      <x v="16"/>
    </i>
    <i>
      <x v="60"/>
    </i>
    <i>
      <x v="17"/>
    </i>
    <i>
      <x v="7"/>
    </i>
    <i>
      <x v="40"/>
    </i>
    <i>
      <x v="6"/>
    </i>
    <i>
      <x v="48"/>
    </i>
    <i>
      <x v="5"/>
    </i>
    <i>
      <x v="11"/>
    </i>
    <i>
      <x v="51"/>
    </i>
    <i>
      <x v="35"/>
    </i>
    <i>
      <x v="24"/>
    </i>
    <i>
      <x v="105"/>
    </i>
    <i>
      <x v="46"/>
    </i>
    <i>
      <x v="84"/>
    </i>
    <i>
      <x v="93"/>
    </i>
    <i>
      <x v="21"/>
    </i>
    <i>
      <x v="56"/>
    </i>
    <i>
      <x v="104"/>
    </i>
    <i>
      <x v="43"/>
    </i>
    <i>
      <x v="98"/>
    </i>
    <i>
      <x v="71"/>
    </i>
    <i>
      <x v="32"/>
    </i>
    <i>
      <x v="45"/>
    </i>
    <i>
      <x v="89"/>
    </i>
    <i>
      <x v="72"/>
    </i>
    <i>
      <x v="50"/>
    </i>
    <i>
      <x v="41"/>
    </i>
    <i>
      <x v="23"/>
    </i>
    <i>
      <x v="62"/>
    </i>
    <i>
      <x v="74"/>
    </i>
    <i>
      <x v="44"/>
    </i>
    <i>
      <x v="80"/>
    </i>
    <i>
      <x v="103"/>
    </i>
    <i>
      <x v="82"/>
    </i>
    <i>
      <x v="69"/>
    </i>
    <i>
      <x v="25"/>
    </i>
  </rowItems>
  <colItems count="1">
    <i/>
  </colItems>
  <dataFields count="1">
    <dataField name=" Sale Amount" fld="9" showDataAs="percentOfTotal" baseField="0" baseItem="0" numFmtId="10"/>
  </dataFields>
  <chartFormats count="113">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5" count="1" selected="0">
            <x v="75"/>
          </reference>
        </references>
      </pivotArea>
    </chartFormat>
    <chartFormat chart="2" format="9">
      <pivotArea type="data" outline="0" fieldPosition="0">
        <references count="2">
          <reference field="4294967294" count="1" selected="0">
            <x v="0"/>
          </reference>
          <reference field="5" count="1" selected="0">
            <x v="83"/>
          </reference>
        </references>
      </pivotArea>
    </chartFormat>
    <chartFormat chart="2" format="10">
      <pivotArea type="data" outline="0" fieldPosition="0">
        <references count="2">
          <reference field="4294967294" count="1" selected="0">
            <x v="0"/>
          </reference>
          <reference field="5" count="1" selected="0">
            <x v="34"/>
          </reference>
        </references>
      </pivotArea>
    </chartFormat>
    <chartFormat chart="2" format="11">
      <pivotArea type="data" outline="0" fieldPosition="0">
        <references count="2">
          <reference field="4294967294" count="1" selected="0">
            <x v="0"/>
          </reference>
          <reference field="5" count="1" selected="0">
            <x v="59"/>
          </reference>
        </references>
      </pivotArea>
    </chartFormat>
    <chartFormat chart="2" format="12">
      <pivotArea type="data" outline="0" fieldPosition="0">
        <references count="2">
          <reference field="4294967294" count="1" selected="0">
            <x v="0"/>
          </reference>
          <reference field="5" count="1" selected="0">
            <x v="19"/>
          </reference>
        </references>
      </pivotArea>
    </chartFormat>
    <chartFormat chart="0" format="1">
      <pivotArea type="data" outline="0" fieldPosition="0">
        <references count="2">
          <reference field="4294967294" count="1" selected="0">
            <x v="0"/>
          </reference>
          <reference field="5" count="1" selected="0">
            <x v="75"/>
          </reference>
        </references>
      </pivotArea>
    </chartFormat>
    <chartFormat chart="0" format="2">
      <pivotArea type="data" outline="0" fieldPosition="0">
        <references count="2">
          <reference field="4294967294" count="1" selected="0">
            <x v="0"/>
          </reference>
          <reference field="5" count="1" selected="0">
            <x v="83"/>
          </reference>
        </references>
      </pivotArea>
    </chartFormat>
    <chartFormat chart="0" format="3">
      <pivotArea type="data" outline="0" fieldPosition="0">
        <references count="2">
          <reference field="4294967294" count="1" selected="0">
            <x v="0"/>
          </reference>
          <reference field="5" count="1" selected="0">
            <x v="34"/>
          </reference>
        </references>
      </pivotArea>
    </chartFormat>
    <chartFormat chart="0" format="4">
      <pivotArea type="data" outline="0" fieldPosition="0">
        <references count="2">
          <reference field="4294967294" count="1" selected="0">
            <x v="0"/>
          </reference>
          <reference field="5" count="1" selected="0">
            <x v="59"/>
          </reference>
        </references>
      </pivotArea>
    </chartFormat>
    <chartFormat chart="0" format="5">
      <pivotArea type="data" outline="0" fieldPosition="0">
        <references count="2">
          <reference field="4294967294" count="1" selected="0">
            <x v="0"/>
          </reference>
          <reference field="5" count="1" selected="0">
            <x v="19"/>
          </reference>
        </references>
      </pivotArea>
    </chartFormat>
    <chartFormat chart="0" format="107">
      <pivotArea type="data" outline="0" fieldPosition="0">
        <references count="2">
          <reference field="4294967294" count="1" selected="0">
            <x v="0"/>
          </reference>
          <reference field="5" count="1" selected="0">
            <x v="20"/>
          </reference>
        </references>
      </pivotArea>
    </chartFormat>
    <chartFormat chart="0" format="108">
      <pivotArea type="data" outline="0" fieldPosition="0">
        <references count="2">
          <reference field="4294967294" count="1" selected="0">
            <x v="0"/>
          </reference>
          <reference field="5" count="1" selected="0">
            <x v="2"/>
          </reference>
        </references>
      </pivotArea>
    </chartFormat>
    <chartFormat chart="0" format="109">
      <pivotArea type="data" outline="0" fieldPosition="0">
        <references count="2">
          <reference field="4294967294" count="1" selected="0">
            <x v="0"/>
          </reference>
          <reference field="5" count="1" selected="0">
            <x v="55"/>
          </reference>
        </references>
      </pivotArea>
    </chartFormat>
    <chartFormat chart="0" format="110">
      <pivotArea type="data" outline="0" fieldPosition="0">
        <references count="2">
          <reference field="4294967294" count="1" selected="0">
            <x v="0"/>
          </reference>
          <reference field="5" count="1" selected="0">
            <x v="27"/>
          </reference>
        </references>
      </pivotArea>
    </chartFormat>
    <chartFormat chart="0" format="111">
      <pivotArea type="data" outline="0" fieldPosition="0">
        <references count="2">
          <reference field="4294967294" count="1" selected="0">
            <x v="0"/>
          </reference>
          <reference field="5" count="1" selected="0">
            <x v="64"/>
          </reference>
        </references>
      </pivotArea>
    </chartFormat>
    <chartFormat chart="0" format="112">
      <pivotArea type="data" outline="0" fieldPosition="0">
        <references count="2">
          <reference field="4294967294" count="1" selected="0">
            <x v="0"/>
          </reference>
          <reference field="5" count="1" selected="0">
            <x v="36"/>
          </reference>
        </references>
      </pivotArea>
    </chartFormat>
    <chartFormat chart="0" format="113">
      <pivotArea type="data" outline="0" fieldPosition="0">
        <references count="2">
          <reference field="4294967294" count="1" selected="0">
            <x v="0"/>
          </reference>
          <reference field="5" count="1" selected="0">
            <x v="91"/>
          </reference>
        </references>
      </pivotArea>
    </chartFormat>
    <chartFormat chart="0" format="114">
      <pivotArea type="data" outline="0" fieldPosition="0">
        <references count="2">
          <reference field="4294967294" count="1" selected="0">
            <x v="0"/>
          </reference>
          <reference field="5" count="1" selected="0">
            <x v="39"/>
          </reference>
        </references>
      </pivotArea>
    </chartFormat>
    <chartFormat chart="0" format="115">
      <pivotArea type="data" outline="0" fieldPosition="0">
        <references count="2">
          <reference field="4294967294" count="1" selected="0">
            <x v="0"/>
          </reference>
          <reference field="5" count="1" selected="0">
            <x v="95"/>
          </reference>
        </references>
      </pivotArea>
    </chartFormat>
    <chartFormat chart="0" format="116">
      <pivotArea type="data" outline="0" fieldPosition="0">
        <references count="2">
          <reference field="4294967294" count="1" selected="0">
            <x v="0"/>
          </reference>
          <reference field="5" count="1" selected="0">
            <x v="61"/>
          </reference>
        </references>
      </pivotArea>
    </chartFormat>
    <chartFormat chart="0" format="117">
      <pivotArea type="data" outline="0" fieldPosition="0">
        <references count="2">
          <reference field="4294967294" count="1" selected="0">
            <x v="0"/>
          </reference>
          <reference field="5" count="1" selected="0">
            <x v="58"/>
          </reference>
        </references>
      </pivotArea>
    </chartFormat>
    <chartFormat chart="0" format="118">
      <pivotArea type="data" outline="0" fieldPosition="0">
        <references count="2">
          <reference field="4294967294" count="1" selected="0">
            <x v="0"/>
          </reference>
          <reference field="5" count="1" selected="0">
            <x v="78"/>
          </reference>
        </references>
      </pivotArea>
    </chartFormat>
    <chartFormat chart="0" format="119">
      <pivotArea type="data" outline="0" fieldPosition="0">
        <references count="2">
          <reference field="4294967294" count="1" selected="0">
            <x v="0"/>
          </reference>
          <reference field="5" count="1" selected="0">
            <x v="28"/>
          </reference>
        </references>
      </pivotArea>
    </chartFormat>
    <chartFormat chart="0" format="120">
      <pivotArea type="data" outline="0" fieldPosition="0">
        <references count="2">
          <reference field="4294967294" count="1" selected="0">
            <x v="0"/>
          </reference>
          <reference field="5" count="1" selected="0">
            <x v="8"/>
          </reference>
        </references>
      </pivotArea>
    </chartFormat>
    <chartFormat chart="0" format="121">
      <pivotArea type="data" outline="0" fieldPosition="0">
        <references count="2">
          <reference field="4294967294" count="1" selected="0">
            <x v="0"/>
          </reference>
          <reference field="5" count="1" selected="0">
            <x v="65"/>
          </reference>
        </references>
      </pivotArea>
    </chartFormat>
    <chartFormat chart="0" format="122">
      <pivotArea type="data" outline="0" fieldPosition="0">
        <references count="2">
          <reference field="4294967294" count="1" selected="0">
            <x v="0"/>
          </reference>
          <reference field="5" count="1" selected="0">
            <x v="73"/>
          </reference>
        </references>
      </pivotArea>
    </chartFormat>
    <chartFormat chart="0" format="123">
      <pivotArea type="data" outline="0" fieldPosition="0">
        <references count="2">
          <reference field="4294967294" count="1" selected="0">
            <x v="0"/>
          </reference>
          <reference field="5" count="1" selected="0">
            <x v="99"/>
          </reference>
        </references>
      </pivotArea>
    </chartFormat>
    <chartFormat chart="0" format="124">
      <pivotArea type="data" outline="0" fieldPosition="0">
        <references count="2">
          <reference field="4294967294" count="1" selected="0">
            <x v="0"/>
          </reference>
          <reference field="5" count="1" selected="0">
            <x v="86"/>
          </reference>
        </references>
      </pivotArea>
    </chartFormat>
    <chartFormat chart="0" format="125">
      <pivotArea type="data" outline="0" fieldPosition="0">
        <references count="2">
          <reference field="4294967294" count="1" selected="0">
            <x v="0"/>
          </reference>
          <reference field="5" count="1" selected="0">
            <x v="54"/>
          </reference>
        </references>
      </pivotArea>
    </chartFormat>
    <chartFormat chart="0" format="126">
      <pivotArea type="data" outline="0" fieldPosition="0">
        <references count="2">
          <reference field="4294967294" count="1" selected="0">
            <x v="0"/>
          </reference>
          <reference field="5" count="1" selected="0">
            <x v="49"/>
          </reference>
        </references>
      </pivotArea>
    </chartFormat>
    <chartFormat chart="0" format="127">
      <pivotArea type="data" outline="0" fieldPosition="0">
        <references count="2">
          <reference field="4294967294" count="1" selected="0">
            <x v="0"/>
          </reference>
          <reference field="5" count="1" selected="0">
            <x v="31"/>
          </reference>
        </references>
      </pivotArea>
    </chartFormat>
    <chartFormat chart="0" format="128">
      <pivotArea type="data" outline="0" fieldPosition="0">
        <references count="2">
          <reference field="4294967294" count="1" selected="0">
            <x v="0"/>
          </reference>
          <reference field="5" count="1" selected="0">
            <x v="47"/>
          </reference>
        </references>
      </pivotArea>
    </chartFormat>
    <chartFormat chart="0" format="129">
      <pivotArea type="data" outline="0" fieldPosition="0">
        <references count="2">
          <reference field="4294967294" count="1" selected="0">
            <x v="0"/>
          </reference>
          <reference field="5" count="1" selected="0">
            <x v="101"/>
          </reference>
        </references>
      </pivotArea>
    </chartFormat>
    <chartFormat chart="0" format="130">
      <pivotArea type="data" outline="0" fieldPosition="0">
        <references count="2">
          <reference field="4294967294" count="1" selected="0">
            <x v="0"/>
          </reference>
          <reference field="5" count="1" selected="0">
            <x v="10"/>
          </reference>
        </references>
      </pivotArea>
    </chartFormat>
    <chartFormat chart="0" format="131">
      <pivotArea type="data" outline="0" fieldPosition="0">
        <references count="2">
          <reference field="4294967294" count="1" selected="0">
            <x v="0"/>
          </reference>
          <reference field="5" count="1" selected="0">
            <x v="81"/>
          </reference>
        </references>
      </pivotArea>
    </chartFormat>
    <chartFormat chart="0" format="132">
      <pivotArea type="data" outline="0" fieldPosition="0">
        <references count="2">
          <reference field="4294967294" count="1" selected="0">
            <x v="0"/>
          </reference>
          <reference field="5" count="1" selected="0">
            <x v="70"/>
          </reference>
        </references>
      </pivotArea>
    </chartFormat>
    <chartFormat chart="0" format="133">
      <pivotArea type="data" outline="0" fieldPosition="0">
        <references count="2">
          <reference field="4294967294" count="1" selected="0">
            <x v="0"/>
          </reference>
          <reference field="5" count="1" selected="0">
            <x v="37"/>
          </reference>
        </references>
      </pivotArea>
    </chartFormat>
    <chartFormat chart="0" format="134">
      <pivotArea type="data" outline="0" fieldPosition="0">
        <references count="2">
          <reference field="4294967294" count="1" selected="0">
            <x v="0"/>
          </reference>
          <reference field="5" count="1" selected="0">
            <x v="29"/>
          </reference>
        </references>
      </pivotArea>
    </chartFormat>
    <chartFormat chart="0" format="135">
      <pivotArea type="data" outline="0" fieldPosition="0">
        <references count="2">
          <reference field="4294967294" count="1" selected="0">
            <x v="0"/>
          </reference>
          <reference field="5" count="1" selected="0">
            <x v="79"/>
          </reference>
        </references>
      </pivotArea>
    </chartFormat>
    <chartFormat chart="0" format="136">
      <pivotArea type="data" outline="0" fieldPosition="0">
        <references count="2">
          <reference field="4294967294" count="1" selected="0">
            <x v="0"/>
          </reference>
          <reference field="5" count="1" selected="0">
            <x v="102"/>
          </reference>
        </references>
      </pivotArea>
    </chartFormat>
    <chartFormat chart="0" format="137">
      <pivotArea type="data" outline="0" fieldPosition="0">
        <references count="2">
          <reference field="4294967294" count="1" selected="0">
            <x v="0"/>
          </reference>
          <reference field="5" count="1" selected="0">
            <x v="52"/>
          </reference>
        </references>
      </pivotArea>
    </chartFormat>
    <chartFormat chart="0" format="138">
      <pivotArea type="data" outline="0" fieldPosition="0">
        <references count="2">
          <reference field="4294967294" count="1" selected="0">
            <x v="0"/>
          </reference>
          <reference field="5" count="1" selected="0">
            <x v="22"/>
          </reference>
        </references>
      </pivotArea>
    </chartFormat>
    <chartFormat chart="0" format="139">
      <pivotArea type="data" outline="0" fieldPosition="0">
        <references count="2">
          <reference field="4294967294" count="1" selected="0">
            <x v="0"/>
          </reference>
          <reference field="5" count="1" selected="0">
            <x v="92"/>
          </reference>
        </references>
      </pivotArea>
    </chartFormat>
    <chartFormat chart="0" format="140">
      <pivotArea type="data" outline="0" fieldPosition="0">
        <references count="2">
          <reference field="4294967294" count="1" selected="0">
            <x v="0"/>
          </reference>
          <reference field="5" count="1" selected="0">
            <x v="68"/>
          </reference>
        </references>
      </pivotArea>
    </chartFormat>
    <chartFormat chart="0" format="141">
      <pivotArea type="data" outline="0" fieldPosition="0">
        <references count="2">
          <reference field="4294967294" count="1" selected="0">
            <x v="0"/>
          </reference>
          <reference field="5" count="1" selected="0">
            <x v="53"/>
          </reference>
        </references>
      </pivotArea>
    </chartFormat>
    <chartFormat chart="0" format="142">
      <pivotArea type="data" outline="0" fieldPosition="0">
        <references count="2">
          <reference field="4294967294" count="1" selected="0">
            <x v="0"/>
          </reference>
          <reference field="5" count="1" selected="0">
            <x v="4"/>
          </reference>
        </references>
      </pivotArea>
    </chartFormat>
    <chartFormat chart="0" format="143">
      <pivotArea type="data" outline="0" fieldPosition="0">
        <references count="2">
          <reference field="4294967294" count="1" selected="0">
            <x v="0"/>
          </reference>
          <reference field="5" count="1" selected="0">
            <x v="30"/>
          </reference>
        </references>
      </pivotArea>
    </chartFormat>
    <chartFormat chart="0" format="144">
      <pivotArea type="data" outline="0" fieldPosition="0">
        <references count="2">
          <reference field="4294967294" count="1" selected="0">
            <x v="0"/>
          </reference>
          <reference field="5" count="1" selected="0">
            <x v="77"/>
          </reference>
        </references>
      </pivotArea>
    </chartFormat>
    <chartFormat chart="0" format="145">
      <pivotArea type="data" outline="0" fieldPosition="0">
        <references count="2">
          <reference field="4294967294" count="1" selected="0">
            <x v="0"/>
          </reference>
          <reference field="5" count="1" selected="0">
            <x v="14"/>
          </reference>
        </references>
      </pivotArea>
    </chartFormat>
    <chartFormat chart="0" format="146">
      <pivotArea type="data" outline="0" fieldPosition="0">
        <references count="2">
          <reference field="4294967294" count="1" selected="0">
            <x v="0"/>
          </reference>
          <reference field="5" count="1" selected="0">
            <x v="94"/>
          </reference>
        </references>
      </pivotArea>
    </chartFormat>
    <chartFormat chart="0" format="147">
      <pivotArea type="data" outline="0" fieldPosition="0">
        <references count="2">
          <reference field="4294967294" count="1" selected="0">
            <x v="0"/>
          </reference>
          <reference field="5" count="1" selected="0">
            <x v="18"/>
          </reference>
        </references>
      </pivotArea>
    </chartFormat>
    <chartFormat chart="0" format="148">
      <pivotArea type="data" outline="0" fieldPosition="0">
        <references count="2">
          <reference field="4294967294" count="1" selected="0">
            <x v="0"/>
          </reference>
          <reference field="5" count="1" selected="0">
            <x v="96"/>
          </reference>
        </references>
      </pivotArea>
    </chartFormat>
    <chartFormat chart="0" format="149">
      <pivotArea type="data" outline="0" fieldPosition="0">
        <references count="2">
          <reference field="4294967294" count="1" selected="0">
            <x v="0"/>
          </reference>
          <reference field="5" count="1" selected="0">
            <x v="97"/>
          </reference>
        </references>
      </pivotArea>
    </chartFormat>
    <chartFormat chart="0" format="150">
      <pivotArea type="data" outline="0" fieldPosition="0">
        <references count="2">
          <reference field="4294967294" count="1" selected="0">
            <x v="0"/>
          </reference>
          <reference field="5" count="1" selected="0">
            <x v="90"/>
          </reference>
        </references>
      </pivotArea>
    </chartFormat>
    <chartFormat chart="0" format="151">
      <pivotArea type="data" outline="0" fieldPosition="0">
        <references count="2">
          <reference field="4294967294" count="1" selected="0">
            <x v="0"/>
          </reference>
          <reference field="5" count="1" selected="0">
            <x v="33"/>
          </reference>
        </references>
      </pivotArea>
    </chartFormat>
    <chartFormat chart="0" format="152">
      <pivotArea type="data" outline="0" fieldPosition="0">
        <references count="2">
          <reference field="4294967294" count="1" selected="0">
            <x v="0"/>
          </reference>
          <reference field="5" count="1" selected="0">
            <x v="3"/>
          </reference>
        </references>
      </pivotArea>
    </chartFormat>
    <chartFormat chart="0" format="153">
      <pivotArea type="data" outline="0" fieldPosition="0">
        <references count="2">
          <reference field="4294967294" count="1" selected="0">
            <x v="0"/>
          </reference>
          <reference field="5" count="1" selected="0">
            <x v="42"/>
          </reference>
        </references>
      </pivotArea>
    </chartFormat>
    <chartFormat chart="0" format="154">
      <pivotArea type="data" outline="0" fieldPosition="0">
        <references count="2">
          <reference field="4294967294" count="1" selected="0">
            <x v="0"/>
          </reference>
          <reference field="5" count="1" selected="0">
            <x v="88"/>
          </reference>
        </references>
      </pivotArea>
    </chartFormat>
    <chartFormat chart="0" format="155">
      <pivotArea type="data" outline="0" fieldPosition="0">
        <references count="2">
          <reference field="4294967294" count="1" selected="0">
            <x v="0"/>
          </reference>
          <reference field="5" count="1" selected="0">
            <x v="12"/>
          </reference>
        </references>
      </pivotArea>
    </chartFormat>
    <chartFormat chart="0" format="156">
      <pivotArea type="data" outline="0" fieldPosition="0">
        <references count="2">
          <reference field="4294967294" count="1" selected="0">
            <x v="0"/>
          </reference>
          <reference field="5" count="1" selected="0">
            <x v="100"/>
          </reference>
        </references>
      </pivotArea>
    </chartFormat>
    <chartFormat chart="0" format="157">
      <pivotArea type="data" outline="0" fieldPosition="0">
        <references count="2">
          <reference field="4294967294" count="1" selected="0">
            <x v="0"/>
          </reference>
          <reference field="5" count="1" selected="0">
            <x v="76"/>
          </reference>
        </references>
      </pivotArea>
    </chartFormat>
    <chartFormat chart="0" format="158">
      <pivotArea type="data" outline="0" fieldPosition="0">
        <references count="2">
          <reference field="4294967294" count="1" selected="0">
            <x v="0"/>
          </reference>
          <reference field="5" count="1" selected="0">
            <x v="66"/>
          </reference>
        </references>
      </pivotArea>
    </chartFormat>
    <chartFormat chart="0" format="159">
      <pivotArea type="data" outline="0" fieldPosition="0">
        <references count="2">
          <reference field="4294967294" count="1" selected="0">
            <x v="0"/>
          </reference>
          <reference field="5" count="1" selected="0">
            <x v="67"/>
          </reference>
        </references>
      </pivotArea>
    </chartFormat>
    <chartFormat chart="0" format="160">
      <pivotArea type="data" outline="0" fieldPosition="0">
        <references count="2">
          <reference field="4294967294" count="1" selected="0">
            <x v="0"/>
          </reference>
          <reference field="5" count="1" selected="0">
            <x v="0"/>
          </reference>
        </references>
      </pivotArea>
    </chartFormat>
    <chartFormat chart="0" format="161">
      <pivotArea type="data" outline="0" fieldPosition="0">
        <references count="2">
          <reference field="4294967294" count="1" selected="0">
            <x v="0"/>
          </reference>
          <reference field="5" count="1" selected="0">
            <x v="13"/>
          </reference>
        </references>
      </pivotArea>
    </chartFormat>
    <chartFormat chart="0" format="162">
      <pivotArea type="data" outline="0" fieldPosition="0">
        <references count="2">
          <reference field="4294967294" count="1" selected="0">
            <x v="0"/>
          </reference>
          <reference field="5" count="1" selected="0">
            <x v="9"/>
          </reference>
        </references>
      </pivotArea>
    </chartFormat>
    <chartFormat chart="0" format="163">
      <pivotArea type="data" outline="0" fieldPosition="0">
        <references count="2">
          <reference field="4294967294" count="1" selected="0">
            <x v="0"/>
          </reference>
          <reference field="5" count="1" selected="0">
            <x v="57"/>
          </reference>
        </references>
      </pivotArea>
    </chartFormat>
    <chartFormat chart="0" format="164">
      <pivotArea type="data" outline="0" fieldPosition="0">
        <references count="2">
          <reference field="4294967294" count="1" selected="0">
            <x v="0"/>
          </reference>
          <reference field="5" count="1" selected="0">
            <x v="38"/>
          </reference>
        </references>
      </pivotArea>
    </chartFormat>
    <chartFormat chart="0" format="165">
      <pivotArea type="data" outline="0" fieldPosition="0">
        <references count="2">
          <reference field="4294967294" count="1" selected="0">
            <x v="0"/>
          </reference>
          <reference field="5" count="1" selected="0">
            <x v="63"/>
          </reference>
        </references>
      </pivotArea>
    </chartFormat>
    <chartFormat chart="0" format="166">
      <pivotArea type="data" outline="0" fieldPosition="0">
        <references count="2">
          <reference field="4294967294" count="1" selected="0">
            <x v="0"/>
          </reference>
          <reference field="5" count="1" selected="0">
            <x v="85"/>
          </reference>
        </references>
      </pivotArea>
    </chartFormat>
    <chartFormat chart="0" format="167">
      <pivotArea type="data" outline="0" fieldPosition="0">
        <references count="2">
          <reference field="4294967294" count="1" selected="0">
            <x v="0"/>
          </reference>
          <reference field="5" count="1" selected="0">
            <x v="87"/>
          </reference>
        </references>
      </pivotArea>
    </chartFormat>
    <chartFormat chart="0" format="168">
      <pivotArea type="data" outline="0" fieldPosition="0">
        <references count="2">
          <reference field="4294967294" count="1" selected="0">
            <x v="0"/>
          </reference>
          <reference field="5" count="1" selected="0">
            <x v="1"/>
          </reference>
        </references>
      </pivotArea>
    </chartFormat>
    <chartFormat chart="0" format="169">
      <pivotArea type="data" outline="0" fieldPosition="0">
        <references count="2">
          <reference field="4294967294" count="1" selected="0">
            <x v="0"/>
          </reference>
          <reference field="5" count="1" selected="0">
            <x v="15"/>
          </reference>
        </references>
      </pivotArea>
    </chartFormat>
    <chartFormat chart="0" format="170">
      <pivotArea type="data" outline="0" fieldPosition="0">
        <references count="2">
          <reference field="4294967294" count="1" selected="0">
            <x v="0"/>
          </reference>
          <reference field="5" count="1" selected="0">
            <x v="26"/>
          </reference>
        </references>
      </pivotArea>
    </chartFormat>
    <chartFormat chart="0" format="171">
      <pivotArea type="data" outline="0" fieldPosition="0">
        <references count="2">
          <reference field="4294967294" count="1" selected="0">
            <x v="0"/>
          </reference>
          <reference field="5" count="1" selected="0">
            <x v="16"/>
          </reference>
        </references>
      </pivotArea>
    </chartFormat>
    <chartFormat chart="0" format="172">
      <pivotArea type="data" outline="0" fieldPosition="0">
        <references count="2">
          <reference field="4294967294" count="1" selected="0">
            <x v="0"/>
          </reference>
          <reference field="5" count="1" selected="0">
            <x v="60"/>
          </reference>
        </references>
      </pivotArea>
    </chartFormat>
    <chartFormat chart="0" format="173">
      <pivotArea type="data" outline="0" fieldPosition="0">
        <references count="2">
          <reference field="4294967294" count="1" selected="0">
            <x v="0"/>
          </reference>
          <reference field="5" count="1" selected="0">
            <x v="17"/>
          </reference>
        </references>
      </pivotArea>
    </chartFormat>
    <chartFormat chart="0" format="174">
      <pivotArea type="data" outline="0" fieldPosition="0">
        <references count="2">
          <reference field="4294967294" count="1" selected="0">
            <x v="0"/>
          </reference>
          <reference field="5" count="1" selected="0">
            <x v="7"/>
          </reference>
        </references>
      </pivotArea>
    </chartFormat>
    <chartFormat chart="0" format="175">
      <pivotArea type="data" outline="0" fieldPosition="0">
        <references count="2">
          <reference field="4294967294" count="1" selected="0">
            <x v="0"/>
          </reference>
          <reference field="5" count="1" selected="0">
            <x v="40"/>
          </reference>
        </references>
      </pivotArea>
    </chartFormat>
    <chartFormat chart="0" format="176">
      <pivotArea type="data" outline="0" fieldPosition="0">
        <references count="2">
          <reference field="4294967294" count="1" selected="0">
            <x v="0"/>
          </reference>
          <reference field="5" count="1" selected="0">
            <x v="6"/>
          </reference>
        </references>
      </pivotArea>
    </chartFormat>
    <chartFormat chart="0" format="177">
      <pivotArea type="data" outline="0" fieldPosition="0">
        <references count="2">
          <reference field="4294967294" count="1" selected="0">
            <x v="0"/>
          </reference>
          <reference field="5" count="1" selected="0">
            <x v="48"/>
          </reference>
        </references>
      </pivotArea>
    </chartFormat>
    <chartFormat chart="0" format="178">
      <pivotArea type="data" outline="0" fieldPosition="0">
        <references count="2">
          <reference field="4294967294" count="1" selected="0">
            <x v="0"/>
          </reference>
          <reference field="5" count="1" selected="0">
            <x v="5"/>
          </reference>
        </references>
      </pivotArea>
    </chartFormat>
    <chartFormat chart="0" format="179">
      <pivotArea type="data" outline="0" fieldPosition="0">
        <references count="2">
          <reference field="4294967294" count="1" selected="0">
            <x v="0"/>
          </reference>
          <reference field="5" count="1" selected="0">
            <x v="11"/>
          </reference>
        </references>
      </pivotArea>
    </chartFormat>
    <chartFormat chart="0" format="180">
      <pivotArea type="data" outline="0" fieldPosition="0">
        <references count="2">
          <reference field="4294967294" count="1" selected="0">
            <x v="0"/>
          </reference>
          <reference field="5" count="1" selected="0">
            <x v="51"/>
          </reference>
        </references>
      </pivotArea>
    </chartFormat>
    <chartFormat chart="0" format="181">
      <pivotArea type="data" outline="0" fieldPosition="0">
        <references count="2">
          <reference field="4294967294" count="1" selected="0">
            <x v="0"/>
          </reference>
          <reference field="5" count="1" selected="0">
            <x v="35"/>
          </reference>
        </references>
      </pivotArea>
    </chartFormat>
    <chartFormat chart="0" format="182">
      <pivotArea type="data" outline="0" fieldPosition="0">
        <references count="2">
          <reference field="4294967294" count="1" selected="0">
            <x v="0"/>
          </reference>
          <reference field="5" count="1" selected="0">
            <x v="24"/>
          </reference>
        </references>
      </pivotArea>
    </chartFormat>
    <chartFormat chart="0" format="183">
      <pivotArea type="data" outline="0" fieldPosition="0">
        <references count="2">
          <reference field="4294967294" count="1" selected="0">
            <x v="0"/>
          </reference>
          <reference field="5" count="1" selected="0">
            <x v="105"/>
          </reference>
        </references>
      </pivotArea>
    </chartFormat>
    <chartFormat chart="0" format="184">
      <pivotArea type="data" outline="0" fieldPosition="0">
        <references count="2">
          <reference field="4294967294" count="1" selected="0">
            <x v="0"/>
          </reference>
          <reference field="5" count="1" selected="0">
            <x v="46"/>
          </reference>
        </references>
      </pivotArea>
    </chartFormat>
    <chartFormat chart="0" format="185">
      <pivotArea type="data" outline="0" fieldPosition="0">
        <references count="2">
          <reference field="4294967294" count="1" selected="0">
            <x v="0"/>
          </reference>
          <reference field="5" count="1" selected="0">
            <x v="84"/>
          </reference>
        </references>
      </pivotArea>
    </chartFormat>
    <chartFormat chart="0" format="186">
      <pivotArea type="data" outline="0" fieldPosition="0">
        <references count="2">
          <reference field="4294967294" count="1" selected="0">
            <x v="0"/>
          </reference>
          <reference field="5" count="1" selected="0">
            <x v="93"/>
          </reference>
        </references>
      </pivotArea>
    </chartFormat>
    <chartFormat chart="0" format="187">
      <pivotArea type="data" outline="0" fieldPosition="0">
        <references count="2">
          <reference field="4294967294" count="1" selected="0">
            <x v="0"/>
          </reference>
          <reference field="5" count="1" selected="0">
            <x v="21"/>
          </reference>
        </references>
      </pivotArea>
    </chartFormat>
    <chartFormat chart="0" format="188">
      <pivotArea type="data" outline="0" fieldPosition="0">
        <references count="2">
          <reference field="4294967294" count="1" selected="0">
            <x v="0"/>
          </reference>
          <reference field="5" count="1" selected="0">
            <x v="56"/>
          </reference>
        </references>
      </pivotArea>
    </chartFormat>
    <chartFormat chart="0" format="189">
      <pivotArea type="data" outline="0" fieldPosition="0">
        <references count="2">
          <reference field="4294967294" count="1" selected="0">
            <x v="0"/>
          </reference>
          <reference field="5" count="1" selected="0">
            <x v="104"/>
          </reference>
        </references>
      </pivotArea>
    </chartFormat>
    <chartFormat chart="0" format="190">
      <pivotArea type="data" outline="0" fieldPosition="0">
        <references count="2">
          <reference field="4294967294" count="1" selected="0">
            <x v="0"/>
          </reference>
          <reference field="5" count="1" selected="0">
            <x v="43"/>
          </reference>
        </references>
      </pivotArea>
    </chartFormat>
    <chartFormat chart="0" format="191">
      <pivotArea type="data" outline="0" fieldPosition="0">
        <references count="2">
          <reference field="4294967294" count="1" selected="0">
            <x v="0"/>
          </reference>
          <reference field="5" count="1" selected="0">
            <x v="98"/>
          </reference>
        </references>
      </pivotArea>
    </chartFormat>
    <chartFormat chart="0" format="192">
      <pivotArea type="data" outline="0" fieldPosition="0">
        <references count="2">
          <reference field="4294967294" count="1" selected="0">
            <x v="0"/>
          </reference>
          <reference field="5" count="1" selected="0">
            <x v="71"/>
          </reference>
        </references>
      </pivotArea>
    </chartFormat>
    <chartFormat chart="0" format="193">
      <pivotArea type="data" outline="0" fieldPosition="0">
        <references count="2">
          <reference field="4294967294" count="1" selected="0">
            <x v="0"/>
          </reference>
          <reference field="5" count="1" selected="0">
            <x v="32"/>
          </reference>
        </references>
      </pivotArea>
    </chartFormat>
    <chartFormat chart="0" format="194">
      <pivotArea type="data" outline="0" fieldPosition="0">
        <references count="2">
          <reference field="4294967294" count="1" selected="0">
            <x v="0"/>
          </reference>
          <reference field="5" count="1" selected="0">
            <x v="45"/>
          </reference>
        </references>
      </pivotArea>
    </chartFormat>
    <chartFormat chart="0" format="195">
      <pivotArea type="data" outline="0" fieldPosition="0">
        <references count="2">
          <reference field="4294967294" count="1" selected="0">
            <x v="0"/>
          </reference>
          <reference field="5" count="1" selected="0">
            <x v="89"/>
          </reference>
        </references>
      </pivotArea>
    </chartFormat>
    <chartFormat chart="0" format="196">
      <pivotArea type="data" outline="0" fieldPosition="0">
        <references count="2">
          <reference field="4294967294" count="1" selected="0">
            <x v="0"/>
          </reference>
          <reference field="5" count="1" selected="0">
            <x v="72"/>
          </reference>
        </references>
      </pivotArea>
    </chartFormat>
    <chartFormat chart="0" format="197">
      <pivotArea type="data" outline="0" fieldPosition="0">
        <references count="2">
          <reference field="4294967294" count="1" selected="0">
            <x v="0"/>
          </reference>
          <reference field="5" count="1" selected="0">
            <x v="50"/>
          </reference>
        </references>
      </pivotArea>
    </chartFormat>
    <chartFormat chart="0" format="198">
      <pivotArea type="data" outline="0" fieldPosition="0">
        <references count="2">
          <reference field="4294967294" count="1" selected="0">
            <x v="0"/>
          </reference>
          <reference field="5" count="1" selected="0">
            <x v="41"/>
          </reference>
        </references>
      </pivotArea>
    </chartFormat>
    <chartFormat chart="0" format="199">
      <pivotArea type="data" outline="0" fieldPosition="0">
        <references count="2">
          <reference field="4294967294" count="1" selected="0">
            <x v="0"/>
          </reference>
          <reference field="5" count="1" selected="0">
            <x v="23"/>
          </reference>
        </references>
      </pivotArea>
    </chartFormat>
    <chartFormat chart="0" format="200">
      <pivotArea type="data" outline="0" fieldPosition="0">
        <references count="2">
          <reference field="4294967294" count="1" selected="0">
            <x v="0"/>
          </reference>
          <reference field="5" count="1" selected="0">
            <x v="62"/>
          </reference>
        </references>
      </pivotArea>
    </chartFormat>
    <chartFormat chart="0" format="201">
      <pivotArea type="data" outline="0" fieldPosition="0">
        <references count="2">
          <reference field="4294967294" count="1" selected="0">
            <x v="0"/>
          </reference>
          <reference field="5" count="1" selected="0">
            <x v="74"/>
          </reference>
        </references>
      </pivotArea>
    </chartFormat>
    <chartFormat chart="0" format="202">
      <pivotArea type="data" outline="0" fieldPosition="0">
        <references count="2">
          <reference field="4294967294" count="1" selected="0">
            <x v="0"/>
          </reference>
          <reference field="5" count="1" selected="0">
            <x v="44"/>
          </reference>
        </references>
      </pivotArea>
    </chartFormat>
    <chartFormat chart="0" format="203">
      <pivotArea type="data" outline="0" fieldPosition="0">
        <references count="2">
          <reference field="4294967294" count="1" selected="0">
            <x v="0"/>
          </reference>
          <reference field="5" count="1" selected="0">
            <x v="80"/>
          </reference>
        </references>
      </pivotArea>
    </chartFormat>
    <chartFormat chart="0" format="204">
      <pivotArea type="data" outline="0" fieldPosition="0">
        <references count="2">
          <reference field="4294967294" count="1" selected="0">
            <x v="0"/>
          </reference>
          <reference field="5" count="1" selected="0">
            <x v="103"/>
          </reference>
        </references>
      </pivotArea>
    </chartFormat>
    <chartFormat chart="0" format="205">
      <pivotArea type="data" outline="0" fieldPosition="0">
        <references count="2">
          <reference field="4294967294" count="1" selected="0">
            <x v="0"/>
          </reference>
          <reference field="5" count="1" selected="0">
            <x v="82"/>
          </reference>
        </references>
      </pivotArea>
    </chartFormat>
    <chartFormat chart="0" format="206">
      <pivotArea type="data" outline="0" fieldPosition="0">
        <references count="2">
          <reference field="4294967294" count="1" selected="0">
            <x v="0"/>
          </reference>
          <reference field="5" count="1" selected="0">
            <x v="69"/>
          </reference>
        </references>
      </pivotArea>
    </chartFormat>
    <chartFormat chart="0" format="207">
      <pivotArea type="data" outline="0" fieldPosition="0">
        <references count="2">
          <reference field="4294967294" count="1" selected="0">
            <x v="0"/>
          </reference>
          <reference field="5" count="1" selected="0">
            <x v="2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A79FBFC-CE95-429C-B978-D7F1DF5323C1}" name="PivotTable12" cacheId="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AU4:AV8" firstHeaderRow="1" firstDataRow="1" firstDataCol="1"/>
  <pivotFields count="5">
    <pivotField showAll="0"/>
    <pivotField showAll="0">
      <items count="5">
        <item x="1"/>
        <item x="2"/>
        <item x="3"/>
        <item x="0"/>
        <item t="default"/>
      </items>
    </pivotField>
    <pivotField axis="axisRow" showAll="0" sortType="descending">
      <items count="10">
        <item m="1" x="6"/>
        <item m="1" x="4"/>
        <item m="1" x="5"/>
        <item m="1" x="8"/>
        <item m="1" x="7"/>
        <item x="0"/>
        <item x="1"/>
        <item x="2"/>
        <item x="3"/>
        <item t="default"/>
      </items>
      <autoSortScope>
        <pivotArea dataOnly="0" outline="0" fieldPosition="0">
          <references count="1">
            <reference field="4294967294" count="1" selected="0">
              <x v="0"/>
            </reference>
          </references>
        </pivotArea>
      </autoSortScope>
    </pivotField>
    <pivotField dataField="1" showAll="0"/>
    <pivotField showAll="0"/>
  </pivotFields>
  <rowFields count="1">
    <field x="2"/>
  </rowFields>
  <rowItems count="4">
    <i>
      <x v="7"/>
    </i>
    <i>
      <x v="6"/>
    </i>
    <i>
      <x v="8"/>
    </i>
    <i>
      <x v="5"/>
    </i>
  </rowItems>
  <colItems count="1">
    <i/>
  </colItems>
  <dataFields count="1">
    <dataField name="Sum of Amount" fld="3" baseField="0" baseItem="0"/>
  </dataFields>
  <chartFormats count="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27EBC86-03B4-4253-9BA0-0F0AF23CC5FF}" name="PivotTable2"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Town">
  <location ref="E4:H110" firstHeaderRow="0" firstDataRow="1" firstDataCol="1"/>
  <pivotFields count="9">
    <pivotField showAll="0"/>
    <pivotField numFmtId="22" showAll="0"/>
    <pivotField axis="axisRow" showAll="0">
      <items count="107">
        <item x="60"/>
        <item x="47"/>
        <item x="9"/>
        <item x="25"/>
        <item x="20"/>
        <item x="59"/>
        <item x="56"/>
        <item x="75"/>
        <item x="24"/>
        <item x="93"/>
        <item x="67"/>
        <item x="91"/>
        <item x="28"/>
        <item x="69"/>
        <item x="53"/>
        <item x="48"/>
        <item x="50"/>
        <item x="51"/>
        <item x="41"/>
        <item x="1"/>
        <item x="4"/>
        <item x="78"/>
        <item x="16"/>
        <item x="97"/>
        <item x="68"/>
        <item x="105"/>
        <item x="89"/>
        <item x="8"/>
        <item x="49"/>
        <item x="35"/>
        <item x="37"/>
        <item x="11"/>
        <item x="85"/>
        <item x="36"/>
        <item x="2"/>
        <item x="65"/>
        <item x="12"/>
        <item x="42"/>
        <item x="71"/>
        <item x="34"/>
        <item x="54"/>
        <item x="96"/>
        <item x="27"/>
        <item x="81"/>
        <item x="100"/>
        <item x="86"/>
        <item x="73"/>
        <item x="19"/>
        <item x="57"/>
        <item x="64"/>
        <item x="94"/>
        <item x="61"/>
        <item x="30"/>
        <item x="70"/>
        <item x="21"/>
        <item x="5"/>
        <item x="79"/>
        <item x="43"/>
        <item x="17"/>
        <item x="3"/>
        <item x="76"/>
        <item x="14"/>
        <item x="98"/>
        <item x="45"/>
        <item x="44"/>
        <item x="13"/>
        <item x="31"/>
        <item x="32"/>
        <item x="55"/>
        <item x="104"/>
        <item x="18"/>
        <item x="84"/>
        <item x="92"/>
        <item x="7"/>
        <item x="99"/>
        <item x="0"/>
        <item x="29"/>
        <item x="39"/>
        <item x="33"/>
        <item x="52"/>
        <item x="88"/>
        <item x="38"/>
        <item x="102"/>
        <item x="10"/>
        <item x="74"/>
        <item x="46"/>
        <item x="26"/>
        <item x="72"/>
        <item x="58"/>
        <item x="103"/>
        <item x="82"/>
        <item x="15"/>
        <item x="66"/>
        <item x="77"/>
        <item x="62"/>
        <item x="6"/>
        <item x="87"/>
        <item x="23"/>
        <item x="83"/>
        <item x="40"/>
        <item x="90"/>
        <item x="22"/>
        <item x="63"/>
        <item x="101"/>
        <item x="80"/>
        <item x="95"/>
        <item t="default"/>
      </items>
    </pivotField>
    <pivotField showAll="0"/>
    <pivotField showAll="0"/>
    <pivotField dataField="1" showAll="0">
      <items count="238">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showAll="0"/>
    <pivotField showAll="0"/>
    <pivotField showAll="0">
      <items count="5">
        <item x="3"/>
        <item x="1"/>
        <item x="0"/>
        <item x="2"/>
        <item t="default"/>
      </items>
    </pivotField>
  </pivotFields>
  <rowFields count="1">
    <field x="2"/>
  </rowFields>
  <rowItems count="10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rowItems>
  <colFields count="1">
    <field x="-2"/>
  </colFields>
  <colItems count="3">
    <i>
      <x/>
    </i>
    <i i="1">
      <x v="1"/>
    </i>
    <i i="2">
      <x v="2"/>
    </i>
  </colItems>
  <dataFields count="3">
    <dataField name="Sum of Sale Amount" fld="5" baseField="0" baseItem="0"/>
    <dataField name="Average of Sales Ratio" fld="6" subtotal="average" baseField="0" baseItem="1"/>
    <dataField name="Count of Sale Amount2" fld="5" subtotal="count"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32C6793-57E0-4F63-B99E-5927AE15E068}" name="PivotTable20" cacheId="10" applyNumberFormats="0" applyBorderFormats="0" applyFontFormats="0" applyPatternFormats="0" applyAlignmentFormats="0" applyWidthHeightFormats="1" dataCaption="Values" updatedVersion="8" minRefreshableVersion="3" useAutoFormatting="1" colGrandTotals="0" itemPrintTitles="1" createdVersion="8" indent="0" multipleFieldFilters="0" colHeaderCaption="Iinitial  ">
  <location ref="BP23:BS39" firstHeaderRow="1" firstDataRow="3" firstDataCol="1"/>
  <pivotFields count="16">
    <pivotField showAll="0"/>
    <pivotField showAll="0"/>
    <pivotField showAll="0"/>
    <pivotField showAll="0"/>
    <pivotField showAll="0"/>
    <pivotField name="Town " axis="axisRow" showAll="0">
      <items count="107">
        <item x="60"/>
        <item x="47"/>
        <item x="9"/>
        <item x="23"/>
        <item x="19"/>
        <item x="59"/>
        <item x="56"/>
        <item x="75"/>
        <item x="22"/>
        <item x="91"/>
        <item x="67"/>
        <item x="89"/>
        <item x="26"/>
        <item x="69"/>
        <item x="53"/>
        <item x="48"/>
        <item x="50"/>
        <item x="51"/>
        <item x="41"/>
        <item x="1"/>
        <item x="4"/>
        <item x="78"/>
        <item x="15"/>
        <item x="96"/>
        <item x="68"/>
        <item x="105"/>
        <item x="87"/>
        <item x="8"/>
        <item x="49"/>
        <item x="35"/>
        <item x="36"/>
        <item x="31"/>
        <item x="85"/>
        <item x="34"/>
        <item x="2"/>
        <item x="65"/>
        <item x="11"/>
        <item x="40"/>
        <item x="71"/>
        <item x="33"/>
        <item x="55"/>
        <item x="95"/>
        <item x="25"/>
        <item x="81"/>
        <item x="99"/>
        <item x="86"/>
        <item x="73"/>
        <item x="18"/>
        <item x="57"/>
        <item x="64"/>
        <item x="92"/>
        <item x="61"/>
        <item x="27"/>
        <item x="70"/>
        <item x="43"/>
        <item x="5"/>
        <item x="79"/>
        <item x="42"/>
        <item x="16"/>
        <item x="3"/>
        <item x="76"/>
        <item x="13"/>
        <item x="97"/>
        <item x="45"/>
        <item x="44"/>
        <item x="12"/>
        <item x="29"/>
        <item x="30"/>
        <item x="54"/>
        <item x="104"/>
        <item x="17"/>
        <item x="84"/>
        <item x="90"/>
        <item x="7"/>
        <item x="98"/>
        <item x="0"/>
        <item x="28"/>
        <item x="38"/>
        <item x="32"/>
        <item x="52"/>
        <item x="100"/>
        <item x="37"/>
        <item x="102"/>
        <item x="10"/>
        <item x="74"/>
        <item x="46"/>
        <item x="24"/>
        <item x="72"/>
        <item x="58"/>
        <item x="103"/>
        <item x="82"/>
        <item x="14"/>
        <item x="66"/>
        <item x="77"/>
        <item x="62"/>
        <item x="6"/>
        <item x="94"/>
        <item x="21"/>
        <item x="83"/>
        <item x="39"/>
        <item x="88"/>
        <item x="20"/>
        <item x="63"/>
        <item x="101"/>
        <item x="80"/>
        <item x="93"/>
        <item t="default"/>
      </items>
    </pivotField>
    <pivotField showAll="0"/>
    <pivotField showAll="0"/>
    <pivotField showAll="0"/>
    <pivotField dataField="1" showAll="0"/>
    <pivotField showAll="0"/>
    <pivotField showAll="0"/>
    <pivotField name="Property Type " axis="axisCol" showAll="0">
      <items count="5">
        <item x="3"/>
        <item x="1"/>
        <item x="0"/>
        <item x="2"/>
        <item t="default"/>
      </items>
    </pivotField>
    <pivotField showAll="0"/>
    <pivotField showAll="0"/>
    <pivotField name="Town initials PQ " axis="axisCol" showAll="0">
      <items count="20">
        <item h="1" x="7"/>
        <item h="1" x="12"/>
        <item h="1" x="1"/>
        <item h="1" x="4"/>
        <item h="1" x="6"/>
        <item h="1" x="15"/>
        <item h="1" x="2"/>
        <item h="1" x="16"/>
        <item h="1" x="13"/>
        <item h="1" x="18"/>
        <item h="1" x="11"/>
        <item h="1" x="3"/>
        <item h="1" x="14"/>
        <item h="1" x="10"/>
        <item h="1" x="0"/>
        <item h="1" x="8"/>
        <item h="1" x="9"/>
        <item h="1" x="17"/>
        <item x="5"/>
        <item t="default"/>
      </items>
    </pivotField>
  </pivotFields>
  <rowFields count="1">
    <field x="5"/>
  </rowFields>
  <rowItems count="14">
    <i>
      <x v="93"/>
    </i>
    <i>
      <x v="94"/>
    </i>
    <i>
      <x v="95"/>
    </i>
    <i>
      <x v="96"/>
    </i>
    <i>
      <x v="97"/>
    </i>
    <i>
      <x v="98"/>
    </i>
    <i>
      <x v="99"/>
    </i>
    <i>
      <x v="100"/>
    </i>
    <i>
      <x v="101"/>
    </i>
    <i>
      <x v="102"/>
    </i>
    <i>
      <x v="103"/>
    </i>
    <i>
      <x v="104"/>
    </i>
    <i>
      <x v="105"/>
    </i>
    <i t="grand">
      <x/>
    </i>
  </rowItems>
  <colFields count="2">
    <field x="15"/>
    <field x="12"/>
  </colFields>
  <colItems count="3">
    <i>
      <x v="18"/>
      <x v="2"/>
    </i>
    <i r="1">
      <x v="3"/>
    </i>
    <i t="default">
      <x v="18"/>
    </i>
  </colItems>
  <dataFields count="1">
    <dataField name="Sum of Sale Am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08DAD64-DB56-4EA4-BCA3-1E53E4E8C1C9}" name="PivotTable18" cacheId="9"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16:C33" firstHeaderRow="1" firstDataRow="1" firstDataCol="0"/>
  <pivotFields count="1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6" xr16:uid="{D7F58F9A-78F7-4B20-8AAC-6D14C4AE676E}" autoFormatId="16" applyNumberFormats="0" applyBorderFormats="0" applyFontFormats="0" applyPatternFormats="0" applyAlignmentFormats="0" applyWidthHeightFormats="0">
  <queryTableRefresh nextId="3">
    <queryTableFields count="2">
      <queryTableField id="1" name="Town" tableColumnId="1"/>
      <queryTableField id="2" name="Overvalued Count"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1" xr16:uid="{3D85A58F-E463-4E23-A712-B0194440DF55}" autoFormatId="16" applyNumberFormats="0" applyBorderFormats="0" applyFontFormats="0" applyPatternFormats="0" applyAlignmentFormats="0" applyWidthHeightFormats="0">
  <queryTableRefresh nextId="17">
    <queryTableFields count="15">
      <queryTableField id="1" name="Serial Number" tableColumnId="1"/>
      <queryTableField id="2" name="Date Recorded" tableColumnId="2"/>
      <queryTableField id="3" name="Month Name" tableColumnId="3"/>
      <queryTableField id="4" name="Year" tableColumnId="4"/>
      <queryTableField id="5" name="Month/Year" tableColumnId="5"/>
      <queryTableField id="6" name="Town" tableColumnId="6"/>
      <queryTableField id="14" name="Town Initials" tableColumnId="14"/>
      <queryTableField id="7" name="Address" tableColumnId="7"/>
      <queryTableField id="8" name="Assessed Value" tableColumnId="8"/>
      <queryTableField id="9" name="Sale Amount" tableColumnId="9"/>
      <queryTableField id="10" name="Sales Ratio" tableColumnId="10"/>
      <queryTableField id="11" name="Sales Ratio 2" tableColumnId="11"/>
      <queryTableField id="12" name="Property Type" tableColumnId="12"/>
      <queryTableField id="13" name="Value Status" tableColumnId="13"/>
      <queryTableField id="15" name="Column1" tableColumnId="1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19" xr16:uid="{4D3807FA-8E4F-43CE-A740-CF272034AA1E}" autoFormatId="16" applyNumberFormats="0" applyBorderFormats="0" applyFontFormats="0" applyPatternFormats="0" applyAlignmentFormats="0" applyWidthHeightFormats="0">
  <queryTableRefresh nextId="2">
    <queryTableFields count="1">
      <queryTableField id="1" name="Table1_3__3__3" tableColumnId="1"/>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12" xr16:uid="{5DF94340-D09D-4785-B255-92E109566A4C}" autoFormatId="16" applyNumberFormats="0" applyBorderFormats="0" applyFontFormats="0" applyPatternFormats="0" applyAlignmentFormats="0" applyWidthHeightFormats="0">
  <queryTableRefresh nextId="17">
    <queryTableFields count="15">
      <queryTableField id="1" name="Serial Number" tableColumnId="1"/>
      <queryTableField id="2" name="Date Recorded" tableColumnId="2"/>
      <queryTableField id="3" name="Month Name" tableColumnId="3"/>
      <queryTableField id="4" name="Year" tableColumnId="4"/>
      <queryTableField id="5" name="Month/Year" tableColumnId="5"/>
      <queryTableField id="6" name="Town" tableColumnId="6"/>
      <queryTableField id="14" name="Town Initials" tableColumnId="14"/>
      <queryTableField id="7" name="Address" tableColumnId="7"/>
      <queryTableField id="8" name="Assessed Value" tableColumnId="8"/>
      <queryTableField id="9" name="Sale Amount" tableColumnId="9"/>
      <queryTableField id="10" name="Sales Ratio" tableColumnId="10"/>
      <queryTableField id="11" name="Sales Ratio 2" tableColumnId="11"/>
      <queryTableField id="12" name="Property Type" tableColumnId="12"/>
      <queryTableField id="13" name="Value Status" tableColumnId="13"/>
      <queryTableField id="15" name="Column1" tableColumnId="15"/>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13" xr16:uid="{0800585B-777A-470C-9F8C-4B9E78B1AE40}" autoFormatId="16" applyNumberFormats="0" applyBorderFormats="0" applyFontFormats="0" applyPatternFormats="0" applyAlignmentFormats="0" applyWidthHeightFormats="0">
  <queryTableRefresh nextId="3">
    <queryTableFields count="2">
      <queryTableField id="1" name="Month Name" tableColumnId="1"/>
      <queryTableField id="2" name="Monthly Trend" tableColumnId="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connectionId="14" xr16:uid="{A48E8E4C-A136-4269-B422-31B4E1499366}" autoFormatId="16" applyNumberFormats="0" applyBorderFormats="0" applyFontFormats="0" applyPatternFormats="0" applyAlignmentFormats="0" applyWidthHeightFormats="0">
  <queryTableRefresh nextId="3">
    <queryTableFields count="2">
      <queryTableField id="1" name="Month Name" tableColumnId="1"/>
      <queryTableField id="2" name="Sales" tableColumnId="2"/>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2" connectionId="16" xr16:uid="{11943304-5686-4D90-8780-2113C7F5FCD0}" autoFormatId="16" applyNumberFormats="0" applyBorderFormats="0" applyFontFormats="0" applyPatternFormats="0" applyAlignmentFormats="0" applyWidthHeightFormats="0">
  <queryTableRefresh nextId="29" unboundColumnsRight="3">
    <queryTableFields count="18">
      <queryTableField id="1" name="Serial Number" tableColumnId="1"/>
      <queryTableField id="2" name="Date Recorded" tableColumnId="2"/>
      <queryTableField id="3" name="Month Name" tableColumnId="3"/>
      <queryTableField id="4" name="Year" tableColumnId="4"/>
      <queryTableField id="5" name="Month/Year" tableColumnId="5"/>
      <queryTableField id="6" name="Town" tableColumnId="6"/>
      <queryTableField id="26" name="Town Initials" tableColumnId="14"/>
      <queryTableField id="7" name="Address" tableColumnId="7"/>
      <queryTableField id="8" name="Assessed Value" tableColumnId="8"/>
      <queryTableField id="9" name="Sale Amount" tableColumnId="9"/>
      <queryTableField id="10" name="Sales Ratio" tableColumnId="10"/>
      <queryTableField id="11" name="Sales Ratio 2" tableColumnId="11"/>
      <queryTableField id="12" name="Property Type" tableColumnId="12"/>
      <queryTableField id="13" name="Value Status" tableColumnId="13"/>
      <queryTableField id="27" name="Column1" tableColumnId="15"/>
      <queryTableField id="16" dataBound="0" tableColumnId="16"/>
      <queryTableField id="24" dataBound="0" tableColumnId="24"/>
      <queryTableField id="25" dataBound="0" tableColumnId="25"/>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3" connectionId="22" xr16:uid="{D76CFE93-E5BF-42F6-9F5F-2ED94D1FFB88}" autoFormatId="16" applyNumberFormats="0" applyBorderFormats="0" applyFontFormats="0" applyPatternFormats="0" applyAlignmentFormats="0" applyWidthHeightFormats="0">
  <queryTableRefresh nextId="15">
    <queryTableFields count="14">
      <queryTableField id="1" name="Serial Number" tableColumnId="1"/>
      <queryTableField id="2" name="Date Recorded" tableColumnId="2"/>
      <queryTableField id="3" name="Month Name" tableColumnId="3"/>
      <queryTableField id="4" name="Year" tableColumnId="4"/>
      <queryTableField id="5" name="Month/Year" tableColumnId="5"/>
      <queryTableField id="6" name="Town" tableColumnId="6"/>
      <queryTableField id="7" name="Address" tableColumnId="7"/>
      <queryTableField id="8" name="Assessed Value" tableColumnId="8"/>
      <queryTableField id="9" name="Sale Amount" tableColumnId="9"/>
      <queryTableField id="10" name="Sales Ratio" tableColumnId="10"/>
      <queryTableField id="11" name="Sales Ratio 2" tableColumnId="11"/>
      <queryTableField id="12" name="Property Type" tableColumnId="12"/>
      <queryTableField id="13" name="Value Status" tableColumnId="13"/>
      <queryTableField id="14" name="Town Initials" tableColumnId="14"/>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connectionId="4" xr16:uid="{B0DB8DFB-5E0F-42C9-AFD6-8FE3C33397A4}" autoFormatId="16" applyNumberFormats="0" applyBorderFormats="0" applyFontFormats="0" applyPatternFormats="0" applyAlignmentFormats="0" applyWidthHeightFormats="0">
  <queryTableRefresh nextId="22" unboundColumnsRight="1">
    <queryTableFields count="15">
      <queryTableField id="1" name="Serial Number" tableColumnId="1"/>
      <queryTableField id="2" name="Date Recorded" tableColumnId="2"/>
      <queryTableField id="11" name="Month Name" tableColumnId="11"/>
      <queryTableField id="12" name="Year" tableColumnId="12"/>
      <queryTableField id="13" name="Month/Year" tableColumnId="13"/>
      <queryTableField id="3" name="Town" tableColumnId="3"/>
      <queryTableField id="20" dataBound="0" tableColumnId="14"/>
      <queryTableField id="4" name="Address" tableColumnId="4"/>
      <queryTableField id="5" name="Assessed Value" tableColumnId="5"/>
      <queryTableField id="6" name="Sale Amount" tableColumnId="6"/>
      <queryTableField id="7" name="Sales Ratio" tableColumnId="7"/>
      <queryTableField id="8" name="Sales Ratio 2" tableColumnId="8"/>
      <queryTableField id="9" name="Property Type" tableColumnId="9"/>
      <queryTableField id="10" name="Value Status" tableColumnId="10"/>
      <queryTableField id="18" dataBound="0" tableColumnId="15"/>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2" connectionId="23" xr16:uid="{8CD8DF89-6BDF-4C03-89DE-A870E01E44D9}" autoFormatId="16" applyNumberFormats="0" applyBorderFormats="0" applyFontFormats="0" applyPatternFormats="0" applyAlignmentFormats="0" applyWidthHeightFormats="0">
  <queryTableRefresh nextId="4">
    <queryTableFields count="2">
      <queryTableField id="1" name="Month Name" tableColumnId="1"/>
      <queryTableField id="2" name="Total Sales" tableColumnId="2"/>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1" connectionId="5" xr16:uid="{6D129965-3D3F-4A54-AA1D-6FA27A6AF168}" autoFormatId="16" applyNumberFormats="0" applyBorderFormats="0" applyFontFormats="0" applyPatternFormats="0" applyAlignmentFormats="0" applyWidthHeightFormats="0">
  <queryTableRefresh nextId="17">
    <queryTableFields count="13">
      <queryTableField id="1" name="Serial Number" tableColumnId="1"/>
      <queryTableField id="2" name="Date Recorded" tableColumnId="2"/>
      <queryTableField id="11" name="Month Name" tableColumnId="11"/>
      <queryTableField id="12" name="Year" tableColumnId="12"/>
      <queryTableField id="13" name="Month/Year" tableColumnId="13"/>
      <queryTableField id="3" name="Town" tableColumnId="3"/>
      <queryTableField id="4" name="Address" tableColumnId="4"/>
      <queryTableField id="5" name="Assessed Value" tableColumnId="5"/>
      <queryTableField id="6" name="Sale Amount" tableColumnId="6"/>
      <queryTableField id="7" name="Sales Ratio" tableColumnId="7"/>
      <queryTableField id="8" name="Sales Ratio 2" tableColumnId="8"/>
      <queryTableField id="9" name="Property Type" tableColumnId="9"/>
      <queryTableField id="10" name="Value Status" tableColumnId="10"/>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2" connectionId="15" xr16:uid="{43683C7E-A1ED-40D9-96E5-6DCC9060C2C9}" autoFormatId="16" applyNumberFormats="0" applyBorderFormats="0" applyFontFormats="0" applyPatternFormats="0" applyAlignmentFormats="0" applyWidthHeightFormats="0">
  <queryTableRefresh nextId="3">
    <queryTableFields count="2">
      <queryTableField id="1" name="Month Name" tableColumnId="1"/>
      <queryTableField id="2" name="Sales" tableColumnId="2"/>
    </queryTableFields>
  </queryTableRefresh>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8</v>
    <v>204</v>
    <v>5</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2D7603E6-B59B-451B-8392-07EBDC4DF4F7}" sourceName="Month Name">
  <pivotTables>
    <pivotTable tabId="4" name="PivotTable33"/>
  </pivotTables>
  <data>
    <tabular pivotCacheId="14525649">
      <items count="13">
        <i x="6" s="1"/>
        <i x="4" s="1"/>
        <i x="9" s="1"/>
        <i x="0" s="1"/>
        <i x="2" s="1"/>
        <i x="1" s="1"/>
        <i x="3" s="1"/>
        <i x="5" s="1"/>
        <i x="10" s="1"/>
        <i x="8" s="1"/>
        <i x="11" s="1"/>
        <i x="7" s="1"/>
        <i x="1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4791174-A1F0-40E3-B363-1CCB3D3B8192}" sourceName="Year">
  <pivotTables>
    <pivotTable tabId="4" name="PivotTable4"/>
    <pivotTable tabId="4" name="PivotTable  18 "/>
    <pivotTable tabId="4" name="PivotTable1"/>
    <pivotTable tabId="4" name="PivotTable10"/>
    <pivotTable tabId="4" name="PivotTable16"/>
    <pivotTable tabId="4" name="PivotTable29"/>
    <pivotTable tabId="4" name="PivotTable3"/>
  </pivotTables>
  <data>
    <tabular pivotCacheId="2038787339">
      <items count="15">
        <i x="14" s="1"/>
        <i x="8" s="1"/>
        <i x="5" s="1"/>
        <i x="10" s="1"/>
        <i x="9" s="1"/>
        <i x="11" s="1"/>
        <i x="13" s="1"/>
        <i x="7" s="1"/>
        <i x="6" s="1"/>
        <i x="0" s="1"/>
        <i x="3" s="1"/>
        <i x="2" s="1"/>
        <i x="12" s="1"/>
        <i x="4"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wn" xr10:uid="{38F834D7-A7BF-4EA4-87A2-E190E93F5AF1}" sourceName="Town">
  <pivotTables>
    <pivotTable tabId="4" name="PivotTable4"/>
    <pivotTable tabId="4" name="PivotTable  18 "/>
    <pivotTable tabId="4" name="PivotTable1"/>
    <pivotTable tabId="4" name="PivotTable10"/>
    <pivotTable tabId="4" name="PivotTable16"/>
    <pivotTable tabId="4" name="PivotTable29"/>
    <pivotTable tabId="4" name="PivotTable3"/>
  </pivotTables>
  <data>
    <tabular pivotCacheId="2038787339">
      <items count="106">
        <i x="60" s="1"/>
        <i x="47" s="1"/>
        <i x="9" s="1"/>
        <i x="23" s="1"/>
        <i x="19" s="1"/>
        <i x="59" s="1"/>
        <i x="56" s="1"/>
        <i x="75" s="1"/>
        <i x="22" s="1"/>
        <i x="91" s="1"/>
        <i x="67" s="1"/>
        <i x="89" s="1"/>
        <i x="26" s="1"/>
        <i x="69" s="1"/>
        <i x="53" s="1"/>
        <i x="48" s="1"/>
        <i x="50" s="1"/>
        <i x="51" s="1"/>
        <i x="41" s="1"/>
        <i x="1" s="1"/>
        <i x="4" s="1"/>
        <i x="78" s="1"/>
        <i x="15" s="1"/>
        <i x="96" s="1"/>
        <i x="68" s="1"/>
        <i x="105" s="1"/>
        <i x="87" s="1"/>
        <i x="8" s="1"/>
        <i x="49" s="1"/>
        <i x="35" s="1"/>
        <i x="36" s="1"/>
        <i x="31" s="1"/>
        <i x="85" s="1"/>
        <i x="34" s="1"/>
        <i x="2" s="1"/>
        <i x="65" s="1"/>
        <i x="11" s="1"/>
        <i x="40" s="1"/>
        <i x="71" s="1"/>
        <i x="33" s="1"/>
        <i x="55" s="1"/>
        <i x="95" s="1"/>
        <i x="25" s="1"/>
        <i x="81" s="1"/>
        <i x="99" s="1"/>
        <i x="86" s="1"/>
        <i x="73" s="1"/>
        <i x="18" s="1"/>
        <i x="57" s="1"/>
        <i x="64" s="1"/>
        <i x="92" s="1"/>
        <i x="61" s="1"/>
        <i x="27" s="1"/>
        <i x="70" s="1"/>
        <i x="43" s="1"/>
        <i x="5" s="1"/>
        <i x="79" s="1"/>
        <i x="42" s="1"/>
        <i x="16" s="1"/>
        <i x="3" s="1"/>
        <i x="76" s="1"/>
        <i x="13" s="1"/>
        <i x="97" s="1"/>
        <i x="45" s="1"/>
        <i x="44" s="1"/>
        <i x="12" s="1"/>
        <i x="29" s="1"/>
        <i x="30" s="1"/>
        <i x="54" s="1"/>
        <i x="104" s="1"/>
        <i x="17" s="1"/>
        <i x="84" s="1"/>
        <i x="90" s="1"/>
        <i x="7" s="1"/>
        <i x="98" s="1"/>
        <i x="0" s="1"/>
        <i x="28" s="1"/>
        <i x="38" s="1"/>
        <i x="32" s="1"/>
        <i x="52" s="1"/>
        <i x="100" s="1"/>
        <i x="37" s="1"/>
        <i x="102" s="1"/>
        <i x="10" s="1"/>
        <i x="74" s="1"/>
        <i x="46" s="1"/>
        <i x="24" s="1"/>
        <i x="72" s="1"/>
        <i x="58" s="1"/>
        <i x="103" s="1"/>
        <i x="82" s="1"/>
        <i x="14" s="1"/>
        <i x="66" s="1"/>
        <i x="77" s="1"/>
        <i x="62" s="1"/>
        <i x="6" s="1"/>
        <i x="94" s="1"/>
        <i x="21" s="1"/>
        <i x="83" s="1"/>
        <i x="39" s="1"/>
        <i x="88" s="1"/>
        <i x="20" s="1"/>
        <i x="63" s="1"/>
        <i x="101" s="1"/>
        <i x="80" s="1"/>
        <i x="9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1" xr10:uid="{B1A778CB-0C3F-4160-AFD3-B79A09C2560A}" sourceName="Month Name">
  <pivotTables>
    <pivotTable tabId="4" name="PivotTable4"/>
    <pivotTable tabId="4" name="PivotTable  18 "/>
    <pivotTable tabId="4" name="PivotTable1"/>
    <pivotTable tabId="4" name="PivotTable10"/>
    <pivotTable tabId="4" name="PivotTable16"/>
    <pivotTable tabId="4" name="PivotTable29"/>
    <pivotTable tabId="4" name="PivotTable3"/>
  </pivotTables>
  <data>
    <tabular pivotCacheId="2038787339">
      <items count="12">
        <i x="7" s="1"/>
        <i x="5" s="1"/>
        <i x="9" s="1"/>
        <i x="1" s="1"/>
        <i x="3" s="1"/>
        <i x="2" s="1"/>
        <i x="4" s="1"/>
        <i x="6" s="1"/>
        <i x="10" s="1"/>
        <i x="8" s="1"/>
        <i x="1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perty_Type" xr10:uid="{AC172C93-1635-42DF-9F43-91BD1010165F}" sourceName="Property Type">
  <pivotTables>
    <pivotTable tabId="4" name="PivotTable4"/>
    <pivotTable tabId="4" name="PivotTable  18 "/>
    <pivotTable tabId="4" name="PivotTable1"/>
    <pivotTable tabId="4" name="PivotTable10"/>
    <pivotTable tabId="4" name="PivotTable16"/>
    <pivotTable tabId="4" name="PivotTable29"/>
    <pivotTable tabId="4" name="PivotTable3"/>
  </pivotTables>
  <data>
    <tabular pivotCacheId="2038787339">
      <items count="4">
        <i x="3" s="1"/>
        <i x="1" s="1"/>
        <i x="0"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wn_initials_PQ" xr10:uid="{A4AE4A74-6F2F-4DBB-A62A-C36E5A3F45BF}" sourceName="Town initials PQ">
  <pivotTables>
    <pivotTable tabId="4" name="PivotTable20"/>
  </pivotTables>
  <data>
    <tabular pivotCacheId="1090403897">
      <items count="19">
        <i x="7"/>
        <i x="12"/>
        <i x="1"/>
        <i x="4"/>
        <i x="6"/>
        <i x="15"/>
        <i x="2"/>
        <i x="16"/>
        <i x="13"/>
        <i x="18"/>
        <i x="11"/>
        <i x="3"/>
        <i x="14"/>
        <i x="10"/>
        <i x="0"/>
        <i x="8"/>
        <i x="9"/>
        <i x="17"/>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0ECCDCA3-45BA-4469-8DD0-82ED75E2D07F}" cache="Slicer_Month_Name" caption="Month Name" rowHeight="241300"/>
  <slicer name="Town initials PQ" xr10:uid="{15709BAC-E9E5-4ECA-AE4D-C8353195F145}" cache="Slicer_Town_initials_PQ" caption="Town initials PQ" startItem="1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C7DE74B7-2C61-4311-8505-3D723EDADD3C}" cache="Slicer_Year" caption="Year" startItem="10" columnCount="2" style="SlicerStyleDark6 3 2 2 2 2" rowHeight="241300"/>
  <slicer name="Town" xr10:uid="{6123BF2B-890E-4BCD-BB4E-6FEB1C03715A}" cache="Slicer_Town" caption="Town" startItem="91" style="SlicerStyleDark6 3 2 2 2 2" rowHeight="241300"/>
  <slicer name="Month Name 1" xr10:uid="{518B2608-4473-4308-B855-75BC6015C8EF}" cache="Slicer_Month_Name1" caption="Month Name" columnCount="3" style="SlicerStyleDark6 3 2 2 2 2" rowHeight="241300"/>
  <slicer name="Property Type" xr10:uid="{570110DA-52DF-4015-95A9-62C8524C7CAC}" cache="Slicer_Property_Type" caption="Property Type" columnCount="2" style="SlicerStyleDark6 3 2 2 2 2"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3067689-F8F9-4D67-8F80-0AB482E07E2F}" name="Table1_3__4" displayName="Table1_3__4" ref="A1:J315" totalsRowShown="0">
  <autoFilter ref="A1:J315" xr:uid="{43067689-F8F9-4D67-8F80-0AB482E07E2F}"/>
  <tableColumns count="10">
    <tableColumn id="1" xr3:uid="{F1002B5C-E5F0-49D4-8E0F-751406B17426}" name="Serial Number"/>
    <tableColumn id="2" xr3:uid="{A423A674-A980-456D-A550-83EE4A14037C}" name="Date Recorded" dataDxfId="67"/>
    <tableColumn id="3" xr3:uid="{88560567-EFA7-4C88-8A2C-737E50B88B0B}" name="Town" dataDxfId="66"/>
    <tableColumn id="4" xr3:uid="{44240084-A194-4575-BB74-D52FA153FBA6}" name="Address" dataDxfId="65"/>
    <tableColumn id="5" xr3:uid="{EE060979-D6F7-4C4B-817C-09EC3DC9700A}" name="Assessed Value"/>
    <tableColumn id="6" xr3:uid="{EE7AB36E-72B3-4B9A-B5C2-B325023A54F5}" name="Sale Amount"/>
    <tableColumn id="7" xr3:uid="{EE186676-21D9-4866-99B5-CFB5724CC999}" name="Sales Ratio"/>
    <tableColumn id="8" xr3:uid="{5C9EA564-1B2B-4315-904D-FF31105DBFBD}" name="Sales Ratio 2"/>
    <tableColumn id="9" xr3:uid="{098E3AB7-6784-4B45-8821-11D6A334AFF1}" name="Property Type" dataDxfId="64"/>
    <tableColumn id="10" xr3:uid="{E4F92DAA-2093-4090-BD3F-B5A6516C4798}" name="Value Status" dataDxfId="6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6CC7BD-9092-4736-B55C-86A509DB1971}" name="Table1_3__3_1" displayName="Table1_3__3_1" ref="A1:B43" tableType="queryTable" totalsRowShown="0">
  <autoFilter ref="A1:B43" xr:uid="{166CC7BD-9092-4736-B55C-86A509DB1971}"/>
  <tableColumns count="2">
    <tableColumn id="1" xr3:uid="{DFAF2B20-7DB2-4F6F-9460-A9AFE0760CB4}" uniqueName="1" name="Town" queryTableFieldId="1" dataDxfId="62"/>
    <tableColumn id="2" xr3:uid="{2B7A357E-4506-48F8-BF38-C1C6F0E7F7C7}" uniqueName="2" name="Overvalued Count" queryTableField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6B40176-2C27-4442-ABCF-6C17FC612724}" name="Table1_3__3__2" displayName="Table1_3__3__2" ref="A1:O303" tableType="queryTable" totalsRowShown="0">
  <autoFilter ref="A1:O303" xr:uid="{26B40176-2C27-4442-ABCF-6C17FC612724}"/>
  <tableColumns count="15">
    <tableColumn id="1" xr3:uid="{74FDE920-1EBE-4FF1-8949-2C9AA293488D}" uniqueName="1" name="Serial Number" queryTableFieldId="1"/>
    <tableColumn id="2" xr3:uid="{654D8445-2A47-4C2E-B7DE-83BC51EB8E88}" uniqueName="2" name="Date Recorded" queryTableFieldId="2" dataDxfId="61"/>
    <tableColumn id="3" xr3:uid="{CF5ADD47-E05D-42F3-9C1F-4EF051545268}" uniqueName="3" name="Month Name" queryTableFieldId="3" dataDxfId="60"/>
    <tableColumn id="4" xr3:uid="{74FB024A-D415-47CC-AA53-BF266FEA451B}" uniqueName="4" name="Year" queryTableFieldId="4"/>
    <tableColumn id="5" xr3:uid="{CD10D58C-0E26-42B9-830A-46D3A556C022}" uniqueName="5" name="Month/Year" queryTableFieldId="5" dataDxfId="59"/>
    <tableColumn id="6" xr3:uid="{A554BF73-3F39-4EEC-AEA1-E775FF3476F4}" uniqueName="6" name="Town" queryTableFieldId="6" dataDxfId="58"/>
    <tableColumn id="14" xr3:uid="{041D31DC-7969-4165-AF4F-0F64B2190A24}" uniqueName="14" name="Town Initials" queryTableFieldId="14"/>
    <tableColumn id="7" xr3:uid="{2CAAD8BB-0EF3-452D-91FB-66CFBB8FBF0E}" uniqueName="7" name="Address" queryTableFieldId="7" dataDxfId="57"/>
    <tableColumn id="8" xr3:uid="{03712F1E-4F13-4FEB-928A-6676F7D6F645}" uniqueName="8" name="Assessed Value" queryTableFieldId="8"/>
    <tableColumn id="9" xr3:uid="{7D3BA37C-73A2-4FF5-B50F-1B84624388FB}" uniqueName="9" name="Sale Amount" queryTableFieldId="9"/>
    <tableColumn id="10" xr3:uid="{6010FD67-B811-4171-B4B2-3519E7B7EB6B}" uniqueName="10" name="Sales Ratio" queryTableFieldId="10"/>
    <tableColumn id="11" xr3:uid="{3D20C65B-80D9-4BF8-9718-754EEA426B32}" uniqueName="11" name="Sales Ratio 2" queryTableFieldId="11"/>
    <tableColumn id="12" xr3:uid="{DDFC2B0D-1207-4BF3-B670-E1F6287B0660}" uniqueName="12" name="Property Type" queryTableFieldId="12" dataDxfId="56"/>
    <tableColumn id="13" xr3:uid="{4AE8F0A7-48F8-4314-B60A-4142CEC9D7E0}" uniqueName="13" name="Value Status" queryTableFieldId="13" dataDxfId="55"/>
    <tableColumn id="15" xr3:uid="{8B3E074E-3AC8-46E5-BE0E-139B4B882C78}" uniqueName="15" name="Column1" queryTableFieldId="1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78A999C-F5A9-4336-9269-B01E6E0205F8}" name="Table1_3__3__3_1" displayName="Table1_3__3__3_1" ref="A1:A2" tableType="queryTable" totalsRowShown="0">
  <autoFilter ref="A1:A2" xr:uid="{678A999C-F5A9-4336-9269-B01E6E0205F8}"/>
  <tableColumns count="1">
    <tableColumn id="1" xr3:uid="{381097FF-DCC9-4FDA-BDE8-3AF5361C9349}" uniqueName="1" name="Table1_3__3__3" queryTableFieldId="1"/>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3958F31-DEE1-49AF-B4C6-58C6AC829719}" name="Table1_3__3__3" displayName="Table1_3__3__3" ref="A1:O190" tableType="queryTable" totalsRowShown="0">
  <autoFilter ref="A1:O190" xr:uid="{13958F31-DEE1-49AF-B4C6-58C6AC829719}">
    <filterColumn colId="12">
      <filters>
        <filter val="Commercial"/>
      </filters>
    </filterColumn>
  </autoFilter>
  <tableColumns count="15">
    <tableColumn id="1" xr3:uid="{068D4B23-1CA7-4304-958C-5B9C72148427}" uniqueName="1" name="Serial Number" queryTableFieldId="1"/>
    <tableColumn id="2" xr3:uid="{A97E8186-97CC-44C0-B73F-98EC57E5B250}" uniqueName="2" name="Date Recorded" queryTableFieldId="2" dataDxfId="54"/>
    <tableColumn id="3" xr3:uid="{71359273-C65E-4A30-B4F5-3E80294D2CF6}" uniqueName="3" name="Month Name" queryTableFieldId="3" dataDxfId="53"/>
    <tableColumn id="4" xr3:uid="{06A5FBE5-D9CA-4007-93A0-567531E46E37}" uniqueName="4" name="Year" queryTableFieldId="4"/>
    <tableColumn id="5" xr3:uid="{CB55750E-8106-4CAC-8060-EE4EE8AF1037}" uniqueName="5" name="Month/Year" queryTableFieldId="5" dataDxfId="52"/>
    <tableColumn id="6" xr3:uid="{B6A1E52D-82B7-4EB7-B3EC-6AA5FFB47CFB}" uniqueName="6" name="Town" queryTableFieldId="6" dataDxfId="51"/>
    <tableColumn id="14" xr3:uid="{BA60766E-4465-4274-965C-12FF82D4C36F}" uniqueName="14" name="Town Initials" queryTableFieldId="14"/>
    <tableColumn id="7" xr3:uid="{F53F3B82-A6BF-49C0-8A24-206FD703FDD3}" uniqueName="7" name="Address" queryTableFieldId="7" dataDxfId="50"/>
    <tableColumn id="8" xr3:uid="{EDD6D6E6-DBB2-4DE5-8D27-1142A06C320F}" uniqueName="8" name="Assessed Value" queryTableFieldId="8"/>
    <tableColumn id="9" xr3:uid="{1AB39E25-2F1C-4D58-B85D-02C73BAE8A66}" uniqueName="9" name="Sale Amount" queryTableFieldId="9"/>
    <tableColumn id="10" xr3:uid="{809DA72E-8AEE-404B-99C1-BAE32A0568EB}" uniqueName="10" name="Sales Ratio" queryTableFieldId="10"/>
    <tableColumn id="11" xr3:uid="{D699021F-392C-436D-9C90-4291B9B6331A}" uniqueName="11" name="Sales Ratio 2" queryTableFieldId="11"/>
    <tableColumn id="12" xr3:uid="{F4D9BA6C-1128-4726-A9C1-65E3800068AC}" uniqueName="12" name="Property Type" queryTableFieldId="12" dataDxfId="49"/>
    <tableColumn id="13" xr3:uid="{2C8B87EE-1AF0-4B17-B525-7645D2BD2A1C}" uniqueName="13" name="Value Status" queryTableFieldId="13" dataDxfId="48"/>
    <tableColumn id="15" xr3:uid="{72CC88A3-697F-40EB-A6F4-E218A68A6F35}" uniqueName="15" name="Column1" queryTableFieldId="15"/>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CA48DDF-7B65-48B8-9265-AD9B88B9578D}" name="Table1_3__3__4" displayName="Table1_3__3__4" ref="A1:B13" tableType="queryTable" totalsRowShown="0">
  <autoFilter ref="A1:B13" xr:uid="{3CA48DDF-7B65-48B8-9265-AD9B88B9578D}"/>
  <tableColumns count="2">
    <tableColumn id="1" xr3:uid="{6E8B2A4E-3EB7-4F5B-BBFB-E63C69D54F31}" uniqueName="1" name="Month Name" queryTableFieldId="1" dataDxfId="47"/>
    <tableColumn id="2" xr3:uid="{A895ED74-FACF-442D-9A20-81E2BC0635A1}" uniqueName="2" name="Monthly Trend" queryTableFieldId="2"/>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12DEB9F7-A45C-4A17-AAD0-6249FD0D1583}" name="Table1_3__3__5" displayName="Table1_3__3__5" ref="A1:B13" tableType="queryTable" totalsRowShown="0">
  <autoFilter ref="A1:B13" xr:uid="{12DEB9F7-A45C-4A17-AAD0-6249FD0D1583}"/>
  <tableColumns count="2">
    <tableColumn id="1" xr3:uid="{BCF199E9-A336-4862-B187-3712D078E646}" uniqueName="1" name="Month Name" queryTableFieldId="1" dataDxfId="46"/>
    <tableColumn id="2" xr3:uid="{6E1915AE-DDB3-4B34-A449-AD32AF67DE3A}" uniqueName="2" name="Sales" queryTableFieldId="2" dataDxfId="45" dataCellStyle="Currency"/>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052A274-7501-4A59-B0C3-79511148FCB6}" name="Table1_3__3__7" displayName="Table1_3__3__7" ref="A1:R207" tableType="queryTable" totalsRowCount="1">
  <sortState xmlns:xlrd2="http://schemas.microsoft.com/office/spreadsheetml/2017/richdata2" ref="A2:R206">
    <sortCondition descending="1" ref="J1:J205"/>
  </sortState>
  <tableColumns count="18">
    <tableColumn id="1" xr3:uid="{08B1BB68-FE86-4DCE-A892-A348E93005D8}" uniqueName="1" name="Serial Number" totalsRowLabel="Total" queryTableFieldId="1"/>
    <tableColumn id="2" xr3:uid="{404BB4B7-7EB5-407A-8DE8-228389A7E95D}" uniqueName="2" name="Date Recorded" queryTableFieldId="2" dataDxfId="44"/>
    <tableColumn id="3" xr3:uid="{B7467D3E-C39F-4BF9-AA9F-FA95D048F232}" uniqueName="3" name="Month Name" queryTableFieldId="3" dataDxfId="43"/>
    <tableColumn id="4" xr3:uid="{329DF1F2-8DFC-4029-AEBA-0F3CF0FFB3FE}" uniqueName="4" name="Year" queryTableFieldId="4"/>
    <tableColumn id="5" xr3:uid="{3FE221F1-25CD-4703-9E57-7CF71090B4B1}" uniqueName="5" name="Month/Year" queryTableFieldId="5" dataDxfId="42"/>
    <tableColumn id="6" xr3:uid="{C1718674-B20A-4BDF-9D9B-9D734C6E16BD}" uniqueName="6" name="Town" queryTableFieldId="6" dataDxfId="41"/>
    <tableColumn id="14" xr3:uid="{637E46B5-0A6C-48F8-8AB6-1089408975B6}" uniqueName="14" name="Town Initials" queryTableFieldId="26"/>
    <tableColumn id="7" xr3:uid="{884D1266-74DB-46FA-B13D-15A3AB1A2652}" uniqueName="7" name="Address" queryTableFieldId="7" dataDxfId="40"/>
    <tableColumn id="8" xr3:uid="{89BD829D-5320-422B-A5FC-4AEE31A2D33C}" uniqueName="8" name="Assessed Value" queryTableFieldId="8"/>
    <tableColumn id="9" xr3:uid="{7195DC66-0F93-46E2-A8F4-673C9742D003}" uniqueName="9" name="Sale Amount" queryTableFieldId="9"/>
    <tableColumn id="10" xr3:uid="{1911CEE5-A426-416F-8A65-474ACBA98BF8}" uniqueName="10" name="Sales Ratio" queryTableFieldId="10"/>
    <tableColumn id="11" xr3:uid="{5D93881E-1BBB-49A0-B6B6-0AF3A83C6FAC}" uniqueName="11" name="Sales Ratio 2" queryTableFieldId="11"/>
    <tableColumn id="12" xr3:uid="{3A8AC352-5996-486F-9B6B-4DB2DA3E03A0}" uniqueName="12" name="Property Type" queryTableFieldId="12" dataDxfId="39"/>
    <tableColumn id="13" xr3:uid="{6B041E5F-10CC-48F9-8317-1266D228261B}" uniqueName="13" name="Value Status" queryTableFieldId="13" dataDxfId="38"/>
    <tableColumn id="15" xr3:uid="{4A2B7C60-4FF2-4AC2-A9B6-5403B1C7B72C}" uniqueName="15" name="Column1" queryTableFieldId="27"/>
    <tableColumn id="16" xr3:uid="{46D66674-124B-42E6-95E4-5F686CE5B23D}" uniqueName="16" name="Column12" totalsRowFunction="count" queryTableFieldId="16" dataDxfId="37"/>
    <tableColumn id="24" xr3:uid="{4AA01A07-10EA-4497-9233-C0DA5D624226}" uniqueName="24" name="Column2" queryTableFieldId="24" dataDxfId="36"/>
    <tableColumn id="25" xr3:uid="{DE8B25AD-C65D-4844-93E1-82B49B3DB768}" uniqueName="25" name="Column3" queryTableFieldId="25" dataDxfId="35">
      <calculatedColumnFormula array="1">MONTH(Table1_3__3__7[Date Recorded])</calculatedColumnFormula>
    </tableColumn>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901E7DE-7CCE-493C-AF6F-94B23BE50DF7}" name="Table1_3__3__9__2" displayName="Table1_3__3__9__2" ref="A1:N303" tableType="queryTable" totalsRowShown="0">
  <autoFilter ref="A1:N303" xr:uid="{F901E7DE-7CCE-493C-AF6F-94B23BE50DF7}"/>
  <tableColumns count="14">
    <tableColumn id="1" xr3:uid="{2AC14925-F8D8-448E-868F-0BD813580B5C}" uniqueName="1" name="Serial Number" queryTableFieldId="1"/>
    <tableColumn id="2" xr3:uid="{583046FC-F7AF-4261-A333-966A758AC136}" uniqueName="2" name="Date Recorded" queryTableFieldId="2" dataDxfId="34"/>
    <tableColumn id="3" xr3:uid="{92264F17-37BA-46C3-909E-5EE26710A728}" uniqueName="3" name="Month Name" queryTableFieldId="3" dataDxfId="33"/>
    <tableColumn id="4" xr3:uid="{0078FDB8-52AF-476F-B7FD-70784B0F86FB}" uniqueName="4" name="Year" queryTableFieldId="4"/>
    <tableColumn id="5" xr3:uid="{CF5CB910-F0A0-4281-9567-6B7E284B537F}" uniqueName="5" name="Month/Year" queryTableFieldId="5" dataDxfId="32"/>
    <tableColumn id="6" xr3:uid="{3207A509-4662-46C8-8C33-493DF2FEF5ED}" uniqueName="6" name="Town" queryTableFieldId="6" dataDxfId="31"/>
    <tableColumn id="7" xr3:uid="{00F6B507-1F34-4C4C-9E7D-7D423AA28AB4}" uniqueName="7" name="Address" queryTableFieldId="7" dataDxfId="30"/>
    <tableColumn id="8" xr3:uid="{558847B5-6541-4A6F-8DB3-93C9F62569C4}" uniqueName="8" name="Assessed Value" queryTableFieldId="8"/>
    <tableColumn id="9" xr3:uid="{24376376-502C-4BB4-A527-D5269D30D327}" uniqueName="9" name="Sale Amount" queryTableFieldId="9"/>
    <tableColumn id="10" xr3:uid="{F6A4DF47-BE77-4AB1-8E54-468548DA8BC2}" uniqueName="10" name="Sales Ratio" queryTableFieldId="10"/>
    <tableColumn id="11" xr3:uid="{295D9F90-3601-4C12-9839-1A67348E2ACD}" uniqueName="11" name="Sales Ratio 2" queryTableFieldId="11"/>
    <tableColumn id="12" xr3:uid="{0C1A851F-378E-4E8D-AEFE-B51F0F7E9D32}" uniqueName="12" name="Property Type" queryTableFieldId="12" dataDxfId="29"/>
    <tableColumn id="13" xr3:uid="{47D74BA5-B310-4ABC-9E0A-6230EFBA7585}" uniqueName="13" name="Value Status" queryTableFieldId="13" dataDxfId="28"/>
    <tableColumn id="14" xr3:uid="{A4D5037B-6959-415C-B565-C4EE6021629D}" uniqueName="14" name="Town Initials" queryTableFieldId="14" dataDxfId="27"/>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DD5DECD-16CC-4B98-BC86-00AD0EDFB862}" name="Table1_3__3" displayName="Table1_3__3" ref="A1:O303" tableType="queryTable" totalsRowShown="0">
  <autoFilter ref="A1:O303" xr:uid="{0DD5DECD-16CC-4B98-BC86-00AD0EDFB862}"/>
  <sortState xmlns:xlrd2="http://schemas.microsoft.com/office/spreadsheetml/2017/richdata2" ref="A2:N303">
    <sortCondition descending="1" ref="J1:J303"/>
  </sortState>
  <tableColumns count="15">
    <tableColumn id="1" xr3:uid="{A11A3552-A32D-4F60-BCB7-40C5C6CEC2E8}" uniqueName="1" name="Serial Number" queryTableFieldId="1"/>
    <tableColumn id="2" xr3:uid="{B718255F-9189-434C-8423-C93C315EAAB8}" uniqueName="2" name="Date Recorded" queryTableFieldId="2" dataDxfId="26"/>
    <tableColumn id="11" xr3:uid="{39D3A092-AD7D-4D0E-B8B6-75C9B8325EF4}" uniqueName="11" name="Month Name" queryTableFieldId="11" dataDxfId="25"/>
    <tableColumn id="12" xr3:uid="{20B790BF-BBC7-48C0-92E0-0AD4524F576D}" uniqueName="12" name="Year" queryTableFieldId="12"/>
    <tableColumn id="13" xr3:uid="{C0F83AA9-423C-4279-B56D-520586F733AF}" uniqueName="13" name="Month/Year" queryTableFieldId="13" dataDxfId="24"/>
    <tableColumn id="3" xr3:uid="{67691442-B9D6-4834-B52C-4E79ADB67B27}" uniqueName="3" name="Town" queryTableFieldId="3" dataDxfId="23"/>
    <tableColumn id="14" xr3:uid="{E8D0AD87-9022-4D32-909E-FCDA3ACB0E66}" uniqueName="14" name="Column2" queryTableFieldId="20"/>
    <tableColumn id="4" xr3:uid="{190E3808-5743-4B21-BBB2-7F96AF7270FF}" uniqueName="4" name="Address" queryTableFieldId="4" dataDxfId="22"/>
    <tableColumn id="5" xr3:uid="{D1EBF4BA-C4DA-448B-A777-2090E7BD6376}" uniqueName="5" name="Assessed Value" queryTableFieldId="5"/>
    <tableColumn id="6" xr3:uid="{F100129E-9F01-45FE-927E-D7C9A435344A}" uniqueName="6" name="Sale Amount" queryTableFieldId="6" dataCellStyle="Currency"/>
    <tableColumn id="7" xr3:uid="{21FEA531-F2F1-4963-AE69-D0C9203EE0B3}" uniqueName="7" name="Sales Ratio" queryTableFieldId="7"/>
    <tableColumn id="8" xr3:uid="{73059A19-3C72-4C9C-8745-FE4CC80608D1}" uniqueName="8" name="Sales Ratio 2" queryTableFieldId="8"/>
    <tableColumn id="9" xr3:uid="{58159314-C6B4-4177-8985-67D3EE3CC206}" uniqueName="9" name="Property Type" queryTableFieldId="9" dataDxfId="21"/>
    <tableColumn id="10" xr3:uid="{3CFBA475-79D1-437D-A427-685CFBCA7DA3}" uniqueName="10" name="Value Status" queryTableFieldId="10"/>
    <tableColumn id="15" xr3:uid="{FC480E60-3AEA-4113-998B-4EEBFFA8A23D}" uniqueName="15" name="Column1" queryTableFieldId="18"/>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4C9DC13-FE70-4C10-B968-89EAF582EA28}" name="Table1_3__34_1" displayName="Table1_3__34_1" ref="A1:B10" tableType="queryTable" totalsRowShown="0">
  <autoFilter ref="A1:B10" xr:uid="{94C9DC13-FE70-4C10-B968-89EAF582EA28}"/>
  <sortState xmlns:xlrd2="http://schemas.microsoft.com/office/spreadsheetml/2017/richdata2" ref="A2:B10">
    <sortCondition descending="1" ref="B1:B10"/>
  </sortState>
  <tableColumns count="2">
    <tableColumn id="1" xr3:uid="{AEF9E0E8-5C1C-4232-A79B-95AECFA65502}" uniqueName="1" name="Month Name" queryTableFieldId="1" dataDxfId="20"/>
    <tableColumn id="2" xr3:uid="{BF4AB4FA-362A-4FAC-9DBA-786DF20521D4}" uniqueName="2" name="Total Sales" queryTableFieldId="2" dataDxfId="19" dataCellStyle="Currency"/>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D4F6F6D-D528-4CD4-BF57-E41EEB56601D}" name="Table1_3__34" displayName="Table1_3__34" ref="A1:M303" tableType="queryTable" totalsRowShown="0">
  <autoFilter ref="A1:M303" xr:uid="{ED4F6F6D-D528-4CD4-BF57-E41EEB56601D}">
    <filterColumn colId="3">
      <filters>
        <filter val="2021"/>
      </filters>
    </filterColumn>
  </autoFilter>
  <sortState xmlns:xlrd2="http://schemas.microsoft.com/office/spreadsheetml/2017/richdata2" ref="A9:M303">
    <sortCondition descending="1" ref="I1:I303"/>
  </sortState>
  <tableColumns count="13">
    <tableColumn id="1" xr3:uid="{7759CD39-A0EF-4ED3-AD8B-D12FAFD536E7}" uniqueName="1" name="Serial Number" queryTableFieldId="1"/>
    <tableColumn id="2" xr3:uid="{1D638DB3-4745-461A-AEB7-6F300E71DE7F}" uniqueName="2" name="Date Recorded" queryTableFieldId="2" dataDxfId="18"/>
    <tableColumn id="11" xr3:uid="{12C4767B-F3AA-48C9-BF72-51C41BC3A9DF}" uniqueName="11" name="Month Name" queryTableFieldId="11" dataDxfId="17"/>
    <tableColumn id="12" xr3:uid="{2915BE8E-697A-4E87-9C97-A3795DD83601}" uniqueName="12" name="Year" queryTableFieldId="12"/>
    <tableColumn id="13" xr3:uid="{0164E26B-5457-4085-9819-8DD25899FFF2}" uniqueName="13" name="Month/Year" queryTableFieldId="13" dataDxfId="16"/>
    <tableColumn id="3" xr3:uid="{9578ACDC-F5B2-459F-8130-0A0DC389251A}" uniqueName="3" name="Town" queryTableFieldId="3" dataDxfId="15"/>
    <tableColumn id="4" xr3:uid="{A396341F-4F36-42A3-82F2-1C5BE660701E}" uniqueName="4" name="Address" queryTableFieldId="4" dataDxfId="14"/>
    <tableColumn id="5" xr3:uid="{83BFF3E2-3CF0-4BB9-9622-5C8CD07A3408}" uniqueName="5" name="Assessed Value" queryTableFieldId="5"/>
    <tableColumn id="6" xr3:uid="{4959E848-5BD5-42B7-A41F-E4BFC48F3A3C}" uniqueName="6" name="Sale Amount" queryTableFieldId="6"/>
    <tableColumn id="7" xr3:uid="{268F4FE8-EE9D-4AB3-B431-1BC839F81A12}" uniqueName="7" name="Sales Ratio" queryTableFieldId="7"/>
    <tableColumn id="8" xr3:uid="{C2EF4C4D-06B9-41D6-81F6-24C3D6FE33F9}" uniqueName="8" name="Sales Ratio 2" queryTableFieldId="8"/>
    <tableColumn id="9" xr3:uid="{33FC2C93-5EBA-4817-AF71-C31732F42B00}" uniqueName="9" name="Property Type" queryTableFieldId="9" dataDxfId="13"/>
    <tableColumn id="10" xr3:uid="{3BF5A903-BCD1-4EE8-9DED-6B567916DAEB}" uniqueName="10" name="Value Status" queryTableFieldId="10"/>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94EC46D8-2178-4D70-8FFA-561895367E7B}" name="Table1_3__3__516" displayName="Table1_3__3__516" ref="CM70:CN82" tableType="queryTable" totalsRowShown="0">
  <autoFilter ref="CM70:CN82" xr:uid="{94EC46D8-2178-4D70-8FFA-561895367E7B}"/>
  <tableColumns count="2">
    <tableColumn id="1" xr3:uid="{C0752722-3FBE-4846-B2DF-B2E9D9725170}" uniqueName="1" name="Month Name" queryTableFieldId="1" dataDxfId="2"/>
    <tableColumn id="2" xr3:uid="{6C5E42D3-EE19-4EE8-83C3-03DB5C953F9E}" uniqueName="2" name="Sales" queryTableFieldId="2" dataDxfId="1" dataCellStyle="Currency"/>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rinterSettings" Target="../printerSettings/printerSettings1.bin"/><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table" Target="../tables/table13.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1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FB51D-C99D-4C4D-AB42-8A8F3B47029B}">
  <dimension ref="A1:J315"/>
  <sheetViews>
    <sheetView workbookViewId="0">
      <selection activeCell="A16" sqref="A16:J16"/>
    </sheetView>
  </sheetViews>
  <sheetFormatPr defaultRowHeight="14.5" x14ac:dyDescent="0.35"/>
  <cols>
    <col min="1" max="1" width="16.1796875" bestFit="1" customWidth="1"/>
    <col min="2" max="2" width="16.453125" bestFit="1" customWidth="1"/>
    <col min="3" max="3" width="14.453125" bestFit="1" customWidth="1"/>
    <col min="4" max="4" width="32" bestFit="1" customWidth="1"/>
    <col min="5" max="5" width="17.1796875" bestFit="1" customWidth="1"/>
    <col min="6" max="6" width="14.54296875" bestFit="1" customWidth="1"/>
    <col min="7" max="7" width="12.81640625" bestFit="1" customWidth="1"/>
    <col min="8" max="8" width="14.26953125" bestFit="1" customWidth="1"/>
    <col min="9" max="9" width="15.81640625" bestFit="1" customWidth="1"/>
    <col min="10" max="10" width="14.26953125" bestFit="1" customWidth="1"/>
  </cols>
  <sheetData>
    <row r="1" spans="1:10" x14ac:dyDescent="0.35">
      <c r="A1" t="s">
        <v>0</v>
      </c>
      <c r="B1" t="s">
        <v>1</v>
      </c>
      <c r="C1" t="s">
        <v>2</v>
      </c>
      <c r="D1" t="s">
        <v>3</v>
      </c>
      <c r="E1" t="s">
        <v>4</v>
      </c>
      <c r="F1" t="s">
        <v>5</v>
      </c>
      <c r="G1" t="s">
        <v>6</v>
      </c>
      <c r="H1" t="s">
        <v>438</v>
      </c>
      <c r="I1" t="s">
        <v>7</v>
      </c>
      <c r="J1" t="s">
        <v>444</v>
      </c>
    </row>
    <row r="2" spans="1:10" x14ac:dyDescent="0.35">
      <c r="A2">
        <v>160092</v>
      </c>
      <c r="B2" s="3">
        <v>42724</v>
      </c>
      <c r="C2" t="s">
        <v>200</v>
      </c>
      <c r="D2" t="s">
        <v>365</v>
      </c>
      <c r="E2">
        <v>45150</v>
      </c>
      <c r="F2">
        <v>13650000</v>
      </c>
      <c r="G2">
        <v>3.3076920000000001E-3</v>
      </c>
      <c r="H2">
        <v>302.32558139534882</v>
      </c>
      <c r="I2" t="s">
        <v>16</v>
      </c>
      <c r="J2" t="s">
        <v>445</v>
      </c>
    </row>
    <row r="3" spans="1:10" x14ac:dyDescent="0.35">
      <c r="A3">
        <v>200195</v>
      </c>
      <c r="B3" s="3">
        <v>44312</v>
      </c>
      <c r="C3" t="s">
        <v>54</v>
      </c>
      <c r="D3" t="s">
        <v>415</v>
      </c>
      <c r="E3">
        <v>3360000</v>
      </c>
      <c r="F3">
        <v>5214750</v>
      </c>
      <c r="G3">
        <v>0.64429999999999998</v>
      </c>
      <c r="H3">
        <v>1.5520089285714285</v>
      </c>
      <c r="I3" t="s">
        <v>10</v>
      </c>
      <c r="J3" t="s">
        <v>446</v>
      </c>
    </row>
    <row r="4" spans="1:10" x14ac:dyDescent="0.35">
      <c r="A4">
        <v>201233</v>
      </c>
      <c r="B4" s="3">
        <v>44369</v>
      </c>
      <c r="C4" t="s">
        <v>85</v>
      </c>
      <c r="D4" t="s">
        <v>86</v>
      </c>
      <c r="E4">
        <v>4259500</v>
      </c>
      <c r="F4">
        <v>4300000</v>
      </c>
      <c r="G4">
        <v>0.99050000000000005</v>
      </c>
      <c r="H4">
        <v>1.0095081582345347</v>
      </c>
      <c r="I4" t="s">
        <v>13</v>
      </c>
      <c r="J4" t="s">
        <v>446</v>
      </c>
    </row>
    <row r="5" spans="1:10" x14ac:dyDescent="0.35">
      <c r="A5">
        <v>170261</v>
      </c>
      <c r="B5" s="3">
        <v>43221</v>
      </c>
      <c r="C5" t="s">
        <v>144</v>
      </c>
      <c r="D5" t="s">
        <v>384</v>
      </c>
      <c r="E5">
        <v>30660</v>
      </c>
      <c r="F5">
        <v>3266250</v>
      </c>
      <c r="G5">
        <v>9.3869120000000007E-3</v>
      </c>
      <c r="H5">
        <v>106.53131115459882</v>
      </c>
      <c r="I5" t="s">
        <v>16</v>
      </c>
      <c r="J5" t="s">
        <v>445</v>
      </c>
    </row>
    <row r="6" spans="1:10" x14ac:dyDescent="0.35">
      <c r="A6">
        <v>170255</v>
      </c>
      <c r="B6" s="3">
        <v>43221</v>
      </c>
      <c r="C6" t="s">
        <v>144</v>
      </c>
      <c r="D6" t="s">
        <v>390</v>
      </c>
      <c r="E6">
        <v>30660</v>
      </c>
      <c r="F6">
        <v>3266250</v>
      </c>
      <c r="G6">
        <v>9.3869120000000007E-3</v>
      </c>
      <c r="H6">
        <v>106.53131115459882</v>
      </c>
      <c r="I6" t="s">
        <v>16</v>
      </c>
      <c r="J6" t="s">
        <v>445</v>
      </c>
    </row>
    <row r="7" spans="1:10" x14ac:dyDescent="0.35">
      <c r="A7">
        <v>201186</v>
      </c>
      <c r="B7" s="3">
        <v>44389</v>
      </c>
      <c r="C7" t="s">
        <v>56</v>
      </c>
      <c r="D7" t="s">
        <v>60</v>
      </c>
      <c r="E7">
        <v>695500</v>
      </c>
      <c r="F7">
        <v>3200000</v>
      </c>
      <c r="G7">
        <v>0.21734375</v>
      </c>
      <c r="H7">
        <v>4.6010064701653484</v>
      </c>
      <c r="I7" t="s">
        <v>10</v>
      </c>
      <c r="J7" t="s">
        <v>445</v>
      </c>
    </row>
    <row r="8" spans="1:10" x14ac:dyDescent="0.35">
      <c r="A8">
        <v>200645</v>
      </c>
      <c r="B8" s="3">
        <v>44244</v>
      </c>
      <c r="C8" t="s">
        <v>85</v>
      </c>
      <c r="D8" t="s">
        <v>423</v>
      </c>
      <c r="E8">
        <v>2661200</v>
      </c>
      <c r="F8">
        <v>3000000</v>
      </c>
      <c r="G8">
        <v>0.88700000000000001</v>
      </c>
      <c r="H8">
        <v>1.1273109875244252</v>
      </c>
      <c r="I8" t="s">
        <v>13</v>
      </c>
      <c r="J8" t="s">
        <v>446</v>
      </c>
    </row>
    <row r="9" spans="1:10" x14ac:dyDescent="0.35">
      <c r="A9">
        <v>200661</v>
      </c>
      <c r="B9" s="3">
        <v>44438</v>
      </c>
      <c r="C9" t="s">
        <v>152</v>
      </c>
      <c r="D9" t="s">
        <v>154</v>
      </c>
      <c r="E9">
        <v>1279460</v>
      </c>
      <c r="F9">
        <v>2400000</v>
      </c>
      <c r="G9">
        <v>0.53310000000000002</v>
      </c>
      <c r="H9">
        <v>1.87579134947556</v>
      </c>
      <c r="I9" t="s">
        <v>13</v>
      </c>
      <c r="J9" t="s">
        <v>446</v>
      </c>
    </row>
    <row r="10" spans="1:10" x14ac:dyDescent="0.35">
      <c r="A10">
        <v>201437</v>
      </c>
      <c r="B10" s="3">
        <v>44397</v>
      </c>
      <c r="C10" t="s">
        <v>85</v>
      </c>
      <c r="D10" t="s">
        <v>87</v>
      </c>
      <c r="E10">
        <v>1337630</v>
      </c>
      <c r="F10">
        <v>2300000</v>
      </c>
      <c r="G10">
        <v>0.58150000000000002</v>
      </c>
      <c r="H10">
        <v>1.7194590432331811</v>
      </c>
      <c r="I10" t="s">
        <v>13</v>
      </c>
      <c r="J10" t="s">
        <v>446</v>
      </c>
    </row>
    <row r="11" spans="1:10" x14ac:dyDescent="0.35">
      <c r="A11">
        <v>200055</v>
      </c>
      <c r="B11" s="3">
        <v>44221</v>
      </c>
      <c r="C11" t="s">
        <v>262</v>
      </c>
      <c r="D11" t="s">
        <v>263</v>
      </c>
      <c r="E11">
        <v>1030330</v>
      </c>
      <c r="F11">
        <v>2285000</v>
      </c>
      <c r="G11">
        <v>0.45090000000000002</v>
      </c>
      <c r="H11">
        <v>2.2177360651441771</v>
      </c>
      <c r="I11" t="s">
        <v>13</v>
      </c>
      <c r="J11" t="s">
        <v>445</v>
      </c>
    </row>
    <row r="12" spans="1:10" x14ac:dyDescent="0.35">
      <c r="A12">
        <v>2016743</v>
      </c>
      <c r="B12" s="3">
        <v>44396</v>
      </c>
      <c r="C12" t="s">
        <v>197</v>
      </c>
      <c r="D12" t="s">
        <v>198</v>
      </c>
      <c r="E12">
        <v>1769800</v>
      </c>
      <c r="F12">
        <v>1800000</v>
      </c>
      <c r="G12">
        <v>0.98319999999999996</v>
      </c>
      <c r="H12">
        <v>1.0170640750367272</v>
      </c>
      <c r="I12" t="s">
        <v>10</v>
      </c>
      <c r="J12" t="s">
        <v>446</v>
      </c>
    </row>
    <row r="13" spans="1:10" x14ac:dyDescent="0.35">
      <c r="A13">
        <v>200320</v>
      </c>
      <c r="B13" s="3">
        <v>44326</v>
      </c>
      <c r="C13" t="s">
        <v>69</v>
      </c>
      <c r="D13" t="s">
        <v>71</v>
      </c>
      <c r="E13">
        <v>776230</v>
      </c>
      <c r="F13">
        <v>1525000</v>
      </c>
      <c r="G13">
        <v>0.50900000000000001</v>
      </c>
      <c r="H13">
        <v>1.9646238872499131</v>
      </c>
      <c r="I13" t="s">
        <v>10</v>
      </c>
      <c r="J13" t="s">
        <v>446</v>
      </c>
    </row>
    <row r="14" spans="1:10" x14ac:dyDescent="0.35">
      <c r="A14">
        <v>200377</v>
      </c>
      <c r="B14" s="3">
        <v>44379</v>
      </c>
      <c r="C14" t="s">
        <v>14</v>
      </c>
      <c r="D14" t="s">
        <v>17</v>
      </c>
      <c r="E14">
        <v>862330</v>
      </c>
      <c r="F14">
        <v>1447500</v>
      </c>
      <c r="G14">
        <v>0.59570000000000001</v>
      </c>
      <c r="H14">
        <v>1.6785917224264493</v>
      </c>
      <c r="I14" t="s">
        <v>13</v>
      </c>
      <c r="J14" t="s">
        <v>446</v>
      </c>
    </row>
    <row r="15" spans="1:10" x14ac:dyDescent="0.35">
      <c r="A15">
        <v>161304</v>
      </c>
      <c r="B15" s="3">
        <v>42901</v>
      </c>
      <c r="C15" t="s">
        <v>181</v>
      </c>
      <c r="D15" t="s">
        <v>382</v>
      </c>
      <c r="E15">
        <v>91980</v>
      </c>
      <c r="F15">
        <v>1323338</v>
      </c>
      <c r="G15">
        <v>6.9506051999999999E-2</v>
      </c>
      <c r="H15">
        <v>14.387236355729506</v>
      </c>
      <c r="I15" t="s">
        <v>16</v>
      </c>
      <c r="J15" t="s">
        <v>445</v>
      </c>
    </row>
    <row r="16" spans="1:10" x14ac:dyDescent="0.35">
      <c r="A16">
        <v>200109</v>
      </c>
      <c r="B16" s="3">
        <v>44174</v>
      </c>
      <c r="C16" t="s">
        <v>14</v>
      </c>
      <c r="D16" t="s">
        <v>18</v>
      </c>
      <c r="E16">
        <v>847520</v>
      </c>
      <c r="F16">
        <v>1250000</v>
      </c>
      <c r="G16">
        <v>0.67800000000000005</v>
      </c>
      <c r="H16">
        <v>1.474891447989428</v>
      </c>
      <c r="I16" t="s">
        <v>13</v>
      </c>
      <c r="J16" t="s">
        <v>446</v>
      </c>
    </row>
    <row r="17" spans="1:10" x14ac:dyDescent="0.35">
      <c r="A17">
        <v>201494</v>
      </c>
      <c r="B17" s="3">
        <v>44405</v>
      </c>
      <c r="C17" t="s">
        <v>85</v>
      </c>
      <c r="D17" t="s">
        <v>88</v>
      </c>
      <c r="E17">
        <v>632170</v>
      </c>
      <c r="F17">
        <v>1250000</v>
      </c>
      <c r="G17">
        <v>0.50570000000000004</v>
      </c>
      <c r="H17">
        <v>1.9773162282297483</v>
      </c>
      <c r="I17" t="s">
        <v>13</v>
      </c>
      <c r="J17" t="s">
        <v>446</v>
      </c>
    </row>
    <row r="18" spans="1:10" x14ac:dyDescent="0.35">
      <c r="A18">
        <v>200539</v>
      </c>
      <c r="B18" s="3">
        <v>44393</v>
      </c>
      <c r="C18" t="s">
        <v>68</v>
      </c>
      <c r="D18" t="s">
        <v>80</v>
      </c>
      <c r="E18">
        <v>1213620</v>
      </c>
      <c r="F18">
        <v>1125000</v>
      </c>
      <c r="G18">
        <v>10787</v>
      </c>
      <c r="H18">
        <v>0.92697879072526823</v>
      </c>
      <c r="I18" t="s">
        <v>10</v>
      </c>
      <c r="J18" t="s">
        <v>446</v>
      </c>
    </row>
    <row r="19" spans="1:10" x14ac:dyDescent="0.35">
      <c r="A19">
        <v>200020</v>
      </c>
      <c r="B19" s="3">
        <v>44110</v>
      </c>
      <c r="C19" t="s">
        <v>92</v>
      </c>
      <c r="D19" t="s">
        <v>95</v>
      </c>
      <c r="E19">
        <v>654570</v>
      </c>
      <c r="F19">
        <v>990000</v>
      </c>
      <c r="G19">
        <v>0.66118181799999998</v>
      </c>
      <c r="H19">
        <v>1.5124432833768733</v>
      </c>
      <c r="I19" t="s">
        <v>13</v>
      </c>
      <c r="J19" t="s">
        <v>446</v>
      </c>
    </row>
    <row r="20" spans="1:10" x14ac:dyDescent="0.35">
      <c r="A20">
        <v>2001101</v>
      </c>
      <c r="B20" s="3">
        <v>44259</v>
      </c>
      <c r="C20" t="s">
        <v>181</v>
      </c>
      <c r="D20" t="s">
        <v>223</v>
      </c>
      <c r="E20">
        <v>599810</v>
      </c>
      <c r="F20">
        <v>950000</v>
      </c>
      <c r="G20">
        <v>0.63129999999999997</v>
      </c>
      <c r="H20">
        <v>1.5838348810456644</v>
      </c>
      <c r="I20" t="s">
        <v>13</v>
      </c>
      <c r="J20" t="s">
        <v>446</v>
      </c>
    </row>
    <row r="21" spans="1:10" x14ac:dyDescent="0.35">
      <c r="A21">
        <v>200427</v>
      </c>
      <c r="B21" s="3">
        <v>44232</v>
      </c>
      <c r="C21" t="s">
        <v>133</v>
      </c>
      <c r="D21" t="s">
        <v>177</v>
      </c>
      <c r="E21">
        <v>587600</v>
      </c>
      <c r="F21">
        <v>939000</v>
      </c>
      <c r="G21">
        <v>0.62570000000000003</v>
      </c>
      <c r="H21">
        <v>1.5980258679373724</v>
      </c>
      <c r="I21" t="s">
        <v>10</v>
      </c>
      <c r="J21" t="s">
        <v>446</v>
      </c>
    </row>
    <row r="22" spans="1:10" x14ac:dyDescent="0.35">
      <c r="A22">
        <v>2001570</v>
      </c>
      <c r="B22" s="3">
        <v>44330</v>
      </c>
      <c r="C22" t="s">
        <v>181</v>
      </c>
      <c r="D22" t="s">
        <v>227</v>
      </c>
      <c r="E22">
        <v>486230</v>
      </c>
      <c r="F22">
        <v>930000</v>
      </c>
      <c r="G22">
        <v>0.52280000000000004</v>
      </c>
      <c r="H22">
        <v>1.9126750714682352</v>
      </c>
      <c r="I22" t="s">
        <v>10</v>
      </c>
      <c r="J22" t="s">
        <v>446</v>
      </c>
    </row>
    <row r="23" spans="1:10" x14ac:dyDescent="0.35">
      <c r="A23">
        <v>20771</v>
      </c>
      <c r="B23" s="3">
        <v>44455</v>
      </c>
      <c r="C23" t="s">
        <v>166</v>
      </c>
      <c r="D23" t="s">
        <v>169</v>
      </c>
      <c r="E23">
        <v>451770</v>
      </c>
      <c r="F23">
        <v>910000</v>
      </c>
      <c r="G23">
        <v>0.49645054900000002</v>
      </c>
      <c r="H23">
        <v>2.0142993115966088</v>
      </c>
      <c r="I23" t="s">
        <v>13</v>
      </c>
      <c r="J23" t="s">
        <v>445</v>
      </c>
    </row>
    <row r="24" spans="1:10" x14ac:dyDescent="0.35">
      <c r="A24">
        <v>200627</v>
      </c>
      <c r="B24" s="3">
        <v>44397</v>
      </c>
      <c r="C24" t="s">
        <v>252</v>
      </c>
      <c r="D24" t="s">
        <v>255</v>
      </c>
      <c r="E24">
        <v>475160</v>
      </c>
      <c r="F24">
        <v>905000</v>
      </c>
      <c r="G24">
        <v>0.52500000000000002</v>
      </c>
      <c r="H24">
        <v>1.9046216011448776</v>
      </c>
      <c r="I24" t="s">
        <v>13</v>
      </c>
      <c r="J24" t="s">
        <v>446</v>
      </c>
    </row>
    <row r="25" spans="1:10" x14ac:dyDescent="0.35">
      <c r="A25">
        <v>200243</v>
      </c>
      <c r="B25" s="3">
        <v>44299</v>
      </c>
      <c r="C25" t="s">
        <v>14</v>
      </c>
      <c r="D25" t="s">
        <v>410</v>
      </c>
      <c r="E25">
        <v>619290</v>
      </c>
      <c r="F25">
        <v>890000</v>
      </c>
      <c r="G25">
        <v>0.69579999999999997</v>
      </c>
      <c r="H25">
        <v>1.4371296161733598</v>
      </c>
      <c r="I25" t="s">
        <v>13</v>
      </c>
      <c r="J25" t="s">
        <v>446</v>
      </c>
    </row>
    <row r="26" spans="1:10" x14ac:dyDescent="0.35">
      <c r="A26">
        <v>20129</v>
      </c>
      <c r="B26" s="3">
        <v>44285</v>
      </c>
      <c r="C26" t="s">
        <v>64</v>
      </c>
      <c r="D26" t="s">
        <v>65</v>
      </c>
      <c r="E26">
        <v>351260</v>
      </c>
      <c r="F26">
        <v>873000</v>
      </c>
      <c r="G26">
        <v>0.40229999999999999</v>
      </c>
      <c r="H26">
        <v>2.4853384957011899</v>
      </c>
      <c r="I26" t="s">
        <v>10</v>
      </c>
      <c r="J26" t="s">
        <v>445</v>
      </c>
    </row>
    <row r="27" spans="1:10" x14ac:dyDescent="0.35">
      <c r="A27">
        <v>200338</v>
      </c>
      <c r="B27" s="3">
        <v>44309</v>
      </c>
      <c r="C27" t="s">
        <v>152</v>
      </c>
      <c r="D27" t="s">
        <v>153</v>
      </c>
      <c r="E27">
        <v>620760</v>
      </c>
      <c r="F27">
        <v>850000</v>
      </c>
      <c r="G27">
        <v>0.73029999999999995</v>
      </c>
      <c r="H27">
        <v>1.3692892583285006</v>
      </c>
      <c r="I27" t="s">
        <v>13</v>
      </c>
      <c r="J27" t="s">
        <v>446</v>
      </c>
    </row>
    <row r="28" spans="1:10" x14ac:dyDescent="0.35">
      <c r="A28">
        <v>201207</v>
      </c>
      <c r="B28" s="3">
        <v>44398</v>
      </c>
      <c r="C28" t="s">
        <v>159</v>
      </c>
      <c r="D28" t="s">
        <v>162</v>
      </c>
      <c r="E28">
        <v>368130</v>
      </c>
      <c r="F28">
        <v>850000</v>
      </c>
      <c r="G28">
        <v>0.433</v>
      </c>
      <c r="H28">
        <v>2.3089669410262679</v>
      </c>
      <c r="I28" t="s">
        <v>13</v>
      </c>
      <c r="J28" t="s">
        <v>445</v>
      </c>
    </row>
    <row r="29" spans="1:10" x14ac:dyDescent="0.35">
      <c r="A29">
        <v>2000344</v>
      </c>
      <c r="B29" s="3">
        <v>44145</v>
      </c>
      <c r="C29" t="s">
        <v>181</v>
      </c>
      <c r="D29" t="s">
        <v>232</v>
      </c>
      <c r="E29">
        <v>539700</v>
      </c>
      <c r="F29">
        <v>850000</v>
      </c>
      <c r="G29">
        <v>0.63490000000000002</v>
      </c>
      <c r="H29">
        <v>1.5749490457661663</v>
      </c>
      <c r="I29" t="s">
        <v>13</v>
      </c>
      <c r="J29" t="s">
        <v>446</v>
      </c>
    </row>
    <row r="30" spans="1:10" x14ac:dyDescent="0.35">
      <c r="A30">
        <v>202000106</v>
      </c>
      <c r="B30" s="3">
        <v>44224</v>
      </c>
      <c r="C30" t="s">
        <v>193</v>
      </c>
      <c r="D30" t="s">
        <v>194</v>
      </c>
      <c r="E30">
        <v>596470</v>
      </c>
      <c r="F30">
        <v>833111</v>
      </c>
      <c r="G30">
        <v>0.71589999999999998</v>
      </c>
      <c r="H30">
        <v>1.3967357955974316</v>
      </c>
      <c r="I30" t="s">
        <v>10</v>
      </c>
      <c r="J30" t="s">
        <v>446</v>
      </c>
    </row>
    <row r="31" spans="1:10" x14ac:dyDescent="0.35">
      <c r="A31">
        <v>2001250</v>
      </c>
      <c r="B31" s="3">
        <v>44280</v>
      </c>
      <c r="C31" t="s">
        <v>181</v>
      </c>
      <c r="D31" t="s">
        <v>224</v>
      </c>
      <c r="E31">
        <v>403190</v>
      </c>
      <c r="F31">
        <v>810000</v>
      </c>
      <c r="G31">
        <v>0.49769999999999998</v>
      </c>
      <c r="H31">
        <v>2.0089783972816786</v>
      </c>
      <c r="I31" t="s">
        <v>13</v>
      </c>
      <c r="J31" t="s">
        <v>445</v>
      </c>
    </row>
    <row r="32" spans="1:10" x14ac:dyDescent="0.35">
      <c r="A32">
        <v>201027</v>
      </c>
      <c r="B32" s="3">
        <v>44396</v>
      </c>
      <c r="C32" t="s">
        <v>117</v>
      </c>
      <c r="D32" t="s">
        <v>121</v>
      </c>
      <c r="E32">
        <v>517700</v>
      </c>
      <c r="F32">
        <v>800000</v>
      </c>
      <c r="G32">
        <v>0.64710000000000001</v>
      </c>
      <c r="H32">
        <v>1.5452965037666602</v>
      </c>
      <c r="I32" t="s">
        <v>10</v>
      </c>
      <c r="J32" t="s">
        <v>446</v>
      </c>
    </row>
    <row r="33" spans="1:10" x14ac:dyDescent="0.35">
      <c r="A33">
        <v>2002453</v>
      </c>
      <c r="B33" s="3">
        <v>44435</v>
      </c>
      <c r="C33" t="s">
        <v>181</v>
      </c>
      <c r="D33" t="s">
        <v>233</v>
      </c>
      <c r="E33">
        <v>596290</v>
      </c>
      <c r="F33">
        <v>800000</v>
      </c>
      <c r="G33">
        <v>0.74529999999999996</v>
      </c>
      <c r="H33">
        <v>1.3416290731020142</v>
      </c>
      <c r="I33" t="s">
        <v>10</v>
      </c>
      <c r="J33" t="s">
        <v>446</v>
      </c>
    </row>
    <row r="34" spans="1:10" x14ac:dyDescent="0.35">
      <c r="A34">
        <v>200097</v>
      </c>
      <c r="B34" s="3">
        <v>44351</v>
      </c>
      <c r="C34" t="s">
        <v>21</v>
      </c>
      <c r="D34" t="s">
        <v>22</v>
      </c>
      <c r="E34">
        <v>511000</v>
      </c>
      <c r="F34">
        <v>795000</v>
      </c>
      <c r="G34">
        <v>0.64270000000000005</v>
      </c>
      <c r="H34">
        <v>1.5557729941291585</v>
      </c>
      <c r="I34" t="s">
        <v>10</v>
      </c>
      <c r="J34" t="s">
        <v>446</v>
      </c>
    </row>
    <row r="35" spans="1:10" x14ac:dyDescent="0.35">
      <c r="A35">
        <v>2002537</v>
      </c>
      <c r="B35" s="3">
        <v>44446</v>
      </c>
      <c r="C35" t="s">
        <v>181</v>
      </c>
      <c r="D35" t="s">
        <v>229</v>
      </c>
      <c r="E35">
        <v>441560</v>
      </c>
      <c r="F35">
        <v>785000</v>
      </c>
      <c r="G35">
        <v>0.56240000000000001</v>
      </c>
      <c r="H35">
        <v>1.7777878431017302</v>
      </c>
      <c r="I35" t="s">
        <v>13</v>
      </c>
      <c r="J35" t="s">
        <v>446</v>
      </c>
    </row>
    <row r="36" spans="1:10" x14ac:dyDescent="0.35">
      <c r="A36">
        <v>20274</v>
      </c>
      <c r="B36" s="3">
        <v>44204</v>
      </c>
      <c r="C36" t="s">
        <v>166</v>
      </c>
      <c r="D36" t="s">
        <v>167</v>
      </c>
      <c r="E36">
        <v>419590</v>
      </c>
      <c r="F36">
        <v>779000</v>
      </c>
      <c r="G36">
        <v>0.53859999999999997</v>
      </c>
      <c r="H36">
        <v>1.8565742748873901</v>
      </c>
      <c r="I36" t="s">
        <v>13</v>
      </c>
      <c r="J36" t="s">
        <v>446</v>
      </c>
    </row>
    <row r="37" spans="1:10" x14ac:dyDescent="0.35">
      <c r="A37">
        <v>2000120</v>
      </c>
      <c r="B37" s="3">
        <v>44120</v>
      </c>
      <c r="C37" t="s">
        <v>181</v>
      </c>
      <c r="D37" t="s">
        <v>230</v>
      </c>
      <c r="E37">
        <v>497000</v>
      </c>
      <c r="F37">
        <v>755000</v>
      </c>
      <c r="G37">
        <v>0.65820000000000001</v>
      </c>
      <c r="H37">
        <v>1.5191146881287727</v>
      </c>
      <c r="I37" t="s">
        <v>13</v>
      </c>
      <c r="J37" t="s">
        <v>446</v>
      </c>
    </row>
    <row r="38" spans="1:10" x14ac:dyDescent="0.35">
      <c r="A38">
        <v>100384</v>
      </c>
      <c r="B38" s="3">
        <v>40687</v>
      </c>
      <c r="C38" t="s">
        <v>146</v>
      </c>
      <c r="D38" t="s">
        <v>328</v>
      </c>
      <c r="E38">
        <v>852670</v>
      </c>
      <c r="F38">
        <v>754000</v>
      </c>
      <c r="G38">
        <v>1130862069</v>
      </c>
      <c r="H38">
        <v>0.88428114041774664</v>
      </c>
      <c r="I38" t="s">
        <v>16</v>
      </c>
      <c r="J38" t="s">
        <v>446</v>
      </c>
    </row>
    <row r="39" spans="1:10" x14ac:dyDescent="0.35">
      <c r="A39">
        <v>200098</v>
      </c>
      <c r="B39" s="3">
        <v>44141</v>
      </c>
      <c r="C39" t="s">
        <v>92</v>
      </c>
      <c r="D39" t="s">
        <v>424</v>
      </c>
      <c r="E39">
        <v>354550</v>
      </c>
      <c r="F39">
        <v>742500</v>
      </c>
      <c r="G39">
        <v>0.47749999999999998</v>
      </c>
      <c r="H39">
        <v>2.094203920462558</v>
      </c>
      <c r="I39" t="s">
        <v>13</v>
      </c>
      <c r="J39" t="s">
        <v>445</v>
      </c>
    </row>
    <row r="40" spans="1:10" x14ac:dyDescent="0.35">
      <c r="A40">
        <v>201328</v>
      </c>
      <c r="B40" s="3">
        <v>44414</v>
      </c>
      <c r="C40" t="s">
        <v>54</v>
      </c>
      <c r="D40" t="s">
        <v>55</v>
      </c>
      <c r="E40">
        <v>410670</v>
      </c>
      <c r="F40">
        <v>740000</v>
      </c>
      <c r="G40">
        <v>0.55489999999999995</v>
      </c>
      <c r="H40">
        <v>1.8019334258650499</v>
      </c>
      <c r="I40" t="s">
        <v>13</v>
      </c>
      <c r="J40" t="s">
        <v>446</v>
      </c>
    </row>
    <row r="41" spans="1:10" x14ac:dyDescent="0.35">
      <c r="A41">
        <v>200170</v>
      </c>
      <c r="B41" s="3">
        <v>44361</v>
      </c>
      <c r="C41" t="s">
        <v>271</v>
      </c>
      <c r="D41" t="s">
        <v>272</v>
      </c>
      <c r="E41">
        <v>271120</v>
      </c>
      <c r="F41">
        <v>725000</v>
      </c>
      <c r="G41">
        <v>0.37390000000000001</v>
      </c>
      <c r="H41">
        <v>2.6740926526999114</v>
      </c>
      <c r="I41" t="s">
        <v>13</v>
      </c>
      <c r="J41" t="s">
        <v>445</v>
      </c>
    </row>
    <row r="42" spans="1:10" x14ac:dyDescent="0.35">
      <c r="A42">
        <v>20458</v>
      </c>
      <c r="B42" s="3">
        <v>44365</v>
      </c>
      <c r="C42" t="s">
        <v>268</v>
      </c>
      <c r="D42" t="s">
        <v>269</v>
      </c>
      <c r="E42">
        <v>271240</v>
      </c>
      <c r="F42">
        <v>710000</v>
      </c>
      <c r="G42">
        <v>0.38200000000000001</v>
      </c>
      <c r="H42">
        <v>2.6176080224155731</v>
      </c>
      <c r="I42" t="s">
        <v>13</v>
      </c>
      <c r="J42" t="s">
        <v>445</v>
      </c>
    </row>
    <row r="43" spans="1:10" x14ac:dyDescent="0.35">
      <c r="A43">
        <v>200421</v>
      </c>
      <c r="B43" s="3">
        <v>44189</v>
      </c>
      <c r="C43" t="s">
        <v>85</v>
      </c>
      <c r="D43" t="s">
        <v>89</v>
      </c>
      <c r="E43">
        <v>288190</v>
      </c>
      <c r="F43">
        <v>705000</v>
      </c>
      <c r="G43">
        <v>0.40870000000000001</v>
      </c>
      <c r="H43">
        <v>2.4463027863562234</v>
      </c>
      <c r="I43" t="s">
        <v>13</v>
      </c>
      <c r="J43" t="s">
        <v>445</v>
      </c>
    </row>
    <row r="44" spans="1:10" x14ac:dyDescent="0.35">
      <c r="A44">
        <v>200258</v>
      </c>
      <c r="B44" s="3">
        <v>44218</v>
      </c>
      <c r="C44" t="s">
        <v>29</v>
      </c>
      <c r="D44" t="s">
        <v>30</v>
      </c>
      <c r="E44">
        <v>530500</v>
      </c>
      <c r="F44">
        <v>700000</v>
      </c>
      <c r="G44">
        <v>0.75780000000000003</v>
      </c>
      <c r="H44">
        <v>1.3195098963242224</v>
      </c>
      <c r="I44" t="s">
        <v>13</v>
      </c>
      <c r="J44" t="s">
        <v>446</v>
      </c>
    </row>
    <row r="45" spans="1:10" x14ac:dyDescent="0.35">
      <c r="A45">
        <v>2020313</v>
      </c>
      <c r="B45" s="3">
        <v>44378</v>
      </c>
      <c r="C45" t="s">
        <v>19</v>
      </c>
      <c r="D45" t="s">
        <v>411</v>
      </c>
      <c r="E45">
        <v>412000</v>
      </c>
      <c r="F45">
        <v>677500</v>
      </c>
      <c r="G45">
        <v>0.60809999999999997</v>
      </c>
      <c r="H45">
        <v>1.6444174757281553</v>
      </c>
      <c r="I45" t="s">
        <v>13</v>
      </c>
      <c r="J45" t="s">
        <v>446</v>
      </c>
    </row>
    <row r="46" spans="1:10" x14ac:dyDescent="0.35">
      <c r="A46">
        <v>2001286</v>
      </c>
      <c r="B46" s="3">
        <v>44285</v>
      </c>
      <c r="C46" t="s">
        <v>181</v>
      </c>
      <c r="D46" t="s">
        <v>225</v>
      </c>
      <c r="E46">
        <v>438860</v>
      </c>
      <c r="F46">
        <v>652000</v>
      </c>
      <c r="G46">
        <v>0.67300000000000004</v>
      </c>
      <c r="H46">
        <v>1.4856674110194594</v>
      </c>
      <c r="I46" t="s">
        <v>13</v>
      </c>
      <c r="J46" t="s">
        <v>446</v>
      </c>
    </row>
    <row r="47" spans="1:10" x14ac:dyDescent="0.35">
      <c r="A47">
        <v>200804</v>
      </c>
      <c r="B47" s="3">
        <v>44467</v>
      </c>
      <c r="C47" t="s">
        <v>29</v>
      </c>
      <c r="D47" t="s">
        <v>31</v>
      </c>
      <c r="E47">
        <v>455100</v>
      </c>
      <c r="F47">
        <v>650000</v>
      </c>
      <c r="G47">
        <v>0.70009999999999994</v>
      </c>
      <c r="H47">
        <v>1.4282575258185015</v>
      </c>
      <c r="I47" t="s">
        <v>10</v>
      </c>
      <c r="J47" t="s">
        <v>446</v>
      </c>
    </row>
    <row r="48" spans="1:10" x14ac:dyDescent="0.35">
      <c r="A48">
        <v>200639</v>
      </c>
      <c r="B48" s="3">
        <v>44405</v>
      </c>
      <c r="C48" t="s">
        <v>92</v>
      </c>
      <c r="D48" t="s">
        <v>94</v>
      </c>
      <c r="E48">
        <v>259770</v>
      </c>
      <c r="F48">
        <v>650000</v>
      </c>
      <c r="G48">
        <v>0.39964615399999998</v>
      </c>
      <c r="H48">
        <v>2.5022134965546443</v>
      </c>
      <c r="I48" t="s">
        <v>13</v>
      </c>
      <c r="J48" t="s">
        <v>445</v>
      </c>
    </row>
    <row r="49" spans="1:10" x14ac:dyDescent="0.35">
      <c r="A49">
        <v>20200578</v>
      </c>
      <c r="B49" s="3">
        <v>44244</v>
      </c>
      <c r="C49" t="s">
        <v>129</v>
      </c>
      <c r="D49" t="s">
        <v>238</v>
      </c>
      <c r="E49">
        <v>429800</v>
      </c>
      <c r="F49">
        <v>650000</v>
      </c>
      <c r="G49">
        <v>0.66120000000000001</v>
      </c>
      <c r="H49">
        <v>1.5123313168915775</v>
      </c>
      <c r="I49" t="s">
        <v>10</v>
      </c>
      <c r="J49" t="s">
        <v>446</v>
      </c>
    </row>
    <row r="50" spans="1:10" x14ac:dyDescent="0.35">
      <c r="A50">
        <v>200043</v>
      </c>
      <c r="B50" s="3">
        <v>44174</v>
      </c>
      <c r="C50" t="s">
        <v>111</v>
      </c>
      <c r="D50" t="s">
        <v>112</v>
      </c>
      <c r="E50">
        <v>354040</v>
      </c>
      <c r="F50">
        <v>645000</v>
      </c>
      <c r="G50">
        <v>0.54879999999999995</v>
      </c>
      <c r="H50">
        <v>1.8218280420291493</v>
      </c>
      <c r="I50" t="s">
        <v>13</v>
      </c>
      <c r="J50" t="s">
        <v>446</v>
      </c>
    </row>
    <row r="51" spans="1:10" x14ac:dyDescent="0.35">
      <c r="A51">
        <v>200042</v>
      </c>
      <c r="B51" s="3">
        <v>44335</v>
      </c>
      <c r="C51" t="s">
        <v>413</v>
      </c>
      <c r="D51" t="s">
        <v>40</v>
      </c>
      <c r="E51">
        <v>355800</v>
      </c>
      <c r="F51">
        <v>599000</v>
      </c>
      <c r="G51">
        <v>0.59389999999999998</v>
      </c>
      <c r="H51">
        <v>1.6835300730747611</v>
      </c>
      <c r="I51" t="s">
        <v>13</v>
      </c>
      <c r="J51" t="s">
        <v>446</v>
      </c>
    </row>
    <row r="52" spans="1:10" x14ac:dyDescent="0.35">
      <c r="A52">
        <v>200002</v>
      </c>
      <c r="B52" s="3">
        <v>44105</v>
      </c>
      <c r="C52" t="s">
        <v>130</v>
      </c>
      <c r="D52" t="s">
        <v>203</v>
      </c>
      <c r="E52">
        <v>439290</v>
      </c>
      <c r="F52">
        <v>575000</v>
      </c>
      <c r="G52">
        <v>0.76398260900000003</v>
      </c>
      <c r="H52">
        <v>1.3089303193789978</v>
      </c>
      <c r="I52" t="s">
        <v>13</v>
      </c>
      <c r="J52" t="s">
        <v>446</v>
      </c>
    </row>
    <row r="53" spans="1:10" x14ac:dyDescent="0.35">
      <c r="A53">
        <v>70101</v>
      </c>
      <c r="B53" s="3">
        <v>39510</v>
      </c>
      <c r="C53" t="s">
        <v>136</v>
      </c>
      <c r="D53" t="s">
        <v>300</v>
      </c>
      <c r="E53">
        <v>342230</v>
      </c>
      <c r="F53">
        <v>575000</v>
      </c>
      <c r="G53">
        <v>0.59518260899999997</v>
      </c>
      <c r="H53">
        <v>1.6801566198170821</v>
      </c>
      <c r="I53" t="s">
        <v>16</v>
      </c>
      <c r="J53" t="s">
        <v>446</v>
      </c>
    </row>
    <row r="54" spans="1:10" x14ac:dyDescent="0.35">
      <c r="A54">
        <v>160178</v>
      </c>
      <c r="B54" s="3">
        <v>42900</v>
      </c>
      <c r="C54" t="s">
        <v>341</v>
      </c>
      <c r="D54" t="s">
        <v>398</v>
      </c>
      <c r="E54">
        <v>363600</v>
      </c>
      <c r="F54">
        <v>572500</v>
      </c>
      <c r="G54">
        <v>0.63510917</v>
      </c>
      <c r="H54">
        <v>1.5745324532453244</v>
      </c>
      <c r="I54" t="s">
        <v>16</v>
      </c>
      <c r="J54" t="s">
        <v>446</v>
      </c>
    </row>
    <row r="55" spans="1:10" x14ac:dyDescent="0.35">
      <c r="A55">
        <v>90146</v>
      </c>
      <c r="B55" s="3">
        <v>40308</v>
      </c>
      <c r="C55" t="s">
        <v>152</v>
      </c>
      <c r="D55" t="s">
        <v>325</v>
      </c>
      <c r="E55">
        <v>595000</v>
      </c>
      <c r="F55">
        <v>562000</v>
      </c>
      <c r="G55">
        <v>1058718861</v>
      </c>
      <c r="H55">
        <v>0.9445378151260504</v>
      </c>
      <c r="I55" t="s">
        <v>16</v>
      </c>
      <c r="J55" t="s">
        <v>446</v>
      </c>
    </row>
    <row r="56" spans="1:10" x14ac:dyDescent="0.35">
      <c r="A56">
        <v>200742</v>
      </c>
      <c r="B56" s="3">
        <v>44284</v>
      </c>
      <c r="C56" t="s">
        <v>56</v>
      </c>
      <c r="D56" t="s">
        <v>57</v>
      </c>
      <c r="E56">
        <v>339100</v>
      </c>
      <c r="F56">
        <v>550000</v>
      </c>
      <c r="G56">
        <v>0.61650000000000005</v>
      </c>
      <c r="H56">
        <v>1.6219404305514598</v>
      </c>
      <c r="I56" t="s">
        <v>13</v>
      </c>
      <c r="J56" t="s">
        <v>446</v>
      </c>
    </row>
    <row r="57" spans="1:10" x14ac:dyDescent="0.35">
      <c r="A57">
        <v>200151</v>
      </c>
      <c r="B57" s="3">
        <v>44179</v>
      </c>
      <c r="C57" t="s">
        <v>68</v>
      </c>
      <c r="D57" t="s">
        <v>79</v>
      </c>
      <c r="E57">
        <v>356410</v>
      </c>
      <c r="F57">
        <v>550000</v>
      </c>
      <c r="G57">
        <v>0.64800000000000002</v>
      </c>
      <c r="H57">
        <v>1.543166577817682</v>
      </c>
      <c r="I57" t="s">
        <v>13</v>
      </c>
      <c r="J57" t="s">
        <v>446</v>
      </c>
    </row>
    <row r="58" spans="1:10" x14ac:dyDescent="0.35">
      <c r="A58">
        <v>20249</v>
      </c>
      <c r="B58" s="3">
        <v>44469</v>
      </c>
      <c r="C58" t="s">
        <v>151</v>
      </c>
      <c r="D58" t="s">
        <v>183</v>
      </c>
      <c r="E58">
        <v>297700</v>
      </c>
      <c r="F58">
        <v>550000</v>
      </c>
      <c r="G58">
        <v>0.54120000000000001</v>
      </c>
      <c r="H58">
        <v>1.8474974806852535</v>
      </c>
      <c r="I58" t="s">
        <v>13</v>
      </c>
      <c r="J58" t="s">
        <v>446</v>
      </c>
    </row>
    <row r="59" spans="1:10" x14ac:dyDescent="0.35">
      <c r="A59">
        <v>70561</v>
      </c>
      <c r="B59" s="3">
        <v>39702</v>
      </c>
      <c r="C59" t="s">
        <v>206</v>
      </c>
      <c r="D59" t="s">
        <v>303</v>
      </c>
      <c r="E59">
        <v>342650</v>
      </c>
      <c r="F59">
        <v>542500</v>
      </c>
      <c r="G59">
        <v>0.63161290299999995</v>
      </c>
      <c r="H59">
        <v>1.5832482124616956</v>
      </c>
      <c r="I59" t="s">
        <v>16</v>
      </c>
      <c r="J59" t="s">
        <v>446</v>
      </c>
    </row>
    <row r="60" spans="1:10" x14ac:dyDescent="0.35">
      <c r="A60">
        <v>2001590</v>
      </c>
      <c r="B60" s="3">
        <v>44333</v>
      </c>
      <c r="C60" t="s">
        <v>181</v>
      </c>
      <c r="D60" t="s">
        <v>228</v>
      </c>
      <c r="E60">
        <v>423700</v>
      </c>
      <c r="F60">
        <v>533350</v>
      </c>
      <c r="G60">
        <v>0.7944</v>
      </c>
      <c r="H60">
        <v>1.2587915978286524</v>
      </c>
      <c r="I60" t="s">
        <v>13</v>
      </c>
      <c r="J60" t="s">
        <v>446</v>
      </c>
    </row>
    <row r="61" spans="1:10" x14ac:dyDescent="0.35">
      <c r="A61">
        <v>141056</v>
      </c>
      <c r="B61" s="3">
        <v>42157</v>
      </c>
      <c r="C61" t="s">
        <v>181</v>
      </c>
      <c r="D61" t="s">
        <v>359</v>
      </c>
      <c r="E61">
        <v>314280</v>
      </c>
      <c r="F61">
        <v>526000</v>
      </c>
      <c r="G61">
        <v>0.59749049399999998</v>
      </c>
      <c r="H61">
        <v>1.673666793941708</v>
      </c>
      <c r="I61" t="s">
        <v>16</v>
      </c>
      <c r="J61" t="s">
        <v>446</v>
      </c>
    </row>
    <row r="62" spans="1:10" x14ac:dyDescent="0.35">
      <c r="A62">
        <v>201580</v>
      </c>
      <c r="B62" s="3">
        <v>44466</v>
      </c>
      <c r="C62" t="s">
        <v>56</v>
      </c>
      <c r="D62" t="s">
        <v>62</v>
      </c>
      <c r="E62">
        <v>192300</v>
      </c>
      <c r="F62">
        <v>525000</v>
      </c>
      <c r="G62">
        <v>0.36628571399999998</v>
      </c>
      <c r="H62">
        <v>2.7301092043681749</v>
      </c>
      <c r="I62" t="s">
        <v>13</v>
      </c>
      <c r="J62" t="s">
        <v>445</v>
      </c>
    </row>
    <row r="63" spans="1:10" x14ac:dyDescent="0.35">
      <c r="A63">
        <v>201023</v>
      </c>
      <c r="B63" s="3">
        <v>44403</v>
      </c>
      <c r="C63" t="s">
        <v>98</v>
      </c>
      <c r="D63" t="s">
        <v>104</v>
      </c>
      <c r="E63">
        <v>435610</v>
      </c>
      <c r="F63">
        <v>525000</v>
      </c>
      <c r="G63">
        <v>0.82969999999999999</v>
      </c>
      <c r="H63">
        <v>1.2052064920456371</v>
      </c>
      <c r="I63" t="s">
        <v>10</v>
      </c>
      <c r="J63" t="s">
        <v>446</v>
      </c>
    </row>
    <row r="64" spans="1:10" x14ac:dyDescent="0.35">
      <c r="A64">
        <v>200374</v>
      </c>
      <c r="B64" s="3">
        <v>44256</v>
      </c>
      <c r="C64" t="s">
        <v>206</v>
      </c>
      <c r="D64" t="s">
        <v>209</v>
      </c>
      <c r="E64">
        <v>227500</v>
      </c>
      <c r="F64">
        <v>525000</v>
      </c>
      <c r="G64">
        <v>0.43330000000000002</v>
      </c>
      <c r="H64">
        <v>2.3076923076923075</v>
      </c>
      <c r="I64" t="s">
        <v>13</v>
      </c>
      <c r="J64" t="s">
        <v>445</v>
      </c>
    </row>
    <row r="65" spans="1:10" x14ac:dyDescent="0.35">
      <c r="A65">
        <v>200140</v>
      </c>
      <c r="B65" s="3">
        <v>44314</v>
      </c>
      <c r="C65" t="s">
        <v>77</v>
      </c>
      <c r="D65" t="s">
        <v>421</v>
      </c>
      <c r="E65">
        <v>335800</v>
      </c>
      <c r="F65">
        <v>520000</v>
      </c>
      <c r="G65">
        <v>0.64570000000000005</v>
      </c>
      <c r="H65">
        <v>1.5485407980941037</v>
      </c>
      <c r="I65" t="s">
        <v>13</v>
      </c>
      <c r="J65" t="s">
        <v>446</v>
      </c>
    </row>
    <row r="66" spans="1:10" x14ac:dyDescent="0.35">
      <c r="A66">
        <v>200827</v>
      </c>
      <c r="B66" s="3">
        <v>44446</v>
      </c>
      <c r="C66" t="s">
        <v>83</v>
      </c>
      <c r="D66" t="s">
        <v>422</v>
      </c>
      <c r="E66">
        <v>332000</v>
      </c>
      <c r="F66">
        <v>520000</v>
      </c>
      <c r="G66">
        <v>0.63839999999999997</v>
      </c>
      <c r="H66">
        <v>1.5662650602409638</v>
      </c>
      <c r="I66" t="s">
        <v>13</v>
      </c>
      <c r="J66" t="s">
        <v>446</v>
      </c>
    </row>
    <row r="67" spans="1:10" x14ac:dyDescent="0.35">
      <c r="A67">
        <v>200499</v>
      </c>
      <c r="B67" s="3">
        <v>44449</v>
      </c>
      <c r="C67" t="s">
        <v>69</v>
      </c>
      <c r="D67" t="s">
        <v>418</v>
      </c>
      <c r="E67">
        <v>233660</v>
      </c>
      <c r="F67">
        <v>517000</v>
      </c>
      <c r="G67">
        <v>0.45190000000000002</v>
      </c>
      <c r="H67">
        <v>2.2126166224428658</v>
      </c>
      <c r="I67" t="s">
        <v>13</v>
      </c>
      <c r="J67" t="s">
        <v>445</v>
      </c>
    </row>
    <row r="68" spans="1:10" x14ac:dyDescent="0.35">
      <c r="A68">
        <v>130962</v>
      </c>
      <c r="B68" s="3">
        <v>41890</v>
      </c>
      <c r="C68" t="s">
        <v>260</v>
      </c>
      <c r="D68" t="s">
        <v>356</v>
      </c>
      <c r="E68">
        <v>301070</v>
      </c>
      <c r="F68">
        <v>515000</v>
      </c>
      <c r="G68">
        <v>0.58460194200000004</v>
      </c>
      <c r="H68">
        <v>1.7105656491845751</v>
      </c>
      <c r="I68" t="s">
        <v>16</v>
      </c>
      <c r="J68" t="s">
        <v>446</v>
      </c>
    </row>
    <row r="69" spans="1:10" x14ac:dyDescent="0.35">
      <c r="A69">
        <v>20588</v>
      </c>
      <c r="B69" s="3">
        <v>44406</v>
      </c>
      <c r="C69" t="s">
        <v>216</v>
      </c>
      <c r="D69" t="s">
        <v>218</v>
      </c>
      <c r="E69">
        <v>235950</v>
      </c>
      <c r="F69">
        <v>510000</v>
      </c>
      <c r="G69">
        <v>0.46260000000000001</v>
      </c>
      <c r="H69">
        <v>2.1614748887476161</v>
      </c>
      <c r="I69" t="s">
        <v>13</v>
      </c>
      <c r="J69" t="s">
        <v>445</v>
      </c>
    </row>
    <row r="70" spans="1:10" x14ac:dyDescent="0.35">
      <c r="A70">
        <v>20742</v>
      </c>
      <c r="B70" s="3">
        <v>44438</v>
      </c>
      <c r="C70" t="s">
        <v>166</v>
      </c>
      <c r="D70" t="s">
        <v>168</v>
      </c>
      <c r="E70">
        <v>325640</v>
      </c>
      <c r="F70">
        <v>508000</v>
      </c>
      <c r="G70">
        <v>0.64100000000000001</v>
      </c>
      <c r="H70">
        <v>1.5600049134013021</v>
      </c>
      <c r="I70" t="s">
        <v>13</v>
      </c>
      <c r="J70" t="s">
        <v>446</v>
      </c>
    </row>
    <row r="71" spans="1:10" x14ac:dyDescent="0.35">
      <c r="A71">
        <v>150034</v>
      </c>
      <c r="B71" s="3">
        <v>42494</v>
      </c>
      <c r="C71" t="s">
        <v>135</v>
      </c>
      <c r="D71" t="s">
        <v>431</v>
      </c>
      <c r="E71">
        <v>309800</v>
      </c>
      <c r="F71">
        <v>505000</v>
      </c>
      <c r="G71">
        <v>0.61346534699999999</v>
      </c>
      <c r="H71">
        <v>1.6300839251129762</v>
      </c>
      <c r="I71" t="s">
        <v>16</v>
      </c>
      <c r="J71" t="s">
        <v>446</v>
      </c>
    </row>
    <row r="72" spans="1:10" x14ac:dyDescent="0.35">
      <c r="A72">
        <v>70535</v>
      </c>
      <c r="B72" s="3">
        <v>39570</v>
      </c>
      <c r="C72" t="s">
        <v>192</v>
      </c>
      <c r="D72" t="s">
        <v>305</v>
      </c>
      <c r="E72">
        <v>235800</v>
      </c>
      <c r="F72">
        <v>487710</v>
      </c>
      <c r="G72">
        <v>0.483484038</v>
      </c>
      <c r="H72">
        <v>2.0683206106870231</v>
      </c>
      <c r="I72" t="s">
        <v>16</v>
      </c>
      <c r="J72" t="s">
        <v>445</v>
      </c>
    </row>
    <row r="73" spans="1:10" x14ac:dyDescent="0.35">
      <c r="A73">
        <v>200282</v>
      </c>
      <c r="B73" s="3">
        <v>44392</v>
      </c>
      <c r="C73" t="s">
        <v>52</v>
      </c>
      <c r="D73" t="s">
        <v>414</v>
      </c>
      <c r="E73">
        <v>359800</v>
      </c>
      <c r="F73">
        <v>480000</v>
      </c>
      <c r="G73">
        <v>0.74950000000000006</v>
      </c>
      <c r="H73">
        <v>1.3340744858254585</v>
      </c>
      <c r="I73" t="s">
        <v>10</v>
      </c>
      <c r="J73" t="s">
        <v>446</v>
      </c>
    </row>
    <row r="74" spans="1:10" x14ac:dyDescent="0.35">
      <c r="A74">
        <v>200080</v>
      </c>
      <c r="B74" s="3">
        <v>44140</v>
      </c>
      <c r="C74" t="s">
        <v>96</v>
      </c>
      <c r="D74" t="s">
        <v>425</v>
      </c>
      <c r="E74">
        <v>239550</v>
      </c>
      <c r="F74">
        <v>480000</v>
      </c>
      <c r="G74">
        <v>0.499</v>
      </c>
      <c r="H74">
        <v>2.0037570444583594</v>
      </c>
      <c r="I74" t="s">
        <v>13</v>
      </c>
      <c r="J74" t="s">
        <v>445</v>
      </c>
    </row>
    <row r="75" spans="1:10" x14ac:dyDescent="0.35">
      <c r="A75">
        <v>162511</v>
      </c>
      <c r="B75" s="3">
        <v>42985</v>
      </c>
      <c r="C75" t="s">
        <v>206</v>
      </c>
      <c r="D75" t="s">
        <v>393</v>
      </c>
      <c r="E75">
        <v>306950</v>
      </c>
      <c r="F75">
        <v>476549</v>
      </c>
      <c r="G75">
        <v>0.64411004999999999</v>
      </c>
      <c r="H75">
        <v>1.5525297279687245</v>
      </c>
      <c r="I75" t="s">
        <v>16</v>
      </c>
      <c r="J75" t="s">
        <v>446</v>
      </c>
    </row>
    <row r="76" spans="1:10" x14ac:dyDescent="0.35">
      <c r="A76">
        <v>200145</v>
      </c>
      <c r="B76" s="3">
        <v>44417</v>
      </c>
      <c r="C76" t="s">
        <v>157</v>
      </c>
      <c r="D76" t="s">
        <v>158</v>
      </c>
      <c r="E76">
        <v>238980</v>
      </c>
      <c r="F76">
        <v>460000</v>
      </c>
      <c r="G76">
        <v>0.51949999999999996</v>
      </c>
      <c r="H76">
        <v>1.9248472675537702</v>
      </c>
      <c r="I76" t="s">
        <v>13</v>
      </c>
      <c r="J76" t="s">
        <v>446</v>
      </c>
    </row>
    <row r="77" spans="1:10" x14ac:dyDescent="0.35">
      <c r="A77">
        <v>200359</v>
      </c>
      <c r="B77" s="3">
        <v>44263</v>
      </c>
      <c r="C77" t="s">
        <v>252</v>
      </c>
      <c r="D77" t="s">
        <v>253</v>
      </c>
      <c r="E77">
        <v>256550</v>
      </c>
      <c r="F77">
        <v>451000</v>
      </c>
      <c r="G77">
        <v>0.56879999999999997</v>
      </c>
      <c r="H77">
        <v>1.7579419216526992</v>
      </c>
      <c r="I77" t="s">
        <v>13</v>
      </c>
      <c r="J77" t="s">
        <v>446</v>
      </c>
    </row>
    <row r="78" spans="1:10" x14ac:dyDescent="0.35">
      <c r="A78">
        <v>20761</v>
      </c>
      <c r="B78" s="3">
        <v>44344</v>
      </c>
      <c r="C78" t="s">
        <v>146</v>
      </c>
      <c r="D78" t="s">
        <v>148</v>
      </c>
      <c r="E78">
        <v>212310</v>
      </c>
      <c r="F78">
        <v>450000</v>
      </c>
      <c r="G78">
        <v>0.4718</v>
      </c>
      <c r="H78">
        <v>2.1195421788893598</v>
      </c>
      <c r="I78" t="s">
        <v>103</v>
      </c>
      <c r="J78" t="s">
        <v>445</v>
      </c>
    </row>
    <row r="79" spans="1:10" x14ac:dyDescent="0.35">
      <c r="A79">
        <v>201007</v>
      </c>
      <c r="B79" s="3">
        <v>44277</v>
      </c>
      <c r="C79" t="s">
        <v>122</v>
      </c>
      <c r="D79" t="s">
        <v>172</v>
      </c>
      <c r="E79">
        <v>261800</v>
      </c>
      <c r="F79">
        <v>450000</v>
      </c>
      <c r="G79">
        <v>0.58169999999999999</v>
      </c>
      <c r="H79">
        <v>1.7188693659281895</v>
      </c>
      <c r="I79" t="s">
        <v>13</v>
      </c>
      <c r="J79" t="s">
        <v>446</v>
      </c>
    </row>
    <row r="80" spans="1:10" x14ac:dyDescent="0.35">
      <c r="A80">
        <v>202281</v>
      </c>
      <c r="B80" s="3">
        <v>44446</v>
      </c>
      <c r="C80" t="s">
        <v>170</v>
      </c>
      <c r="D80" t="s">
        <v>171</v>
      </c>
      <c r="E80">
        <v>276010</v>
      </c>
      <c r="F80">
        <v>443165</v>
      </c>
      <c r="G80">
        <v>0.62280000000000002</v>
      </c>
      <c r="H80">
        <v>1.6056121155030614</v>
      </c>
      <c r="I80" t="s">
        <v>13</v>
      </c>
      <c r="J80" t="s">
        <v>446</v>
      </c>
    </row>
    <row r="81" spans="1:10" x14ac:dyDescent="0.35">
      <c r="A81">
        <v>20360</v>
      </c>
      <c r="B81" s="3">
        <v>44218</v>
      </c>
      <c r="C81" t="s">
        <v>98</v>
      </c>
      <c r="D81" t="s">
        <v>99</v>
      </c>
      <c r="E81">
        <v>173670</v>
      </c>
      <c r="F81">
        <v>439900</v>
      </c>
      <c r="G81">
        <v>0.3947</v>
      </c>
      <c r="H81">
        <v>2.5329648183336211</v>
      </c>
      <c r="I81" t="s">
        <v>10</v>
      </c>
      <c r="J81" t="s">
        <v>445</v>
      </c>
    </row>
    <row r="82" spans="1:10" x14ac:dyDescent="0.35">
      <c r="A82">
        <v>200552</v>
      </c>
      <c r="B82" s="3">
        <v>44462</v>
      </c>
      <c r="C82" t="s">
        <v>180</v>
      </c>
      <c r="D82" t="s">
        <v>237</v>
      </c>
      <c r="E82">
        <v>213100</v>
      </c>
      <c r="F82">
        <v>435000</v>
      </c>
      <c r="G82">
        <v>0.48980000000000001</v>
      </c>
      <c r="H82">
        <v>2.0412951665884562</v>
      </c>
      <c r="I82" t="s">
        <v>13</v>
      </c>
      <c r="J82" t="s">
        <v>445</v>
      </c>
    </row>
    <row r="83" spans="1:10" x14ac:dyDescent="0.35">
      <c r="A83">
        <v>20002</v>
      </c>
      <c r="B83" s="3">
        <v>44106</v>
      </c>
      <c r="C83" t="s">
        <v>11</v>
      </c>
      <c r="D83" t="s">
        <v>12</v>
      </c>
      <c r="E83">
        <v>253000</v>
      </c>
      <c r="F83">
        <v>430000</v>
      </c>
      <c r="G83">
        <v>0.58830000000000005</v>
      </c>
      <c r="H83">
        <v>1.6996047430830039</v>
      </c>
      <c r="I83" t="s">
        <v>13</v>
      </c>
      <c r="J83" t="s">
        <v>446</v>
      </c>
    </row>
    <row r="84" spans="1:10" x14ac:dyDescent="0.35">
      <c r="A84">
        <v>60890</v>
      </c>
      <c r="B84" s="3">
        <v>39190</v>
      </c>
      <c r="C84" t="s">
        <v>122</v>
      </c>
      <c r="D84" t="s">
        <v>287</v>
      </c>
      <c r="E84">
        <v>44653</v>
      </c>
      <c r="F84">
        <v>429000</v>
      </c>
      <c r="G84">
        <v>0.10408624700000001</v>
      </c>
      <c r="H84">
        <v>9.6074171948133387</v>
      </c>
      <c r="I84" t="s">
        <v>16</v>
      </c>
      <c r="J84" t="s">
        <v>445</v>
      </c>
    </row>
    <row r="85" spans="1:10" x14ac:dyDescent="0.35">
      <c r="A85">
        <v>162063</v>
      </c>
      <c r="B85" s="3">
        <v>43005</v>
      </c>
      <c r="C85" t="s">
        <v>181</v>
      </c>
      <c r="D85" t="s">
        <v>395</v>
      </c>
      <c r="E85">
        <v>8190</v>
      </c>
      <c r="F85">
        <v>427500</v>
      </c>
      <c r="G85">
        <v>1.9157895000000001E-2</v>
      </c>
      <c r="H85">
        <v>52.197802197802197</v>
      </c>
      <c r="I85" t="s">
        <v>16</v>
      </c>
      <c r="J85" t="s">
        <v>445</v>
      </c>
    </row>
    <row r="86" spans="1:10" x14ac:dyDescent="0.35">
      <c r="A86">
        <v>200125</v>
      </c>
      <c r="B86" s="3">
        <v>44286</v>
      </c>
      <c r="C86" t="s">
        <v>77</v>
      </c>
      <c r="D86" t="s">
        <v>78</v>
      </c>
      <c r="E86">
        <v>220500</v>
      </c>
      <c r="F86">
        <v>425000</v>
      </c>
      <c r="G86">
        <v>0.51880000000000004</v>
      </c>
      <c r="H86">
        <v>1.9274376417233561</v>
      </c>
      <c r="I86" t="s">
        <v>13</v>
      </c>
      <c r="J86" t="s">
        <v>446</v>
      </c>
    </row>
    <row r="87" spans="1:10" x14ac:dyDescent="0.35">
      <c r="A87">
        <v>200236</v>
      </c>
      <c r="B87" s="3">
        <v>44273</v>
      </c>
      <c r="C87" t="s">
        <v>69</v>
      </c>
      <c r="D87" t="s">
        <v>70</v>
      </c>
      <c r="E87">
        <v>238140</v>
      </c>
      <c r="F87">
        <v>421000</v>
      </c>
      <c r="G87">
        <v>0.56559999999999999</v>
      </c>
      <c r="H87">
        <v>1.7678676408835139</v>
      </c>
      <c r="I87" t="s">
        <v>13</v>
      </c>
      <c r="J87" t="s">
        <v>446</v>
      </c>
    </row>
    <row r="88" spans="1:10" x14ac:dyDescent="0.35">
      <c r="A88">
        <v>200599</v>
      </c>
      <c r="B88" s="3">
        <v>44379</v>
      </c>
      <c r="C88" t="s">
        <v>252</v>
      </c>
      <c r="D88" t="s">
        <v>254</v>
      </c>
      <c r="E88">
        <v>237440</v>
      </c>
      <c r="F88">
        <v>420000</v>
      </c>
      <c r="G88">
        <v>0.56530000000000002</v>
      </c>
      <c r="H88">
        <v>1.7688679245283019</v>
      </c>
      <c r="I88" t="s">
        <v>13</v>
      </c>
      <c r="J88" t="s">
        <v>446</v>
      </c>
    </row>
    <row r="89" spans="1:10" x14ac:dyDescent="0.35">
      <c r="A89">
        <v>200078</v>
      </c>
      <c r="B89" s="3">
        <v>44459</v>
      </c>
      <c r="C89" t="s">
        <v>46</v>
      </c>
      <c r="D89" t="s">
        <v>47</v>
      </c>
      <c r="E89">
        <v>250100</v>
      </c>
      <c r="F89">
        <v>418800</v>
      </c>
      <c r="G89">
        <v>0.59709999999999996</v>
      </c>
      <c r="H89">
        <v>1.67453018792483</v>
      </c>
      <c r="I89" t="s">
        <v>13</v>
      </c>
      <c r="J89" t="s">
        <v>446</v>
      </c>
    </row>
    <row r="90" spans="1:10" x14ac:dyDescent="0.35">
      <c r="A90">
        <v>200305</v>
      </c>
      <c r="B90" s="3">
        <v>44222</v>
      </c>
      <c r="C90" t="s">
        <v>73</v>
      </c>
      <c r="D90" t="s">
        <v>419</v>
      </c>
      <c r="E90">
        <v>233660</v>
      </c>
      <c r="F90">
        <v>410000</v>
      </c>
      <c r="G90">
        <v>0.56989999999999996</v>
      </c>
      <c r="H90">
        <v>1.7546862963279979</v>
      </c>
      <c r="I90" t="s">
        <v>13</v>
      </c>
      <c r="J90" t="s">
        <v>446</v>
      </c>
    </row>
    <row r="91" spans="1:10" x14ac:dyDescent="0.35">
      <c r="A91">
        <v>201057</v>
      </c>
      <c r="B91" s="3">
        <v>44420</v>
      </c>
      <c r="C91" t="s">
        <v>146</v>
      </c>
      <c r="D91" t="s">
        <v>149</v>
      </c>
      <c r="E91">
        <v>264390</v>
      </c>
      <c r="F91">
        <v>400000</v>
      </c>
      <c r="G91">
        <v>0.66090000000000004</v>
      </c>
      <c r="H91">
        <v>1.5129165248307426</v>
      </c>
      <c r="I91" t="s">
        <v>10</v>
      </c>
      <c r="J91" t="s">
        <v>446</v>
      </c>
    </row>
    <row r="92" spans="1:10" x14ac:dyDescent="0.35">
      <c r="A92">
        <v>2001493</v>
      </c>
      <c r="B92" s="3">
        <v>44319</v>
      </c>
      <c r="C92" t="s">
        <v>181</v>
      </c>
      <c r="D92" t="s">
        <v>226</v>
      </c>
      <c r="E92">
        <v>238890</v>
      </c>
      <c r="F92">
        <v>400000</v>
      </c>
      <c r="G92">
        <v>0.59719999999999995</v>
      </c>
      <c r="H92">
        <v>1.6744108166938758</v>
      </c>
      <c r="I92" t="s">
        <v>13</v>
      </c>
      <c r="J92" t="s">
        <v>446</v>
      </c>
    </row>
    <row r="93" spans="1:10" x14ac:dyDescent="0.35">
      <c r="A93">
        <v>20200824</v>
      </c>
      <c r="B93" s="3">
        <v>44319</v>
      </c>
      <c r="C93" t="s">
        <v>129</v>
      </c>
      <c r="D93" t="s">
        <v>239</v>
      </c>
      <c r="E93">
        <v>193340</v>
      </c>
      <c r="F93">
        <v>395000</v>
      </c>
      <c r="G93">
        <v>0.4894</v>
      </c>
      <c r="H93">
        <v>2.0430329988621083</v>
      </c>
      <c r="I93" t="s">
        <v>13</v>
      </c>
      <c r="J93" t="s">
        <v>445</v>
      </c>
    </row>
    <row r="94" spans="1:10" x14ac:dyDescent="0.35">
      <c r="A94">
        <v>200035</v>
      </c>
      <c r="B94" s="3">
        <v>44133</v>
      </c>
      <c r="C94" t="s">
        <v>48</v>
      </c>
      <c r="D94" t="s">
        <v>49</v>
      </c>
      <c r="E94">
        <v>223900</v>
      </c>
      <c r="F94">
        <v>392000</v>
      </c>
      <c r="G94">
        <v>0.57110000000000005</v>
      </c>
      <c r="H94">
        <v>1.7507815989280928</v>
      </c>
      <c r="I94" t="s">
        <v>13</v>
      </c>
      <c r="J94" t="s">
        <v>446</v>
      </c>
    </row>
    <row r="95" spans="1:10" x14ac:dyDescent="0.35">
      <c r="A95">
        <v>200510</v>
      </c>
      <c r="B95" s="3">
        <v>44454</v>
      </c>
      <c r="C95" t="s">
        <v>69</v>
      </c>
      <c r="D95" t="s">
        <v>72</v>
      </c>
      <c r="E95">
        <v>212100</v>
      </c>
      <c r="F95">
        <v>390500</v>
      </c>
      <c r="G95">
        <v>0.54310000000000003</v>
      </c>
      <c r="H95">
        <v>1.8411126826968411</v>
      </c>
      <c r="I95" t="s">
        <v>13</v>
      </c>
      <c r="J95" t="s">
        <v>446</v>
      </c>
    </row>
    <row r="96" spans="1:10" x14ac:dyDescent="0.35">
      <c r="A96">
        <v>200074</v>
      </c>
      <c r="B96" s="3">
        <v>44440</v>
      </c>
      <c r="C96" t="s">
        <v>50</v>
      </c>
      <c r="D96" t="s">
        <v>51</v>
      </c>
      <c r="E96">
        <v>246100</v>
      </c>
      <c r="F96">
        <v>385000</v>
      </c>
      <c r="G96">
        <v>0.63919999999999999</v>
      </c>
      <c r="H96">
        <v>1.564404713531085</v>
      </c>
      <c r="I96" t="s">
        <v>10</v>
      </c>
      <c r="J96" t="s">
        <v>446</v>
      </c>
    </row>
    <row r="97" spans="1:10" x14ac:dyDescent="0.35">
      <c r="A97">
        <v>200014</v>
      </c>
      <c r="B97" s="3">
        <v>44117</v>
      </c>
      <c r="C97" t="s">
        <v>271</v>
      </c>
      <c r="D97" t="s">
        <v>273</v>
      </c>
      <c r="E97">
        <v>245790</v>
      </c>
      <c r="F97">
        <v>382000</v>
      </c>
      <c r="G97">
        <v>0.64339999999999997</v>
      </c>
      <c r="H97">
        <v>1.554172260873103</v>
      </c>
      <c r="I97" t="s">
        <v>13</v>
      </c>
      <c r="J97" t="s">
        <v>446</v>
      </c>
    </row>
    <row r="98" spans="1:10" x14ac:dyDescent="0.35">
      <c r="A98">
        <v>200245</v>
      </c>
      <c r="B98" s="3">
        <v>44202</v>
      </c>
      <c r="C98" t="s">
        <v>206</v>
      </c>
      <c r="D98" t="s">
        <v>208</v>
      </c>
      <c r="E98">
        <v>310660</v>
      </c>
      <c r="F98">
        <v>375000</v>
      </c>
      <c r="G98">
        <v>0.82840000000000003</v>
      </c>
      <c r="H98">
        <v>1.2071074486576965</v>
      </c>
      <c r="I98" t="s">
        <v>10</v>
      </c>
      <c r="J98" t="s">
        <v>446</v>
      </c>
    </row>
    <row r="99" spans="1:10" x14ac:dyDescent="0.35">
      <c r="A99">
        <v>162000</v>
      </c>
      <c r="B99" s="3">
        <v>42992</v>
      </c>
      <c r="C99" t="s">
        <v>181</v>
      </c>
      <c r="D99" t="s">
        <v>376</v>
      </c>
      <c r="E99">
        <v>264700</v>
      </c>
      <c r="F99">
        <v>373000</v>
      </c>
      <c r="G99">
        <v>0.70965147500000003</v>
      </c>
      <c r="H99">
        <v>1.4091424253872309</v>
      </c>
      <c r="I99" t="s">
        <v>16</v>
      </c>
      <c r="J99" t="s">
        <v>446</v>
      </c>
    </row>
    <row r="100" spans="1:10" x14ac:dyDescent="0.35">
      <c r="A100">
        <v>200081</v>
      </c>
      <c r="B100" s="3">
        <v>44144</v>
      </c>
      <c r="C100" t="s">
        <v>210</v>
      </c>
      <c r="D100" t="s">
        <v>214</v>
      </c>
      <c r="E100">
        <v>270440</v>
      </c>
      <c r="F100">
        <v>372000</v>
      </c>
      <c r="G100">
        <v>0.72689999999999999</v>
      </c>
      <c r="H100">
        <v>1.3755361632894543</v>
      </c>
      <c r="I100" t="s">
        <v>13</v>
      </c>
      <c r="J100" t="s">
        <v>446</v>
      </c>
    </row>
    <row r="101" spans="1:10" x14ac:dyDescent="0.35">
      <c r="A101">
        <v>200011</v>
      </c>
      <c r="B101" s="3">
        <v>44117</v>
      </c>
      <c r="C101" t="s">
        <v>252</v>
      </c>
      <c r="D101" t="s">
        <v>256</v>
      </c>
      <c r="E101">
        <v>183190</v>
      </c>
      <c r="F101">
        <v>370000</v>
      </c>
      <c r="G101">
        <v>0.49509999999999998</v>
      </c>
      <c r="H101">
        <v>2.0197609039794751</v>
      </c>
      <c r="I101" t="s">
        <v>13</v>
      </c>
      <c r="J101" t="s">
        <v>445</v>
      </c>
    </row>
    <row r="102" spans="1:10" x14ac:dyDescent="0.35">
      <c r="A102">
        <v>900420</v>
      </c>
      <c r="B102" s="3">
        <v>40428</v>
      </c>
      <c r="C102" t="s">
        <v>68</v>
      </c>
      <c r="D102" t="s">
        <v>315</v>
      </c>
      <c r="E102">
        <v>265580</v>
      </c>
      <c r="F102">
        <v>369900</v>
      </c>
      <c r="G102">
        <v>0.71797783199999998</v>
      </c>
      <c r="H102">
        <v>1.3928006627005045</v>
      </c>
      <c r="I102" t="s">
        <v>16</v>
      </c>
      <c r="J102" t="s">
        <v>446</v>
      </c>
    </row>
    <row r="103" spans="1:10" x14ac:dyDescent="0.35">
      <c r="A103">
        <v>2000230</v>
      </c>
      <c r="B103" s="3">
        <v>44271</v>
      </c>
      <c r="C103" t="s">
        <v>43</v>
      </c>
      <c r="D103" t="s">
        <v>44</v>
      </c>
      <c r="E103">
        <v>210940</v>
      </c>
      <c r="F103">
        <v>365000</v>
      </c>
      <c r="G103">
        <v>0.57789999999999997</v>
      </c>
      <c r="H103">
        <v>1.7303498625201479</v>
      </c>
      <c r="I103" t="s">
        <v>13</v>
      </c>
      <c r="J103" t="s">
        <v>446</v>
      </c>
    </row>
    <row r="104" spans="1:10" x14ac:dyDescent="0.35">
      <c r="A104">
        <v>200233</v>
      </c>
      <c r="B104" s="3">
        <v>44196</v>
      </c>
      <c r="C104" t="s">
        <v>252</v>
      </c>
      <c r="D104" t="s">
        <v>257</v>
      </c>
      <c r="E104">
        <v>202160</v>
      </c>
      <c r="F104">
        <v>365000</v>
      </c>
      <c r="G104">
        <v>0.55379999999999996</v>
      </c>
      <c r="H104">
        <v>1.8055005935892363</v>
      </c>
      <c r="I104" t="s">
        <v>13</v>
      </c>
      <c r="J104" t="s">
        <v>446</v>
      </c>
    </row>
    <row r="105" spans="1:10" x14ac:dyDescent="0.35">
      <c r="A105">
        <v>200652</v>
      </c>
      <c r="B105" s="3">
        <v>44376</v>
      </c>
      <c r="C105" t="s">
        <v>73</v>
      </c>
      <c r="D105" t="s">
        <v>75</v>
      </c>
      <c r="E105">
        <v>203470</v>
      </c>
      <c r="F105">
        <v>360000</v>
      </c>
      <c r="G105">
        <v>0.56510000000000005</v>
      </c>
      <c r="H105">
        <v>1.7693025998918759</v>
      </c>
      <c r="I105" t="s">
        <v>13</v>
      </c>
      <c r="J105" t="s">
        <v>446</v>
      </c>
    </row>
    <row r="106" spans="1:10" x14ac:dyDescent="0.35">
      <c r="A106">
        <v>201129</v>
      </c>
      <c r="B106" s="3">
        <v>44427</v>
      </c>
      <c r="C106" t="s">
        <v>98</v>
      </c>
      <c r="D106" t="s">
        <v>105</v>
      </c>
      <c r="E106">
        <v>114954</v>
      </c>
      <c r="F106">
        <v>360000</v>
      </c>
      <c r="G106">
        <v>0.31929999999999997</v>
      </c>
      <c r="H106">
        <v>3.1316874575917324</v>
      </c>
      <c r="I106" t="s">
        <v>13</v>
      </c>
      <c r="J106" t="s">
        <v>445</v>
      </c>
    </row>
    <row r="107" spans="1:10" x14ac:dyDescent="0.35">
      <c r="A107">
        <v>200125</v>
      </c>
      <c r="B107" s="3">
        <v>44446</v>
      </c>
      <c r="C107" t="s">
        <v>106</v>
      </c>
      <c r="D107" t="s">
        <v>107</v>
      </c>
      <c r="E107">
        <v>194790</v>
      </c>
      <c r="F107">
        <v>360000</v>
      </c>
      <c r="G107">
        <v>0.54100000000000004</v>
      </c>
      <c r="H107">
        <v>1.8481441552441091</v>
      </c>
      <c r="I107" t="s">
        <v>13</v>
      </c>
      <c r="J107" t="s">
        <v>446</v>
      </c>
    </row>
    <row r="108" spans="1:10" x14ac:dyDescent="0.35">
      <c r="A108">
        <v>20293</v>
      </c>
      <c r="B108" s="3">
        <v>44354</v>
      </c>
      <c r="C108" t="s">
        <v>184</v>
      </c>
      <c r="D108" t="s">
        <v>186</v>
      </c>
      <c r="E108">
        <v>193560</v>
      </c>
      <c r="F108">
        <v>360000</v>
      </c>
      <c r="G108">
        <v>0.53759999999999997</v>
      </c>
      <c r="H108">
        <v>1.8598884066955983</v>
      </c>
      <c r="I108" t="s">
        <v>13</v>
      </c>
      <c r="J108" t="s">
        <v>446</v>
      </c>
    </row>
    <row r="109" spans="1:10" x14ac:dyDescent="0.35">
      <c r="A109">
        <v>202876</v>
      </c>
      <c r="B109" s="3">
        <v>44426</v>
      </c>
      <c r="C109" t="s">
        <v>122</v>
      </c>
      <c r="D109" t="s">
        <v>175</v>
      </c>
      <c r="E109">
        <v>256270</v>
      </c>
      <c r="F109">
        <v>355000</v>
      </c>
      <c r="G109">
        <v>0.7218</v>
      </c>
      <c r="H109">
        <v>1.3852577359815819</v>
      </c>
      <c r="I109" t="s">
        <v>13</v>
      </c>
      <c r="J109" t="s">
        <v>446</v>
      </c>
    </row>
    <row r="110" spans="1:10" x14ac:dyDescent="0.35">
      <c r="A110">
        <v>2002299</v>
      </c>
      <c r="B110" s="3">
        <v>44412</v>
      </c>
      <c r="C110" t="s">
        <v>181</v>
      </c>
      <c r="D110" t="s">
        <v>234</v>
      </c>
      <c r="E110">
        <v>169050</v>
      </c>
      <c r="F110">
        <v>355000</v>
      </c>
      <c r="G110">
        <v>0.47610000000000002</v>
      </c>
      <c r="H110">
        <v>2.0999704229517895</v>
      </c>
      <c r="I110" t="s">
        <v>13</v>
      </c>
      <c r="J110" t="s">
        <v>445</v>
      </c>
    </row>
    <row r="111" spans="1:10" x14ac:dyDescent="0.35">
      <c r="A111">
        <v>200086</v>
      </c>
      <c r="B111" s="3">
        <v>44418</v>
      </c>
      <c r="C111" t="s">
        <v>25</v>
      </c>
      <c r="D111" t="s">
        <v>26</v>
      </c>
      <c r="E111">
        <v>168900</v>
      </c>
      <c r="F111">
        <v>352000</v>
      </c>
      <c r="G111">
        <v>0.4798</v>
      </c>
      <c r="H111">
        <v>2.0840734162226169</v>
      </c>
      <c r="I111" t="s">
        <v>13</v>
      </c>
      <c r="J111" t="s">
        <v>445</v>
      </c>
    </row>
    <row r="112" spans="1:10" x14ac:dyDescent="0.35">
      <c r="A112">
        <v>200656</v>
      </c>
      <c r="B112" s="3">
        <v>44316</v>
      </c>
      <c r="C112" t="s">
        <v>133</v>
      </c>
      <c r="D112" t="s">
        <v>179</v>
      </c>
      <c r="E112">
        <v>262300</v>
      </c>
      <c r="F112">
        <v>352000</v>
      </c>
      <c r="G112">
        <v>0.74509999999999998</v>
      </c>
      <c r="H112">
        <v>1.341974837971788</v>
      </c>
      <c r="I112" t="s">
        <v>10</v>
      </c>
      <c r="J112" t="s">
        <v>446</v>
      </c>
    </row>
    <row r="113" spans="1:10" x14ac:dyDescent="0.35">
      <c r="A113">
        <v>200210</v>
      </c>
      <c r="B113" s="3">
        <v>44389</v>
      </c>
      <c r="C113" t="s">
        <v>123</v>
      </c>
      <c r="D113" t="s">
        <v>124</v>
      </c>
      <c r="E113">
        <v>169400</v>
      </c>
      <c r="F113">
        <v>345000</v>
      </c>
      <c r="G113">
        <v>0.49099999999999999</v>
      </c>
      <c r="H113">
        <v>2.0365997638724913</v>
      </c>
      <c r="I113" t="s">
        <v>13</v>
      </c>
      <c r="J113" t="s">
        <v>445</v>
      </c>
    </row>
    <row r="114" spans="1:10" x14ac:dyDescent="0.35">
      <c r="A114">
        <v>2000212</v>
      </c>
      <c r="B114" s="3">
        <v>44132</v>
      </c>
      <c r="C114" t="s">
        <v>181</v>
      </c>
      <c r="D114" t="s">
        <v>231</v>
      </c>
      <c r="E114">
        <v>199330</v>
      </c>
      <c r="F114">
        <v>342500</v>
      </c>
      <c r="G114">
        <v>0.58189999999999997</v>
      </c>
      <c r="H114">
        <v>1.7182561581297346</v>
      </c>
      <c r="I114" t="s">
        <v>13</v>
      </c>
      <c r="J114" t="s">
        <v>446</v>
      </c>
    </row>
    <row r="115" spans="1:10" x14ac:dyDescent="0.35">
      <c r="A115">
        <v>200149</v>
      </c>
      <c r="B115" s="3">
        <v>44389</v>
      </c>
      <c r="C115" t="s">
        <v>244</v>
      </c>
      <c r="D115" t="s">
        <v>245</v>
      </c>
      <c r="E115">
        <v>204000</v>
      </c>
      <c r="F115">
        <v>337500</v>
      </c>
      <c r="G115">
        <v>0.60440000000000005</v>
      </c>
      <c r="H115">
        <v>1.6544117647058822</v>
      </c>
      <c r="I115" t="s">
        <v>13</v>
      </c>
      <c r="J115" t="s">
        <v>446</v>
      </c>
    </row>
    <row r="116" spans="1:10" x14ac:dyDescent="0.35">
      <c r="A116">
        <v>20139</v>
      </c>
      <c r="B116" s="3">
        <v>44181</v>
      </c>
      <c r="C116" t="s">
        <v>23</v>
      </c>
      <c r="D116" t="s">
        <v>24</v>
      </c>
      <c r="E116">
        <v>171360</v>
      </c>
      <c r="F116">
        <v>335000</v>
      </c>
      <c r="G116">
        <v>0.51149999999999995</v>
      </c>
      <c r="H116">
        <v>1.9549486461251167</v>
      </c>
      <c r="I116" t="s">
        <v>13</v>
      </c>
      <c r="J116" t="s">
        <v>446</v>
      </c>
    </row>
    <row r="117" spans="1:10" x14ac:dyDescent="0.35">
      <c r="A117">
        <v>200522</v>
      </c>
      <c r="B117" s="3">
        <v>44259</v>
      </c>
      <c r="C117" t="s">
        <v>133</v>
      </c>
      <c r="D117" t="s">
        <v>178</v>
      </c>
      <c r="E117">
        <v>174400</v>
      </c>
      <c r="F117">
        <v>335000</v>
      </c>
      <c r="G117">
        <v>0.52049999999999996</v>
      </c>
      <c r="H117">
        <v>1.9208715596330275</v>
      </c>
      <c r="I117" t="s">
        <v>13</v>
      </c>
      <c r="J117" t="s">
        <v>446</v>
      </c>
    </row>
    <row r="118" spans="1:10" x14ac:dyDescent="0.35">
      <c r="A118">
        <v>200289</v>
      </c>
      <c r="B118" s="3">
        <v>44158</v>
      </c>
      <c r="C118" t="s">
        <v>122</v>
      </c>
      <c r="D118" t="s">
        <v>176</v>
      </c>
      <c r="E118">
        <v>173040</v>
      </c>
      <c r="F118">
        <v>330000</v>
      </c>
      <c r="G118">
        <v>0.52429999999999999</v>
      </c>
      <c r="H118">
        <v>1.9070735090152566</v>
      </c>
      <c r="I118" t="s">
        <v>13</v>
      </c>
      <c r="J118" t="s">
        <v>446</v>
      </c>
    </row>
    <row r="119" spans="1:10" x14ac:dyDescent="0.35">
      <c r="A119">
        <v>100035</v>
      </c>
      <c r="B119" s="3">
        <v>40512</v>
      </c>
      <c r="C119" t="s">
        <v>96</v>
      </c>
      <c r="D119" t="s">
        <v>318</v>
      </c>
      <c r="E119">
        <v>257040</v>
      </c>
      <c r="F119">
        <v>330000</v>
      </c>
      <c r="G119">
        <v>0.77890909100000005</v>
      </c>
      <c r="H119">
        <v>1.2838468720821663</v>
      </c>
      <c r="I119" t="s">
        <v>16</v>
      </c>
      <c r="J119" t="s">
        <v>446</v>
      </c>
    </row>
    <row r="120" spans="1:10" x14ac:dyDescent="0.35">
      <c r="A120">
        <v>200494</v>
      </c>
      <c r="B120" s="3">
        <v>44246</v>
      </c>
      <c r="C120" t="s">
        <v>192</v>
      </c>
      <c r="D120" t="s">
        <v>275</v>
      </c>
      <c r="E120">
        <v>181720</v>
      </c>
      <c r="F120">
        <v>327900</v>
      </c>
      <c r="G120">
        <v>0.55410000000000004</v>
      </c>
      <c r="H120">
        <v>1.8044243891701519</v>
      </c>
      <c r="I120" t="s">
        <v>13</v>
      </c>
      <c r="J120" t="s">
        <v>446</v>
      </c>
    </row>
    <row r="121" spans="1:10" x14ac:dyDescent="0.35">
      <c r="A121">
        <v>2020348</v>
      </c>
      <c r="B121" s="3">
        <v>44452</v>
      </c>
      <c r="C121" t="s">
        <v>8</v>
      </c>
      <c r="D121" t="s">
        <v>9</v>
      </c>
      <c r="E121">
        <v>150500</v>
      </c>
      <c r="F121">
        <v>325000</v>
      </c>
      <c r="G121">
        <v>0.46300000000000002</v>
      </c>
      <c r="H121">
        <v>2.1594684385382061</v>
      </c>
      <c r="I121" t="s">
        <v>10</v>
      </c>
      <c r="J121" t="s">
        <v>445</v>
      </c>
    </row>
    <row r="122" spans="1:10" x14ac:dyDescent="0.35">
      <c r="A122">
        <v>201443</v>
      </c>
      <c r="B122" s="3">
        <v>44440</v>
      </c>
      <c r="C122" t="s">
        <v>56</v>
      </c>
      <c r="D122" t="s">
        <v>61</v>
      </c>
      <c r="E122">
        <v>158700</v>
      </c>
      <c r="F122">
        <v>325000</v>
      </c>
      <c r="G122">
        <v>0.48830000000000001</v>
      </c>
      <c r="H122">
        <v>2.0478890989287963</v>
      </c>
      <c r="I122" t="s">
        <v>13</v>
      </c>
      <c r="J122" t="s">
        <v>445</v>
      </c>
    </row>
    <row r="123" spans="1:10" x14ac:dyDescent="0.35">
      <c r="A123">
        <v>200175</v>
      </c>
      <c r="B123" s="3">
        <v>44133</v>
      </c>
      <c r="C123" t="s">
        <v>108</v>
      </c>
      <c r="D123" t="s">
        <v>134</v>
      </c>
      <c r="E123">
        <v>180950</v>
      </c>
      <c r="F123">
        <v>325000</v>
      </c>
      <c r="G123">
        <v>0.55669999999999997</v>
      </c>
      <c r="H123">
        <v>1.7960762641613706</v>
      </c>
      <c r="I123" t="s">
        <v>13</v>
      </c>
      <c r="J123" t="s">
        <v>446</v>
      </c>
    </row>
    <row r="124" spans="1:10" x14ac:dyDescent="0.35">
      <c r="A124">
        <v>160717</v>
      </c>
      <c r="B124" s="3">
        <v>42979</v>
      </c>
      <c r="C124" t="s">
        <v>283</v>
      </c>
      <c r="D124" t="s">
        <v>391</v>
      </c>
      <c r="E124">
        <v>199400</v>
      </c>
      <c r="F124">
        <v>320000</v>
      </c>
      <c r="G124">
        <v>0.62312500000000004</v>
      </c>
      <c r="H124">
        <v>1.60481444332999</v>
      </c>
      <c r="I124" t="s">
        <v>16</v>
      </c>
      <c r="J124" t="s">
        <v>446</v>
      </c>
    </row>
    <row r="125" spans="1:10" x14ac:dyDescent="0.35">
      <c r="A125">
        <v>2000448</v>
      </c>
      <c r="B125" s="3">
        <v>44364</v>
      </c>
      <c r="C125" t="s">
        <v>277</v>
      </c>
      <c r="D125" t="s">
        <v>278</v>
      </c>
      <c r="E125">
        <v>158870</v>
      </c>
      <c r="F125">
        <v>315000</v>
      </c>
      <c r="G125">
        <v>0.50429999999999997</v>
      </c>
      <c r="H125">
        <v>1.9827531944357022</v>
      </c>
      <c r="I125" t="s">
        <v>13</v>
      </c>
      <c r="J125" t="s">
        <v>446</v>
      </c>
    </row>
    <row r="126" spans="1:10" x14ac:dyDescent="0.35">
      <c r="A126">
        <v>160943</v>
      </c>
      <c r="B126" s="3">
        <v>42874</v>
      </c>
      <c r="C126" t="s">
        <v>122</v>
      </c>
      <c r="D126" t="s">
        <v>375</v>
      </c>
      <c r="E126">
        <v>189500</v>
      </c>
      <c r="F126">
        <v>313000</v>
      </c>
      <c r="G126">
        <v>0.60543130999999994</v>
      </c>
      <c r="H126">
        <v>1.6517150395778364</v>
      </c>
      <c r="I126" t="s">
        <v>16</v>
      </c>
      <c r="J126" t="s">
        <v>446</v>
      </c>
    </row>
    <row r="127" spans="1:10" x14ac:dyDescent="0.35">
      <c r="A127">
        <v>10051</v>
      </c>
      <c r="B127" s="3">
        <v>40480</v>
      </c>
      <c r="C127" t="s">
        <v>108</v>
      </c>
      <c r="D127" t="s">
        <v>311</v>
      </c>
      <c r="E127">
        <v>318100</v>
      </c>
      <c r="F127">
        <v>312500</v>
      </c>
      <c r="G127">
        <v>101792</v>
      </c>
      <c r="H127">
        <v>0.98239547312165987</v>
      </c>
      <c r="I127" t="s">
        <v>16</v>
      </c>
      <c r="J127" t="s">
        <v>446</v>
      </c>
    </row>
    <row r="128" spans="1:10" x14ac:dyDescent="0.35">
      <c r="A128">
        <v>200700</v>
      </c>
      <c r="B128" s="3">
        <v>44390</v>
      </c>
      <c r="C128" t="s">
        <v>73</v>
      </c>
      <c r="D128" t="s">
        <v>420</v>
      </c>
      <c r="E128">
        <v>161590</v>
      </c>
      <c r="F128">
        <v>310000</v>
      </c>
      <c r="G128">
        <v>0.5212</v>
      </c>
      <c r="H128">
        <v>1.9184355467541307</v>
      </c>
      <c r="I128" t="s">
        <v>13</v>
      </c>
      <c r="J128" t="s">
        <v>446</v>
      </c>
    </row>
    <row r="129" spans="1:10" x14ac:dyDescent="0.35">
      <c r="A129">
        <v>20492</v>
      </c>
      <c r="B129" s="3">
        <v>44427</v>
      </c>
      <c r="C129" t="s">
        <v>184</v>
      </c>
      <c r="D129" t="s">
        <v>188</v>
      </c>
      <c r="E129">
        <v>142910</v>
      </c>
      <c r="F129">
        <v>310000</v>
      </c>
      <c r="G129">
        <v>0.46100000000000002</v>
      </c>
      <c r="H129">
        <v>2.1691973969631237</v>
      </c>
      <c r="I129" t="s">
        <v>13</v>
      </c>
      <c r="J129" t="s">
        <v>445</v>
      </c>
    </row>
    <row r="130" spans="1:10" x14ac:dyDescent="0.35">
      <c r="A130">
        <v>200038</v>
      </c>
      <c r="B130" s="3">
        <v>44113</v>
      </c>
      <c r="C130" t="s">
        <v>125</v>
      </c>
      <c r="D130" t="s">
        <v>132</v>
      </c>
      <c r="E130">
        <v>209440</v>
      </c>
      <c r="F130">
        <v>307000</v>
      </c>
      <c r="G130">
        <v>0.68220000000000003</v>
      </c>
      <c r="H130">
        <v>1.4658135981665394</v>
      </c>
      <c r="I130" t="s">
        <v>13</v>
      </c>
      <c r="J130" t="s">
        <v>446</v>
      </c>
    </row>
    <row r="131" spans="1:10" x14ac:dyDescent="0.35">
      <c r="A131">
        <v>200961</v>
      </c>
      <c r="B131" s="3">
        <v>44378</v>
      </c>
      <c r="C131" t="s">
        <v>125</v>
      </c>
      <c r="D131" t="s">
        <v>128</v>
      </c>
      <c r="E131">
        <v>130340</v>
      </c>
      <c r="F131">
        <v>305000</v>
      </c>
      <c r="G131">
        <v>0.42730000000000001</v>
      </c>
      <c r="H131">
        <v>2.340033757864048</v>
      </c>
      <c r="I131" t="s">
        <v>13</v>
      </c>
      <c r="J131" t="s">
        <v>445</v>
      </c>
    </row>
    <row r="132" spans="1:10" x14ac:dyDescent="0.35">
      <c r="A132">
        <v>20014</v>
      </c>
      <c r="B132" s="3">
        <v>44110</v>
      </c>
      <c r="C132" t="s">
        <v>136</v>
      </c>
      <c r="D132" t="s">
        <v>137</v>
      </c>
      <c r="E132">
        <v>189100</v>
      </c>
      <c r="F132">
        <v>305000</v>
      </c>
      <c r="G132">
        <v>0.62</v>
      </c>
      <c r="H132">
        <v>1.6129032258064515</v>
      </c>
      <c r="I132" t="s">
        <v>13</v>
      </c>
      <c r="J132" t="s">
        <v>446</v>
      </c>
    </row>
    <row r="133" spans="1:10" x14ac:dyDescent="0.35">
      <c r="A133">
        <v>200376</v>
      </c>
      <c r="B133" s="3">
        <v>44200</v>
      </c>
      <c r="C133" t="s">
        <v>192</v>
      </c>
      <c r="D133" t="s">
        <v>274</v>
      </c>
      <c r="E133">
        <v>216580</v>
      </c>
      <c r="F133">
        <v>305000</v>
      </c>
      <c r="G133">
        <v>0.71</v>
      </c>
      <c r="H133">
        <v>1.4082556099362822</v>
      </c>
      <c r="I133" t="s">
        <v>13</v>
      </c>
      <c r="J133" t="s">
        <v>446</v>
      </c>
    </row>
    <row r="134" spans="1:10" x14ac:dyDescent="0.35">
      <c r="A134">
        <v>200557</v>
      </c>
      <c r="B134" s="3">
        <v>44267</v>
      </c>
      <c r="C134" t="s">
        <v>192</v>
      </c>
      <c r="D134" t="s">
        <v>276</v>
      </c>
      <c r="E134">
        <v>166670</v>
      </c>
      <c r="F134">
        <v>305000</v>
      </c>
      <c r="G134">
        <v>0.5464</v>
      </c>
      <c r="H134">
        <v>1.8299634007319854</v>
      </c>
      <c r="I134" t="s">
        <v>13</v>
      </c>
      <c r="J134" t="s">
        <v>446</v>
      </c>
    </row>
    <row r="135" spans="1:10" x14ac:dyDescent="0.35">
      <c r="A135">
        <v>201078</v>
      </c>
      <c r="B135" s="3">
        <v>44186</v>
      </c>
      <c r="C135" t="s">
        <v>90</v>
      </c>
      <c r="D135" t="s">
        <v>91</v>
      </c>
      <c r="E135">
        <v>173040</v>
      </c>
      <c r="F135">
        <v>302000</v>
      </c>
      <c r="G135">
        <v>0.57289999999999996</v>
      </c>
      <c r="H135">
        <v>1.7452612112806287</v>
      </c>
      <c r="I135" t="s">
        <v>13</v>
      </c>
      <c r="J135" t="s">
        <v>446</v>
      </c>
    </row>
    <row r="136" spans="1:10" x14ac:dyDescent="0.35">
      <c r="A136">
        <v>200484</v>
      </c>
      <c r="B136" s="3">
        <v>44389</v>
      </c>
      <c r="C136" t="s">
        <v>187</v>
      </c>
      <c r="D136" t="s">
        <v>259</v>
      </c>
      <c r="E136">
        <v>126800</v>
      </c>
      <c r="F136">
        <v>300000</v>
      </c>
      <c r="G136">
        <v>0.42259999999999998</v>
      </c>
      <c r="H136">
        <v>2.3659305993690851</v>
      </c>
      <c r="I136" t="s">
        <v>13</v>
      </c>
      <c r="J136" t="s">
        <v>445</v>
      </c>
    </row>
    <row r="137" spans="1:10" x14ac:dyDescent="0.35">
      <c r="A137">
        <v>200354</v>
      </c>
      <c r="B137" s="3">
        <v>44194</v>
      </c>
      <c r="C137" t="s">
        <v>32</v>
      </c>
      <c r="D137" t="s">
        <v>34</v>
      </c>
      <c r="E137">
        <v>173740</v>
      </c>
      <c r="F137">
        <v>299000</v>
      </c>
      <c r="G137">
        <v>0.58099999999999996</v>
      </c>
      <c r="H137">
        <v>1.720962357545758</v>
      </c>
      <c r="I137" t="s">
        <v>13</v>
      </c>
      <c r="J137" t="s">
        <v>446</v>
      </c>
    </row>
    <row r="138" spans="1:10" x14ac:dyDescent="0.35">
      <c r="A138">
        <v>80097</v>
      </c>
      <c r="B138" s="3">
        <v>39897</v>
      </c>
      <c r="C138" t="s">
        <v>308</v>
      </c>
      <c r="D138" t="s">
        <v>309</v>
      </c>
      <c r="E138">
        <v>210600</v>
      </c>
      <c r="F138">
        <v>299000</v>
      </c>
      <c r="G138">
        <v>0.70434782600000001</v>
      </c>
      <c r="H138">
        <v>1.4197530864197532</v>
      </c>
      <c r="I138" t="s">
        <v>16</v>
      </c>
      <c r="J138" t="s">
        <v>446</v>
      </c>
    </row>
    <row r="139" spans="1:10" x14ac:dyDescent="0.35">
      <c r="A139">
        <v>161101</v>
      </c>
      <c r="B139" s="3">
        <v>42864</v>
      </c>
      <c r="C139" t="s">
        <v>181</v>
      </c>
      <c r="D139" t="s">
        <v>399</v>
      </c>
      <c r="E139">
        <v>180350</v>
      </c>
      <c r="F139">
        <v>299000</v>
      </c>
      <c r="G139">
        <v>0.60317725799999999</v>
      </c>
      <c r="H139">
        <v>1.6578874410867757</v>
      </c>
      <c r="I139" t="s">
        <v>16</v>
      </c>
      <c r="J139" t="s">
        <v>446</v>
      </c>
    </row>
    <row r="140" spans="1:10" x14ac:dyDescent="0.35">
      <c r="A140">
        <v>70355</v>
      </c>
      <c r="B140" s="3">
        <v>39587</v>
      </c>
      <c r="C140" t="s">
        <v>283</v>
      </c>
      <c r="D140" t="s">
        <v>299</v>
      </c>
      <c r="E140">
        <v>179830</v>
      </c>
      <c r="F140">
        <v>292500</v>
      </c>
      <c r="G140">
        <v>0.61480341900000002</v>
      </c>
      <c r="H140">
        <v>1.6265361730523271</v>
      </c>
      <c r="I140" t="s">
        <v>16</v>
      </c>
      <c r="J140" t="s">
        <v>446</v>
      </c>
    </row>
    <row r="141" spans="1:10" x14ac:dyDescent="0.35">
      <c r="A141">
        <v>200046</v>
      </c>
      <c r="B141" s="3">
        <v>44179</v>
      </c>
      <c r="C141" t="s">
        <v>244</v>
      </c>
      <c r="D141" t="s">
        <v>246</v>
      </c>
      <c r="E141">
        <v>133210</v>
      </c>
      <c r="F141">
        <v>289900</v>
      </c>
      <c r="G141">
        <v>0.45950000000000002</v>
      </c>
      <c r="H141">
        <v>2.1762630433150663</v>
      </c>
      <c r="I141" t="s">
        <v>13</v>
      </c>
      <c r="J141" t="s">
        <v>445</v>
      </c>
    </row>
    <row r="142" spans="1:10" x14ac:dyDescent="0.35">
      <c r="A142">
        <v>20200070</v>
      </c>
      <c r="B142" s="3">
        <v>44294</v>
      </c>
      <c r="C142" t="s">
        <v>135</v>
      </c>
      <c r="D142" t="s">
        <v>204</v>
      </c>
      <c r="E142">
        <v>170200</v>
      </c>
      <c r="F142">
        <v>287000</v>
      </c>
      <c r="G142">
        <v>0.59299999999999997</v>
      </c>
      <c r="H142">
        <v>1.6862514688601644</v>
      </c>
      <c r="I142" t="s">
        <v>13</v>
      </c>
      <c r="J142" t="s">
        <v>446</v>
      </c>
    </row>
    <row r="143" spans="1:10" x14ac:dyDescent="0.35">
      <c r="A143">
        <v>100089</v>
      </c>
      <c r="B143" s="3">
        <v>40569</v>
      </c>
      <c r="C143" t="s">
        <v>19</v>
      </c>
      <c r="D143" t="s">
        <v>327</v>
      </c>
      <c r="E143">
        <v>0</v>
      </c>
      <c r="F143">
        <v>283491</v>
      </c>
      <c r="G143">
        <v>0</v>
      </c>
      <c r="I143" t="s">
        <v>16</v>
      </c>
      <c r="J143" t="s">
        <v>445</v>
      </c>
    </row>
    <row r="144" spans="1:10" x14ac:dyDescent="0.35">
      <c r="A144">
        <v>200709</v>
      </c>
      <c r="B144" s="3">
        <v>44302</v>
      </c>
      <c r="C144" t="s">
        <v>117</v>
      </c>
      <c r="D144" t="s">
        <v>118</v>
      </c>
      <c r="E144">
        <v>138100</v>
      </c>
      <c r="F144">
        <v>282500</v>
      </c>
      <c r="G144">
        <v>0.48884955800000002</v>
      </c>
      <c r="H144">
        <v>2.0456191165821869</v>
      </c>
      <c r="I144" t="s">
        <v>13</v>
      </c>
      <c r="J144" t="s">
        <v>445</v>
      </c>
    </row>
    <row r="145" spans="1:10" x14ac:dyDescent="0.35">
      <c r="A145">
        <v>200117</v>
      </c>
      <c r="B145" s="3">
        <v>44298</v>
      </c>
      <c r="C145" t="s">
        <v>41</v>
      </c>
      <c r="D145" t="s">
        <v>42</v>
      </c>
      <c r="E145">
        <v>160850</v>
      </c>
      <c r="F145">
        <v>280000</v>
      </c>
      <c r="G145">
        <v>0.57440000000000002</v>
      </c>
      <c r="H145">
        <v>1.7407522536524713</v>
      </c>
      <c r="I145" t="s">
        <v>13</v>
      </c>
      <c r="J145" t="s">
        <v>446</v>
      </c>
    </row>
    <row r="146" spans="1:10" x14ac:dyDescent="0.35">
      <c r="A146">
        <v>90472</v>
      </c>
      <c r="B146" s="3">
        <v>40331</v>
      </c>
      <c r="C146" t="s">
        <v>260</v>
      </c>
      <c r="D146" t="s">
        <v>313</v>
      </c>
      <c r="E146">
        <v>220920</v>
      </c>
      <c r="F146">
        <v>280000</v>
      </c>
      <c r="G146">
        <v>0.78900000000000003</v>
      </c>
      <c r="H146">
        <v>1.267427122940431</v>
      </c>
      <c r="I146" t="s">
        <v>16</v>
      </c>
      <c r="J146" t="s">
        <v>446</v>
      </c>
    </row>
    <row r="147" spans="1:10" x14ac:dyDescent="0.35">
      <c r="A147">
        <v>20899</v>
      </c>
      <c r="B147" s="3">
        <v>44368</v>
      </c>
      <c r="C147" t="s">
        <v>98</v>
      </c>
      <c r="D147" t="s">
        <v>427</v>
      </c>
      <c r="E147">
        <v>137270</v>
      </c>
      <c r="F147">
        <v>278500</v>
      </c>
      <c r="G147">
        <v>0.49280000000000002</v>
      </c>
      <c r="H147">
        <v>2.0288482552633496</v>
      </c>
      <c r="I147" t="s">
        <v>103</v>
      </c>
      <c r="J147" t="s">
        <v>445</v>
      </c>
    </row>
    <row r="148" spans="1:10" x14ac:dyDescent="0.35">
      <c r="A148">
        <v>160197</v>
      </c>
      <c r="B148" s="3">
        <v>42675</v>
      </c>
      <c r="C148" t="s">
        <v>181</v>
      </c>
      <c r="D148" t="s">
        <v>368</v>
      </c>
      <c r="E148">
        <v>143650</v>
      </c>
      <c r="F148">
        <v>278000</v>
      </c>
      <c r="G148">
        <v>0.51672661900000005</v>
      </c>
      <c r="H148">
        <v>1.9352593108249216</v>
      </c>
      <c r="I148" t="s">
        <v>16</v>
      </c>
      <c r="J148" t="s">
        <v>446</v>
      </c>
    </row>
    <row r="149" spans="1:10" x14ac:dyDescent="0.35">
      <c r="A149">
        <v>2000327</v>
      </c>
      <c r="B149" s="3">
        <v>44258</v>
      </c>
      <c r="C149" t="s">
        <v>140</v>
      </c>
      <c r="D149" t="s">
        <v>428</v>
      </c>
      <c r="E149">
        <v>157810</v>
      </c>
      <c r="F149">
        <v>276500</v>
      </c>
      <c r="G149">
        <v>0.57069999999999999</v>
      </c>
      <c r="H149">
        <v>1.7521069640707179</v>
      </c>
      <c r="I149" t="s">
        <v>13</v>
      </c>
      <c r="J149" t="s">
        <v>446</v>
      </c>
    </row>
    <row r="150" spans="1:10" x14ac:dyDescent="0.35">
      <c r="A150">
        <v>20200059</v>
      </c>
      <c r="B150" s="3">
        <v>44117</v>
      </c>
      <c r="C150" t="s">
        <v>129</v>
      </c>
      <c r="D150" t="s">
        <v>240</v>
      </c>
      <c r="E150">
        <v>156380</v>
      </c>
      <c r="F150">
        <v>276000</v>
      </c>
      <c r="G150">
        <v>0.5665</v>
      </c>
      <c r="H150">
        <v>1.7649315769279958</v>
      </c>
      <c r="I150" t="s">
        <v>13</v>
      </c>
      <c r="J150" t="s">
        <v>446</v>
      </c>
    </row>
    <row r="151" spans="1:10" x14ac:dyDescent="0.35">
      <c r="A151">
        <v>90042</v>
      </c>
      <c r="B151" s="3">
        <v>40106</v>
      </c>
      <c r="C151" t="s">
        <v>84</v>
      </c>
      <c r="D151" t="s">
        <v>323</v>
      </c>
      <c r="E151">
        <v>219870</v>
      </c>
      <c r="F151">
        <v>275000</v>
      </c>
      <c r="G151">
        <v>0.79952727300000004</v>
      </c>
      <c r="H151">
        <v>1.2507390730886432</v>
      </c>
      <c r="I151" t="s">
        <v>16</v>
      </c>
      <c r="J151" t="s">
        <v>446</v>
      </c>
    </row>
    <row r="152" spans="1:10" x14ac:dyDescent="0.35">
      <c r="A152">
        <v>90113</v>
      </c>
      <c r="B152" s="3">
        <v>40150</v>
      </c>
      <c r="C152" t="s">
        <v>187</v>
      </c>
      <c r="D152" t="s">
        <v>349</v>
      </c>
      <c r="E152">
        <v>176220</v>
      </c>
      <c r="F152">
        <v>270000</v>
      </c>
      <c r="G152">
        <v>0.65266666699999998</v>
      </c>
      <c r="H152">
        <v>1.5321756894790604</v>
      </c>
      <c r="I152" t="s">
        <v>16</v>
      </c>
      <c r="J152" t="s">
        <v>446</v>
      </c>
    </row>
    <row r="153" spans="1:10" x14ac:dyDescent="0.35">
      <c r="A153">
        <v>200025</v>
      </c>
      <c r="B153" s="3">
        <v>44124</v>
      </c>
      <c r="C153" t="s">
        <v>241</v>
      </c>
      <c r="D153" t="s">
        <v>243</v>
      </c>
      <c r="E153">
        <v>159180</v>
      </c>
      <c r="F153">
        <v>261000</v>
      </c>
      <c r="G153">
        <v>0.60980000000000001</v>
      </c>
      <c r="H153">
        <v>1.6396532227666791</v>
      </c>
      <c r="I153" t="s">
        <v>13</v>
      </c>
      <c r="J153" t="s">
        <v>446</v>
      </c>
    </row>
    <row r="154" spans="1:10" x14ac:dyDescent="0.35">
      <c r="A154">
        <v>200408</v>
      </c>
      <c r="B154" s="3">
        <v>44189</v>
      </c>
      <c r="C154" t="s">
        <v>56</v>
      </c>
      <c r="D154" t="s">
        <v>63</v>
      </c>
      <c r="E154">
        <v>130800</v>
      </c>
      <c r="F154">
        <v>260000</v>
      </c>
      <c r="G154">
        <v>0.503</v>
      </c>
      <c r="H154">
        <v>1.9877675840978593</v>
      </c>
      <c r="I154" t="s">
        <v>13</v>
      </c>
      <c r="J154" t="s">
        <v>446</v>
      </c>
    </row>
    <row r="155" spans="1:10" x14ac:dyDescent="0.35">
      <c r="A155">
        <v>201245</v>
      </c>
      <c r="B155" s="3">
        <v>44453</v>
      </c>
      <c r="C155" t="s">
        <v>125</v>
      </c>
      <c r="D155" t="s">
        <v>131</v>
      </c>
      <c r="E155">
        <v>128170</v>
      </c>
      <c r="F155">
        <v>260000</v>
      </c>
      <c r="G155">
        <v>0.4929</v>
      </c>
      <c r="H155">
        <v>2.0285558242958572</v>
      </c>
      <c r="I155" t="s">
        <v>13</v>
      </c>
      <c r="J155" t="s">
        <v>445</v>
      </c>
    </row>
    <row r="156" spans="1:10" x14ac:dyDescent="0.35">
      <c r="A156">
        <v>10037</v>
      </c>
      <c r="B156" s="3">
        <v>40500</v>
      </c>
      <c r="C156" t="s">
        <v>286</v>
      </c>
      <c r="D156" t="s">
        <v>347</v>
      </c>
      <c r="E156">
        <v>203600</v>
      </c>
      <c r="F156">
        <v>260000</v>
      </c>
      <c r="G156">
        <v>0.78307692299999998</v>
      </c>
      <c r="H156">
        <v>1.2770137524557956</v>
      </c>
      <c r="I156" t="s">
        <v>16</v>
      </c>
      <c r="J156" t="s">
        <v>446</v>
      </c>
    </row>
    <row r="157" spans="1:10" x14ac:dyDescent="0.35">
      <c r="A157">
        <v>2000513</v>
      </c>
      <c r="B157" s="3">
        <v>44397</v>
      </c>
      <c r="C157" t="s">
        <v>277</v>
      </c>
      <c r="D157" t="s">
        <v>279</v>
      </c>
      <c r="E157">
        <v>144050</v>
      </c>
      <c r="F157">
        <v>257500</v>
      </c>
      <c r="G157">
        <v>0.55940000000000001</v>
      </c>
      <c r="H157">
        <v>1.7875737591114196</v>
      </c>
      <c r="I157" t="s">
        <v>13</v>
      </c>
      <c r="J157" t="s">
        <v>446</v>
      </c>
    </row>
    <row r="158" spans="1:10" x14ac:dyDescent="0.35">
      <c r="A158">
        <v>20118</v>
      </c>
      <c r="B158" s="3">
        <v>44469</v>
      </c>
      <c r="C158" t="s">
        <v>235</v>
      </c>
      <c r="D158" t="s">
        <v>236</v>
      </c>
      <c r="E158">
        <v>92890</v>
      </c>
      <c r="F158">
        <v>255000</v>
      </c>
      <c r="G158">
        <v>0.36420000000000002</v>
      </c>
      <c r="H158">
        <v>2.7451824738938528</v>
      </c>
      <c r="I158" t="s">
        <v>13</v>
      </c>
      <c r="J158" t="s">
        <v>445</v>
      </c>
    </row>
    <row r="159" spans="1:10" x14ac:dyDescent="0.35">
      <c r="A159">
        <v>170178</v>
      </c>
      <c r="B159" s="3">
        <v>43089</v>
      </c>
      <c r="C159" t="s">
        <v>159</v>
      </c>
      <c r="D159" t="s">
        <v>381</v>
      </c>
      <c r="E159">
        <v>169400</v>
      </c>
      <c r="F159">
        <v>252500</v>
      </c>
      <c r="G159">
        <v>0.67089108900000005</v>
      </c>
      <c r="H159">
        <v>1.4905548996458087</v>
      </c>
      <c r="I159" t="s">
        <v>16</v>
      </c>
      <c r="J159" t="s">
        <v>446</v>
      </c>
    </row>
    <row r="160" spans="1:10" x14ac:dyDescent="0.35">
      <c r="A160">
        <v>200002</v>
      </c>
      <c r="B160" s="3">
        <v>44105</v>
      </c>
      <c r="C160" t="s">
        <v>210</v>
      </c>
      <c r="D160" t="s">
        <v>213</v>
      </c>
      <c r="E160">
        <v>186610</v>
      </c>
      <c r="F160">
        <v>252000</v>
      </c>
      <c r="G160">
        <v>0.74050000000000005</v>
      </c>
      <c r="H160">
        <v>1.3504099458764267</v>
      </c>
      <c r="I160" t="s">
        <v>13</v>
      </c>
      <c r="J160" t="s">
        <v>446</v>
      </c>
    </row>
    <row r="161" spans="1:10" x14ac:dyDescent="0.35">
      <c r="A161">
        <v>2000381</v>
      </c>
      <c r="B161" s="3">
        <v>44452</v>
      </c>
      <c r="C161" t="s">
        <v>27</v>
      </c>
      <c r="D161" t="s">
        <v>28</v>
      </c>
      <c r="E161">
        <v>163730</v>
      </c>
      <c r="F161">
        <v>250000</v>
      </c>
      <c r="G161">
        <v>0.65490000000000004</v>
      </c>
      <c r="H161">
        <v>1.5269040493495389</v>
      </c>
      <c r="I161" t="s">
        <v>13</v>
      </c>
      <c r="J161" t="s">
        <v>446</v>
      </c>
    </row>
    <row r="162" spans="1:10" x14ac:dyDescent="0.35">
      <c r="A162">
        <v>201295</v>
      </c>
      <c r="B162" s="3">
        <v>44448</v>
      </c>
      <c r="C162" t="s">
        <v>32</v>
      </c>
      <c r="D162" t="s">
        <v>412</v>
      </c>
      <c r="E162">
        <v>144340</v>
      </c>
      <c r="F162">
        <v>249900</v>
      </c>
      <c r="G162">
        <v>0.57750000000000001</v>
      </c>
      <c r="H162">
        <v>1.7313288069835111</v>
      </c>
      <c r="I162" t="s">
        <v>13</v>
      </c>
      <c r="J162" t="s">
        <v>446</v>
      </c>
    </row>
    <row r="163" spans="1:10" x14ac:dyDescent="0.35">
      <c r="A163">
        <v>20565</v>
      </c>
      <c r="B163" s="3">
        <v>44284</v>
      </c>
      <c r="C163" t="s">
        <v>98</v>
      </c>
      <c r="D163" t="s">
        <v>426</v>
      </c>
      <c r="E163">
        <v>61915</v>
      </c>
      <c r="F163">
        <v>249000</v>
      </c>
      <c r="G163">
        <v>0.24859999999999999</v>
      </c>
      <c r="H163">
        <v>4.021642574497295</v>
      </c>
      <c r="I163" t="s">
        <v>13</v>
      </c>
      <c r="J163" t="s">
        <v>445</v>
      </c>
    </row>
    <row r="164" spans="1:10" x14ac:dyDescent="0.35">
      <c r="A164">
        <v>70113</v>
      </c>
      <c r="B164" s="3">
        <v>39426</v>
      </c>
      <c r="C164" t="s">
        <v>182</v>
      </c>
      <c r="D164" t="s">
        <v>298</v>
      </c>
      <c r="E164">
        <v>175770</v>
      </c>
      <c r="F164">
        <v>248000</v>
      </c>
      <c r="G164">
        <v>0.70874999999999999</v>
      </c>
      <c r="H164">
        <v>1.4109347442680775</v>
      </c>
      <c r="I164" t="s">
        <v>16</v>
      </c>
      <c r="J164" t="s">
        <v>446</v>
      </c>
    </row>
    <row r="165" spans="1:10" x14ac:dyDescent="0.35">
      <c r="A165">
        <v>200101</v>
      </c>
      <c r="B165" s="3">
        <v>44203</v>
      </c>
      <c r="C165" t="s">
        <v>52</v>
      </c>
      <c r="D165" t="s">
        <v>53</v>
      </c>
      <c r="E165">
        <v>142800</v>
      </c>
      <c r="F165">
        <v>245000</v>
      </c>
      <c r="G165">
        <v>0.58279999999999998</v>
      </c>
      <c r="H165">
        <v>1.7156862745098038</v>
      </c>
      <c r="I165" t="s">
        <v>13</v>
      </c>
      <c r="J165" t="s">
        <v>446</v>
      </c>
    </row>
    <row r="166" spans="1:10" x14ac:dyDescent="0.35">
      <c r="A166">
        <v>200537</v>
      </c>
      <c r="B166" s="3">
        <v>44337</v>
      </c>
      <c r="C166" t="s">
        <v>73</v>
      </c>
      <c r="D166" t="s">
        <v>74</v>
      </c>
      <c r="E166">
        <v>117380</v>
      </c>
      <c r="F166">
        <v>245000</v>
      </c>
      <c r="G166">
        <v>0.47910000000000003</v>
      </c>
      <c r="H166">
        <v>2.0872380303288467</v>
      </c>
      <c r="I166" t="s">
        <v>13</v>
      </c>
      <c r="J166" t="s">
        <v>445</v>
      </c>
    </row>
    <row r="167" spans="1:10" x14ac:dyDescent="0.35">
      <c r="A167">
        <v>70258</v>
      </c>
      <c r="B167" s="3">
        <v>39447</v>
      </c>
      <c r="C167" t="s">
        <v>409</v>
      </c>
      <c r="D167" t="s">
        <v>295</v>
      </c>
      <c r="E167">
        <v>171700</v>
      </c>
      <c r="F167">
        <v>244000</v>
      </c>
      <c r="G167">
        <v>0.70368852500000001</v>
      </c>
      <c r="H167">
        <v>1.4210832847990682</v>
      </c>
      <c r="I167" t="s">
        <v>16</v>
      </c>
      <c r="J167" t="s">
        <v>446</v>
      </c>
    </row>
    <row r="168" spans="1:10" x14ac:dyDescent="0.35">
      <c r="A168">
        <v>17128</v>
      </c>
      <c r="B168" s="3">
        <v>43203</v>
      </c>
      <c r="C168" t="s">
        <v>284</v>
      </c>
      <c r="D168" t="s">
        <v>377</v>
      </c>
      <c r="E168">
        <v>132650</v>
      </c>
      <c r="F168">
        <v>241368</v>
      </c>
      <c r="G168">
        <v>0.54949999999999999</v>
      </c>
      <c r="H168">
        <v>1.8195853750471165</v>
      </c>
      <c r="I168" t="s">
        <v>16</v>
      </c>
      <c r="J168" t="s">
        <v>446</v>
      </c>
    </row>
    <row r="169" spans="1:10" x14ac:dyDescent="0.35">
      <c r="A169">
        <v>200886</v>
      </c>
      <c r="B169" s="3">
        <v>44319</v>
      </c>
      <c r="C169" t="s">
        <v>56</v>
      </c>
      <c r="D169" t="s">
        <v>58</v>
      </c>
      <c r="E169">
        <v>189800</v>
      </c>
      <c r="F169">
        <v>240000</v>
      </c>
      <c r="G169">
        <v>0.79079999999999995</v>
      </c>
      <c r="H169">
        <v>1.2644889357218125</v>
      </c>
      <c r="I169" t="s">
        <v>13</v>
      </c>
      <c r="J169" t="s">
        <v>446</v>
      </c>
    </row>
    <row r="170" spans="1:10" x14ac:dyDescent="0.35">
      <c r="A170">
        <v>200226</v>
      </c>
      <c r="B170" s="3">
        <v>44183</v>
      </c>
      <c r="C170" t="s">
        <v>73</v>
      </c>
      <c r="D170" t="s">
        <v>76</v>
      </c>
      <c r="E170">
        <v>145570</v>
      </c>
      <c r="F170">
        <v>240000</v>
      </c>
      <c r="G170">
        <v>0.60650000000000004</v>
      </c>
      <c r="H170">
        <v>1.6486913512399533</v>
      </c>
      <c r="I170" t="s">
        <v>13</v>
      </c>
      <c r="J170" t="s">
        <v>446</v>
      </c>
    </row>
    <row r="171" spans="1:10" x14ac:dyDescent="0.35">
      <c r="A171">
        <v>200264</v>
      </c>
      <c r="B171" s="3">
        <v>44357</v>
      </c>
      <c r="C171" t="s">
        <v>155</v>
      </c>
      <c r="D171" t="s">
        <v>156</v>
      </c>
      <c r="E171">
        <v>107500</v>
      </c>
      <c r="F171">
        <v>240000</v>
      </c>
      <c r="G171">
        <v>0.44790000000000002</v>
      </c>
      <c r="H171">
        <v>2.2325581395348837</v>
      </c>
      <c r="I171" t="s">
        <v>13</v>
      </c>
      <c r="J171" t="s">
        <v>445</v>
      </c>
    </row>
    <row r="172" spans="1:10" x14ac:dyDescent="0.35">
      <c r="A172">
        <v>90695</v>
      </c>
      <c r="B172" s="3">
        <v>40359</v>
      </c>
      <c r="C172" t="s">
        <v>122</v>
      </c>
      <c r="D172" t="s">
        <v>336</v>
      </c>
      <c r="E172">
        <v>45757</v>
      </c>
      <c r="F172">
        <v>239900</v>
      </c>
      <c r="G172">
        <v>0.19073363900000001</v>
      </c>
      <c r="H172">
        <v>5.2429136525558935</v>
      </c>
      <c r="I172" t="s">
        <v>16</v>
      </c>
      <c r="J172" t="s">
        <v>445</v>
      </c>
    </row>
    <row r="173" spans="1:10" x14ac:dyDescent="0.35">
      <c r="A173">
        <v>90073</v>
      </c>
      <c r="B173" s="3">
        <v>40142</v>
      </c>
      <c r="C173" t="s">
        <v>215</v>
      </c>
      <c r="D173" t="s">
        <v>335</v>
      </c>
      <c r="E173">
        <v>111300</v>
      </c>
      <c r="F173">
        <v>238521</v>
      </c>
      <c r="G173">
        <v>0.46662557999999998</v>
      </c>
      <c r="H173">
        <v>2.143045822102426</v>
      </c>
      <c r="I173" t="s">
        <v>16</v>
      </c>
      <c r="J173" t="s">
        <v>445</v>
      </c>
    </row>
    <row r="174" spans="1:10" x14ac:dyDescent="0.35">
      <c r="A174">
        <v>201133</v>
      </c>
      <c r="B174" s="3">
        <v>44441</v>
      </c>
      <c r="C174" t="s">
        <v>146</v>
      </c>
      <c r="D174" t="s">
        <v>150</v>
      </c>
      <c r="E174">
        <v>123480</v>
      </c>
      <c r="F174">
        <v>235000</v>
      </c>
      <c r="G174">
        <v>0.52539999999999998</v>
      </c>
      <c r="H174">
        <v>1.9031422092646582</v>
      </c>
      <c r="I174" t="s">
        <v>13</v>
      </c>
      <c r="J174" t="s">
        <v>446</v>
      </c>
    </row>
    <row r="175" spans="1:10" x14ac:dyDescent="0.35">
      <c r="A175">
        <v>200207</v>
      </c>
      <c r="B175" s="3">
        <v>44357</v>
      </c>
      <c r="C175" t="s">
        <v>200</v>
      </c>
      <c r="D175" t="s">
        <v>201</v>
      </c>
      <c r="E175">
        <v>120890</v>
      </c>
      <c r="F175">
        <v>234900</v>
      </c>
      <c r="G175">
        <v>0.51459999999999995</v>
      </c>
      <c r="H175">
        <v>1.9430887583753826</v>
      </c>
      <c r="I175" t="s">
        <v>13</v>
      </c>
      <c r="J175" t="s">
        <v>446</v>
      </c>
    </row>
    <row r="176" spans="1:10" x14ac:dyDescent="0.35">
      <c r="A176">
        <v>200938</v>
      </c>
      <c r="B176" s="3">
        <v>44329</v>
      </c>
      <c r="C176" t="s">
        <v>56</v>
      </c>
      <c r="D176" t="s">
        <v>59</v>
      </c>
      <c r="E176">
        <v>118900</v>
      </c>
      <c r="F176">
        <v>230000</v>
      </c>
      <c r="G176">
        <v>0.51690000000000003</v>
      </c>
      <c r="H176">
        <v>1.9343986543313709</v>
      </c>
      <c r="I176" t="s">
        <v>13</v>
      </c>
      <c r="J176" t="s">
        <v>446</v>
      </c>
    </row>
    <row r="177" spans="1:10" x14ac:dyDescent="0.35">
      <c r="A177">
        <v>100002</v>
      </c>
      <c r="B177" s="3">
        <v>40455</v>
      </c>
      <c r="C177" t="s">
        <v>29</v>
      </c>
      <c r="D177" t="s">
        <v>333</v>
      </c>
      <c r="E177">
        <v>184500</v>
      </c>
      <c r="F177">
        <v>230000</v>
      </c>
      <c r="G177">
        <v>0.80217391299999996</v>
      </c>
      <c r="H177">
        <v>1.2466124661246611</v>
      </c>
      <c r="I177" t="s">
        <v>16</v>
      </c>
      <c r="J177" t="s">
        <v>446</v>
      </c>
    </row>
    <row r="178" spans="1:10" x14ac:dyDescent="0.35">
      <c r="A178">
        <v>20059</v>
      </c>
      <c r="B178" s="3">
        <v>44245</v>
      </c>
      <c r="C178" t="s">
        <v>113</v>
      </c>
      <c r="D178" t="s">
        <v>114</v>
      </c>
      <c r="E178">
        <v>121510</v>
      </c>
      <c r="F178">
        <v>229900</v>
      </c>
      <c r="G178">
        <v>0.52849999999999997</v>
      </c>
      <c r="H178">
        <v>1.8920253477080076</v>
      </c>
      <c r="I178" t="s">
        <v>13</v>
      </c>
      <c r="J178" t="s">
        <v>446</v>
      </c>
    </row>
    <row r="179" spans="1:10" x14ac:dyDescent="0.35">
      <c r="A179">
        <v>70052</v>
      </c>
      <c r="B179" s="3">
        <v>39367</v>
      </c>
      <c r="C179" t="s">
        <v>159</v>
      </c>
      <c r="D179" t="s">
        <v>292</v>
      </c>
      <c r="E179">
        <v>161700</v>
      </c>
      <c r="F179">
        <v>227000</v>
      </c>
      <c r="G179">
        <v>0.71233480199999999</v>
      </c>
      <c r="H179">
        <v>1.4038342609771182</v>
      </c>
      <c r="I179" t="s">
        <v>16</v>
      </c>
      <c r="J179" t="s">
        <v>446</v>
      </c>
    </row>
    <row r="180" spans="1:10" x14ac:dyDescent="0.35">
      <c r="A180">
        <v>200374</v>
      </c>
      <c r="B180" s="3">
        <v>44334</v>
      </c>
      <c r="C180" t="s">
        <v>187</v>
      </c>
      <c r="D180" t="s">
        <v>258</v>
      </c>
      <c r="E180">
        <v>129190</v>
      </c>
      <c r="F180">
        <v>226800</v>
      </c>
      <c r="G180">
        <v>0.5696</v>
      </c>
      <c r="H180">
        <v>1.7555538354361793</v>
      </c>
      <c r="I180" t="s">
        <v>13</v>
      </c>
      <c r="J180" t="s">
        <v>446</v>
      </c>
    </row>
    <row r="181" spans="1:10" x14ac:dyDescent="0.35">
      <c r="A181">
        <v>200106</v>
      </c>
      <c r="B181" s="3">
        <v>44137</v>
      </c>
      <c r="C181" t="s">
        <v>139</v>
      </c>
      <c r="D181" t="s">
        <v>250</v>
      </c>
      <c r="E181">
        <v>126570</v>
      </c>
      <c r="F181">
        <v>225005</v>
      </c>
      <c r="G181">
        <v>0.5625</v>
      </c>
      <c r="H181">
        <v>1.7777119380579915</v>
      </c>
      <c r="I181" t="s">
        <v>13</v>
      </c>
      <c r="J181" t="s">
        <v>446</v>
      </c>
    </row>
    <row r="182" spans="1:10" x14ac:dyDescent="0.35">
      <c r="A182">
        <v>160452</v>
      </c>
      <c r="B182" s="3">
        <v>42989</v>
      </c>
      <c r="C182" t="s">
        <v>200</v>
      </c>
      <c r="D182" t="s">
        <v>400</v>
      </c>
      <c r="E182">
        <v>145950</v>
      </c>
      <c r="F182">
        <v>225000</v>
      </c>
      <c r="G182">
        <v>0.64866666699999997</v>
      </c>
      <c r="H182">
        <v>1.5416238437821173</v>
      </c>
      <c r="I182" t="s">
        <v>16</v>
      </c>
      <c r="J182" t="s">
        <v>446</v>
      </c>
    </row>
    <row r="183" spans="1:10" x14ac:dyDescent="0.35">
      <c r="A183">
        <v>20086</v>
      </c>
      <c r="B183" s="3">
        <v>44126</v>
      </c>
      <c r="C183" t="s">
        <v>146</v>
      </c>
      <c r="D183" t="s">
        <v>429</v>
      </c>
      <c r="E183">
        <v>122220</v>
      </c>
      <c r="F183">
        <v>223000</v>
      </c>
      <c r="G183">
        <v>0.54800000000000004</v>
      </c>
      <c r="H183">
        <v>1.82457862870234</v>
      </c>
      <c r="I183" t="s">
        <v>13</v>
      </c>
      <c r="J183" t="s">
        <v>446</v>
      </c>
    </row>
    <row r="184" spans="1:10" x14ac:dyDescent="0.35">
      <c r="A184">
        <v>20102</v>
      </c>
      <c r="B184" s="3">
        <v>44174</v>
      </c>
      <c r="C184" t="s">
        <v>191</v>
      </c>
      <c r="D184" t="s">
        <v>270</v>
      </c>
      <c r="E184">
        <v>127000</v>
      </c>
      <c r="F184">
        <v>223000</v>
      </c>
      <c r="G184">
        <v>0.56950000000000001</v>
      </c>
      <c r="H184">
        <v>1.7559055118110236</v>
      </c>
      <c r="I184" t="s">
        <v>13</v>
      </c>
      <c r="J184" t="s">
        <v>446</v>
      </c>
    </row>
    <row r="185" spans="1:10" x14ac:dyDescent="0.35">
      <c r="A185">
        <v>20614</v>
      </c>
      <c r="B185" s="3">
        <v>44294</v>
      </c>
      <c r="C185" t="s">
        <v>98</v>
      </c>
      <c r="D185" t="s">
        <v>101</v>
      </c>
      <c r="E185">
        <v>52500</v>
      </c>
      <c r="F185">
        <v>220000</v>
      </c>
      <c r="G185">
        <v>0.23860000000000001</v>
      </c>
      <c r="H185">
        <v>4.1904761904761907</v>
      </c>
      <c r="I185" t="s">
        <v>13</v>
      </c>
      <c r="J185" t="s">
        <v>445</v>
      </c>
    </row>
    <row r="186" spans="1:10" x14ac:dyDescent="0.35">
      <c r="A186">
        <v>200179</v>
      </c>
      <c r="B186" s="3">
        <v>44369</v>
      </c>
      <c r="C186" t="s">
        <v>195</v>
      </c>
      <c r="D186" t="s">
        <v>196</v>
      </c>
      <c r="E186">
        <v>134750</v>
      </c>
      <c r="F186">
        <v>220000</v>
      </c>
      <c r="G186">
        <v>0.61250000000000004</v>
      </c>
      <c r="H186">
        <v>1.6326530612244898</v>
      </c>
      <c r="I186" t="s">
        <v>13</v>
      </c>
      <c r="J186" t="s">
        <v>446</v>
      </c>
    </row>
    <row r="187" spans="1:10" x14ac:dyDescent="0.35">
      <c r="A187">
        <v>202611</v>
      </c>
      <c r="B187" s="3">
        <v>44383</v>
      </c>
      <c r="C187" t="s">
        <v>122</v>
      </c>
      <c r="D187" t="s">
        <v>173</v>
      </c>
      <c r="E187">
        <v>144380</v>
      </c>
      <c r="F187">
        <v>217500</v>
      </c>
      <c r="G187">
        <v>0.66379999999999995</v>
      </c>
      <c r="H187">
        <v>1.506441335365009</v>
      </c>
      <c r="I187" t="s">
        <v>13</v>
      </c>
      <c r="J187" t="s">
        <v>446</v>
      </c>
    </row>
    <row r="188" spans="1:10" x14ac:dyDescent="0.35">
      <c r="A188">
        <v>70073</v>
      </c>
      <c r="B188" s="3">
        <v>39521</v>
      </c>
      <c r="C188" t="s">
        <v>41</v>
      </c>
      <c r="D188" t="s">
        <v>301</v>
      </c>
      <c r="E188">
        <v>126000</v>
      </c>
      <c r="F188">
        <v>217500</v>
      </c>
      <c r="G188">
        <v>0.579310345</v>
      </c>
      <c r="H188">
        <v>1.7261904761904763</v>
      </c>
      <c r="I188" t="s">
        <v>16</v>
      </c>
      <c r="J188" t="s">
        <v>446</v>
      </c>
    </row>
    <row r="189" spans="1:10" x14ac:dyDescent="0.35">
      <c r="A189">
        <v>160773</v>
      </c>
      <c r="B189" s="3">
        <v>42905</v>
      </c>
      <c r="C189" t="s">
        <v>129</v>
      </c>
      <c r="D189" t="s">
        <v>396</v>
      </c>
      <c r="E189">
        <v>153230</v>
      </c>
      <c r="F189">
        <v>215000</v>
      </c>
      <c r="G189">
        <v>0.71269767399999995</v>
      </c>
      <c r="H189">
        <v>1.4031194935717548</v>
      </c>
      <c r="I189" t="s">
        <v>16</v>
      </c>
      <c r="J189" t="s">
        <v>446</v>
      </c>
    </row>
    <row r="190" spans="1:10" x14ac:dyDescent="0.35">
      <c r="A190">
        <v>201440</v>
      </c>
      <c r="B190" s="3">
        <v>44454</v>
      </c>
      <c r="C190" t="s">
        <v>159</v>
      </c>
      <c r="D190" t="s">
        <v>163</v>
      </c>
      <c r="E190">
        <v>80150</v>
      </c>
      <c r="F190">
        <v>214000</v>
      </c>
      <c r="G190">
        <v>0.3745</v>
      </c>
      <c r="H190">
        <v>2.6699937616968183</v>
      </c>
      <c r="I190" t="s">
        <v>13</v>
      </c>
      <c r="J190" t="s">
        <v>445</v>
      </c>
    </row>
    <row r="191" spans="1:10" x14ac:dyDescent="0.35">
      <c r="A191">
        <v>90002</v>
      </c>
      <c r="B191" s="3">
        <v>40087</v>
      </c>
      <c r="C191" t="s">
        <v>139</v>
      </c>
      <c r="D191" t="s">
        <v>343</v>
      </c>
      <c r="E191">
        <v>150710</v>
      </c>
      <c r="F191">
        <v>210000</v>
      </c>
      <c r="G191">
        <v>0.71766666700000004</v>
      </c>
      <c r="H191">
        <v>1.3934045517882026</v>
      </c>
      <c r="I191" t="s">
        <v>16</v>
      </c>
      <c r="J191" t="s">
        <v>446</v>
      </c>
    </row>
    <row r="192" spans="1:10" x14ac:dyDescent="0.35">
      <c r="A192">
        <v>20064</v>
      </c>
      <c r="B192" s="3">
        <v>44439</v>
      </c>
      <c r="C192" t="s">
        <v>81</v>
      </c>
      <c r="D192" t="s">
        <v>82</v>
      </c>
      <c r="E192">
        <v>186770</v>
      </c>
      <c r="F192">
        <v>209000</v>
      </c>
      <c r="G192">
        <v>0.89359999999999995</v>
      </c>
      <c r="H192">
        <v>1.1190233977619533</v>
      </c>
      <c r="I192" t="s">
        <v>10</v>
      </c>
      <c r="J192" t="s">
        <v>446</v>
      </c>
    </row>
    <row r="193" spans="1:10" x14ac:dyDescent="0.35">
      <c r="A193">
        <v>70280</v>
      </c>
      <c r="B193" s="3">
        <v>39650</v>
      </c>
      <c r="C193" t="s">
        <v>43</v>
      </c>
      <c r="D193" t="s">
        <v>302</v>
      </c>
      <c r="E193">
        <v>98180</v>
      </c>
      <c r="F193">
        <v>204900</v>
      </c>
      <c r="G193">
        <v>0.47916056600000001</v>
      </c>
      <c r="H193">
        <v>2.0869830922794868</v>
      </c>
      <c r="I193" t="s">
        <v>16</v>
      </c>
      <c r="J193" t="s">
        <v>445</v>
      </c>
    </row>
    <row r="194" spans="1:10" x14ac:dyDescent="0.35">
      <c r="A194">
        <v>2000330</v>
      </c>
      <c r="B194" s="3">
        <v>44336</v>
      </c>
      <c r="C194" t="s">
        <v>43</v>
      </c>
      <c r="D194" t="s">
        <v>45</v>
      </c>
      <c r="E194">
        <v>144220</v>
      </c>
      <c r="F194">
        <v>204000</v>
      </c>
      <c r="G194">
        <v>0.70689999999999997</v>
      </c>
      <c r="H194">
        <v>1.4145056164193592</v>
      </c>
      <c r="I194" t="s">
        <v>13</v>
      </c>
      <c r="J194" t="s">
        <v>446</v>
      </c>
    </row>
    <row r="195" spans="1:10" x14ac:dyDescent="0.35">
      <c r="A195">
        <v>200052</v>
      </c>
      <c r="B195" s="3">
        <v>44151</v>
      </c>
      <c r="C195" t="s">
        <v>115</v>
      </c>
      <c r="D195" t="s">
        <v>116</v>
      </c>
      <c r="E195">
        <v>149570</v>
      </c>
      <c r="F195">
        <v>200000</v>
      </c>
      <c r="G195">
        <v>0.74780000000000002</v>
      </c>
      <c r="H195">
        <v>1.3371665440930669</v>
      </c>
      <c r="I195" t="s">
        <v>13</v>
      </c>
      <c r="J195" t="s">
        <v>446</v>
      </c>
    </row>
    <row r="196" spans="1:10" x14ac:dyDescent="0.35">
      <c r="A196">
        <v>20135</v>
      </c>
      <c r="B196" s="3">
        <v>44217</v>
      </c>
      <c r="C196" t="s">
        <v>184</v>
      </c>
      <c r="D196" t="s">
        <v>185</v>
      </c>
      <c r="E196">
        <v>98580</v>
      </c>
      <c r="F196">
        <v>200000</v>
      </c>
      <c r="G196">
        <v>0.4929</v>
      </c>
      <c r="H196">
        <v>2.028809089064719</v>
      </c>
      <c r="I196" t="s">
        <v>13</v>
      </c>
      <c r="J196" t="s">
        <v>445</v>
      </c>
    </row>
    <row r="197" spans="1:10" x14ac:dyDescent="0.35">
      <c r="A197">
        <v>91262</v>
      </c>
      <c r="B197" s="3">
        <v>40408</v>
      </c>
      <c r="C197" t="s">
        <v>264</v>
      </c>
      <c r="D197" t="s">
        <v>337</v>
      </c>
      <c r="E197">
        <v>233280</v>
      </c>
      <c r="F197">
        <v>200000</v>
      </c>
      <c r="G197">
        <v>11664</v>
      </c>
      <c r="H197">
        <v>0.85733882030178321</v>
      </c>
      <c r="I197" t="s">
        <v>16</v>
      </c>
      <c r="J197" t="s">
        <v>446</v>
      </c>
    </row>
    <row r="198" spans="1:10" x14ac:dyDescent="0.35">
      <c r="A198">
        <v>161187</v>
      </c>
      <c r="B198" s="3">
        <v>42930</v>
      </c>
      <c r="C198" t="s">
        <v>122</v>
      </c>
      <c r="D198" t="s">
        <v>378</v>
      </c>
      <c r="E198">
        <v>143240</v>
      </c>
      <c r="F198">
        <v>200000</v>
      </c>
      <c r="G198">
        <v>0.71619999999999995</v>
      </c>
      <c r="H198">
        <v>1.3962580284836639</v>
      </c>
      <c r="I198" t="s">
        <v>16</v>
      </c>
      <c r="J198" t="s">
        <v>446</v>
      </c>
    </row>
    <row r="199" spans="1:10" x14ac:dyDescent="0.35">
      <c r="A199">
        <v>90026</v>
      </c>
      <c r="B199" s="3">
        <v>40106</v>
      </c>
      <c r="C199" t="s">
        <v>219</v>
      </c>
      <c r="D199" t="s">
        <v>320</v>
      </c>
      <c r="E199">
        <v>250540</v>
      </c>
      <c r="F199">
        <v>197000</v>
      </c>
      <c r="G199">
        <v>127177665</v>
      </c>
      <c r="H199">
        <v>0.78630158856869159</v>
      </c>
      <c r="I199" t="s">
        <v>16</v>
      </c>
      <c r="J199" t="s">
        <v>446</v>
      </c>
    </row>
    <row r="200" spans="1:10" x14ac:dyDescent="0.35">
      <c r="A200">
        <v>170327</v>
      </c>
      <c r="B200" s="3">
        <v>43208</v>
      </c>
      <c r="C200" t="s">
        <v>73</v>
      </c>
      <c r="D200" t="s">
        <v>389</v>
      </c>
      <c r="E200">
        <v>124660</v>
      </c>
      <c r="F200">
        <v>196000</v>
      </c>
      <c r="G200">
        <v>0.63600000000000001</v>
      </c>
      <c r="H200">
        <v>1.5722765923311408</v>
      </c>
      <c r="I200" t="s">
        <v>16</v>
      </c>
      <c r="J200" t="s">
        <v>446</v>
      </c>
    </row>
    <row r="201" spans="1:10" x14ac:dyDescent="0.35">
      <c r="A201">
        <v>2000296</v>
      </c>
      <c r="B201" s="3">
        <v>44239</v>
      </c>
      <c r="C201" t="s">
        <v>140</v>
      </c>
      <c r="D201" t="s">
        <v>141</v>
      </c>
      <c r="E201">
        <v>114660</v>
      </c>
      <c r="F201">
        <v>195000</v>
      </c>
      <c r="G201">
        <v>0.58799999999999997</v>
      </c>
      <c r="H201">
        <v>1.7006802721088434</v>
      </c>
      <c r="I201" t="s">
        <v>13</v>
      </c>
      <c r="J201" t="s">
        <v>446</v>
      </c>
    </row>
    <row r="202" spans="1:10" x14ac:dyDescent="0.35">
      <c r="A202">
        <v>2000857</v>
      </c>
      <c r="B202" s="3">
        <v>44217</v>
      </c>
      <c r="C202" t="s">
        <v>181</v>
      </c>
      <c r="D202" t="s">
        <v>222</v>
      </c>
      <c r="E202">
        <v>109420</v>
      </c>
      <c r="F202">
        <v>195000</v>
      </c>
      <c r="G202">
        <v>0.56110000000000004</v>
      </c>
      <c r="H202">
        <v>1.7821239261560957</v>
      </c>
      <c r="I202" t="s">
        <v>13</v>
      </c>
      <c r="J202" t="s">
        <v>446</v>
      </c>
    </row>
    <row r="203" spans="1:10" x14ac:dyDescent="0.35">
      <c r="A203">
        <v>900039</v>
      </c>
      <c r="B203" s="3">
        <v>40136</v>
      </c>
      <c r="C203" t="s">
        <v>200</v>
      </c>
      <c r="D203" t="s">
        <v>319</v>
      </c>
      <c r="E203">
        <v>138950</v>
      </c>
      <c r="F203">
        <v>195000</v>
      </c>
      <c r="G203">
        <v>0.71256410299999995</v>
      </c>
      <c r="H203">
        <v>1.4033825116948542</v>
      </c>
      <c r="I203" t="s">
        <v>16</v>
      </c>
      <c r="J203" t="s">
        <v>446</v>
      </c>
    </row>
    <row r="204" spans="1:10" x14ac:dyDescent="0.35">
      <c r="A204">
        <v>2000022</v>
      </c>
      <c r="B204" s="3">
        <v>44117</v>
      </c>
      <c r="C204" t="s">
        <v>140</v>
      </c>
      <c r="D204" t="s">
        <v>145</v>
      </c>
      <c r="E204">
        <v>108070</v>
      </c>
      <c r="F204">
        <v>193500</v>
      </c>
      <c r="G204">
        <v>0.5585</v>
      </c>
      <c r="H204">
        <v>1.7905061534190803</v>
      </c>
      <c r="I204" t="s">
        <v>13</v>
      </c>
      <c r="J204" t="s">
        <v>446</v>
      </c>
    </row>
    <row r="205" spans="1:10" x14ac:dyDescent="0.35">
      <c r="A205">
        <v>200010</v>
      </c>
      <c r="B205" s="3">
        <v>44126</v>
      </c>
      <c r="C205" t="s">
        <v>200</v>
      </c>
      <c r="D205" t="s">
        <v>202</v>
      </c>
      <c r="E205">
        <v>128870</v>
      </c>
      <c r="F205">
        <v>193000</v>
      </c>
      <c r="G205">
        <v>0.66769999999999996</v>
      </c>
      <c r="H205">
        <v>1.4976332738418561</v>
      </c>
      <c r="I205" t="s">
        <v>13</v>
      </c>
      <c r="J205" t="s">
        <v>446</v>
      </c>
    </row>
    <row r="206" spans="1:10" x14ac:dyDescent="0.35">
      <c r="A206">
        <v>201176</v>
      </c>
      <c r="B206" s="3">
        <v>44264</v>
      </c>
      <c r="C206" t="s">
        <v>144</v>
      </c>
      <c r="D206" t="s">
        <v>165</v>
      </c>
      <c r="E206">
        <v>165550</v>
      </c>
      <c r="F206">
        <v>191000</v>
      </c>
      <c r="G206">
        <v>0.86670000000000003</v>
      </c>
      <c r="H206">
        <v>1.1537299909392933</v>
      </c>
      <c r="I206" t="s">
        <v>13</v>
      </c>
      <c r="J206" t="s">
        <v>446</v>
      </c>
    </row>
    <row r="207" spans="1:10" x14ac:dyDescent="0.35">
      <c r="A207">
        <v>200419</v>
      </c>
      <c r="B207" s="3">
        <v>44231</v>
      </c>
      <c r="C207" t="s">
        <v>159</v>
      </c>
      <c r="D207" t="s">
        <v>160</v>
      </c>
      <c r="E207">
        <v>74200</v>
      </c>
      <c r="F207">
        <v>190000</v>
      </c>
      <c r="G207">
        <v>0.39050000000000001</v>
      </c>
      <c r="H207">
        <v>2.5606469002695418</v>
      </c>
      <c r="I207" t="s">
        <v>13</v>
      </c>
      <c r="J207" t="s">
        <v>445</v>
      </c>
    </row>
    <row r="208" spans="1:10" x14ac:dyDescent="0.35">
      <c r="A208">
        <v>70149</v>
      </c>
      <c r="B208" s="3">
        <v>39504</v>
      </c>
      <c r="C208" t="s">
        <v>66</v>
      </c>
      <c r="D208" t="s">
        <v>296</v>
      </c>
      <c r="E208">
        <v>125300</v>
      </c>
      <c r="F208">
        <v>190000</v>
      </c>
      <c r="G208">
        <v>0.65947368399999995</v>
      </c>
      <c r="H208">
        <v>1.5163607342378291</v>
      </c>
      <c r="I208" t="s">
        <v>16</v>
      </c>
      <c r="J208" t="s">
        <v>446</v>
      </c>
    </row>
    <row r="209" spans="1:10" x14ac:dyDescent="0.35">
      <c r="A209">
        <v>200759</v>
      </c>
      <c r="B209" s="3">
        <v>44398</v>
      </c>
      <c r="C209" t="s">
        <v>206</v>
      </c>
      <c r="D209" t="s">
        <v>207</v>
      </c>
      <c r="E209">
        <v>144410</v>
      </c>
      <c r="F209">
        <v>185000</v>
      </c>
      <c r="G209">
        <v>0.78049999999999997</v>
      </c>
      <c r="H209">
        <v>1.2810747178173256</v>
      </c>
      <c r="I209" t="s">
        <v>13</v>
      </c>
      <c r="J209" t="s">
        <v>446</v>
      </c>
    </row>
    <row r="210" spans="1:10" x14ac:dyDescent="0.35">
      <c r="A210">
        <v>20486</v>
      </c>
      <c r="B210" s="3">
        <v>44362</v>
      </c>
      <c r="C210" t="s">
        <v>216</v>
      </c>
      <c r="D210" t="s">
        <v>217</v>
      </c>
      <c r="E210">
        <v>92080</v>
      </c>
      <c r="F210">
        <v>185000</v>
      </c>
      <c r="G210">
        <v>0.49769999999999998</v>
      </c>
      <c r="H210">
        <v>2.0091225021720245</v>
      </c>
      <c r="I210" t="s">
        <v>13</v>
      </c>
      <c r="J210" t="s">
        <v>445</v>
      </c>
    </row>
    <row r="211" spans="1:10" x14ac:dyDescent="0.35">
      <c r="A211">
        <v>2000473</v>
      </c>
      <c r="B211" s="3">
        <v>44334</v>
      </c>
      <c r="C211" t="s">
        <v>140</v>
      </c>
      <c r="D211" t="s">
        <v>143</v>
      </c>
      <c r="E211">
        <v>98900</v>
      </c>
      <c r="F211">
        <v>184500</v>
      </c>
      <c r="G211">
        <v>0.53600000000000003</v>
      </c>
      <c r="H211">
        <v>1.865520728008089</v>
      </c>
      <c r="I211" t="s">
        <v>13</v>
      </c>
      <c r="J211" t="s">
        <v>446</v>
      </c>
    </row>
    <row r="212" spans="1:10" x14ac:dyDescent="0.35">
      <c r="A212">
        <v>200527</v>
      </c>
      <c r="B212" s="3">
        <v>44256</v>
      </c>
      <c r="C212" t="s">
        <v>32</v>
      </c>
      <c r="D212" t="s">
        <v>35</v>
      </c>
      <c r="E212">
        <v>85680</v>
      </c>
      <c r="F212">
        <v>183000</v>
      </c>
      <c r="G212">
        <v>0.46810000000000002</v>
      </c>
      <c r="H212">
        <v>2.1358543417366946</v>
      </c>
      <c r="I212" t="s">
        <v>13</v>
      </c>
      <c r="J212" t="s">
        <v>445</v>
      </c>
    </row>
    <row r="213" spans="1:10" x14ac:dyDescent="0.35">
      <c r="A213">
        <v>161740</v>
      </c>
      <c r="B213" s="3">
        <v>42951</v>
      </c>
      <c r="C213" t="s">
        <v>181</v>
      </c>
      <c r="D213" t="s">
        <v>392</v>
      </c>
      <c r="E213">
        <v>102440</v>
      </c>
      <c r="F213">
        <v>180450</v>
      </c>
      <c r="G213">
        <v>0.56769188100000001</v>
      </c>
      <c r="H213">
        <v>1.761518937914877</v>
      </c>
      <c r="I213" t="s">
        <v>16</v>
      </c>
      <c r="J213" t="s">
        <v>446</v>
      </c>
    </row>
    <row r="214" spans="1:10" x14ac:dyDescent="0.35">
      <c r="A214">
        <v>20750</v>
      </c>
      <c r="B214" s="3">
        <v>44322</v>
      </c>
      <c r="C214" t="s">
        <v>98</v>
      </c>
      <c r="D214" t="s">
        <v>102</v>
      </c>
      <c r="E214">
        <v>126560</v>
      </c>
      <c r="F214">
        <v>180000</v>
      </c>
      <c r="G214">
        <v>0.70309999999999995</v>
      </c>
      <c r="H214">
        <v>1.4222503160556257</v>
      </c>
      <c r="I214" t="s">
        <v>10</v>
      </c>
      <c r="J214" t="s">
        <v>446</v>
      </c>
    </row>
    <row r="215" spans="1:10" x14ac:dyDescent="0.35">
      <c r="A215">
        <v>200362</v>
      </c>
      <c r="B215" s="3">
        <v>44340</v>
      </c>
      <c r="C215" t="s">
        <v>210</v>
      </c>
      <c r="D215" t="s">
        <v>211</v>
      </c>
      <c r="E215">
        <v>99660</v>
      </c>
      <c r="F215">
        <v>180000</v>
      </c>
      <c r="G215">
        <v>0.55359999999999998</v>
      </c>
      <c r="H215">
        <v>1.8061408789885611</v>
      </c>
      <c r="I215" t="s">
        <v>13</v>
      </c>
      <c r="J215" t="s">
        <v>446</v>
      </c>
    </row>
    <row r="216" spans="1:10" x14ac:dyDescent="0.35">
      <c r="A216">
        <v>200212</v>
      </c>
      <c r="B216" s="3">
        <v>44264</v>
      </c>
      <c r="C216" t="s">
        <v>14</v>
      </c>
      <c r="D216" t="s">
        <v>15</v>
      </c>
      <c r="E216">
        <v>130400</v>
      </c>
      <c r="F216">
        <v>179900</v>
      </c>
      <c r="G216">
        <v>0.7248</v>
      </c>
      <c r="H216">
        <v>1.3796012269938651</v>
      </c>
      <c r="I216" t="s">
        <v>13</v>
      </c>
      <c r="J216" t="s">
        <v>446</v>
      </c>
    </row>
    <row r="217" spans="1:10" x14ac:dyDescent="0.35">
      <c r="A217">
        <v>160539</v>
      </c>
      <c r="B217" s="3">
        <v>42741</v>
      </c>
      <c r="C217" t="s">
        <v>181</v>
      </c>
      <c r="D217" t="s">
        <v>397</v>
      </c>
      <c r="E217">
        <v>74670</v>
      </c>
      <c r="F217">
        <v>176500</v>
      </c>
      <c r="G217">
        <v>0.42305948999999998</v>
      </c>
      <c r="H217">
        <v>2.36373376188563</v>
      </c>
      <c r="I217" t="s">
        <v>16</v>
      </c>
      <c r="J217" t="s">
        <v>445</v>
      </c>
    </row>
    <row r="218" spans="1:10" x14ac:dyDescent="0.35">
      <c r="A218">
        <v>60610</v>
      </c>
      <c r="B218" s="3">
        <v>39252</v>
      </c>
      <c r="C218" t="s">
        <v>174</v>
      </c>
      <c r="D218" t="s">
        <v>290</v>
      </c>
      <c r="E218">
        <v>124250</v>
      </c>
      <c r="F218">
        <v>175000</v>
      </c>
      <c r="G218">
        <v>0.71</v>
      </c>
      <c r="H218">
        <v>1.408450704225352</v>
      </c>
      <c r="I218" t="s">
        <v>16</v>
      </c>
      <c r="J218" t="s">
        <v>446</v>
      </c>
    </row>
    <row r="219" spans="1:10" x14ac:dyDescent="0.35">
      <c r="A219">
        <v>100052</v>
      </c>
      <c r="B219" s="3">
        <v>40596</v>
      </c>
      <c r="C219" t="s">
        <v>8</v>
      </c>
      <c r="D219" t="s">
        <v>326</v>
      </c>
      <c r="E219">
        <v>137300</v>
      </c>
      <c r="F219">
        <v>175000</v>
      </c>
      <c r="G219">
        <v>0.78457142899999999</v>
      </c>
      <c r="H219">
        <v>1.2745812090313182</v>
      </c>
      <c r="I219" t="s">
        <v>16</v>
      </c>
      <c r="J219" t="s">
        <v>446</v>
      </c>
    </row>
    <row r="220" spans="1:10" x14ac:dyDescent="0.35">
      <c r="A220">
        <v>900251</v>
      </c>
      <c r="B220" s="3">
        <v>40301</v>
      </c>
      <c r="C220" t="s">
        <v>68</v>
      </c>
      <c r="D220" t="s">
        <v>330</v>
      </c>
      <c r="E220">
        <v>118860</v>
      </c>
      <c r="F220">
        <v>175000</v>
      </c>
      <c r="G220">
        <v>0.67920000000000003</v>
      </c>
      <c r="H220">
        <v>1.4723203769140165</v>
      </c>
      <c r="I220" t="s">
        <v>16</v>
      </c>
      <c r="J220" t="s">
        <v>446</v>
      </c>
    </row>
    <row r="221" spans="1:10" x14ac:dyDescent="0.35">
      <c r="A221">
        <v>70125</v>
      </c>
      <c r="B221" s="3">
        <v>39472</v>
      </c>
      <c r="C221" t="s">
        <v>277</v>
      </c>
      <c r="D221" t="s">
        <v>307</v>
      </c>
      <c r="E221">
        <v>87500</v>
      </c>
      <c r="F221">
        <v>173700</v>
      </c>
      <c r="G221">
        <v>0.50374208399999998</v>
      </c>
      <c r="H221">
        <v>1.9851428571428571</v>
      </c>
      <c r="I221" t="s">
        <v>16</v>
      </c>
      <c r="J221" t="s">
        <v>446</v>
      </c>
    </row>
    <row r="222" spans="1:10" x14ac:dyDescent="0.35">
      <c r="A222">
        <v>130311</v>
      </c>
      <c r="B222" s="3">
        <v>41795</v>
      </c>
      <c r="C222" t="s">
        <v>73</v>
      </c>
      <c r="D222" t="s">
        <v>358</v>
      </c>
      <c r="E222">
        <v>125840</v>
      </c>
      <c r="F222">
        <v>173000</v>
      </c>
      <c r="G222">
        <v>0.72739884399999999</v>
      </c>
      <c r="H222">
        <v>1.3747616020343294</v>
      </c>
      <c r="I222" t="s">
        <v>16</v>
      </c>
      <c r="J222" t="s">
        <v>446</v>
      </c>
    </row>
    <row r="223" spans="1:10" x14ac:dyDescent="0.35">
      <c r="A223">
        <v>20000179</v>
      </c>
      <c r="B223" s="3">
        <v>44249</v>
      </c>
      <c r="C223" t="s">
        <v>37</v>
      </c>
      <c r="D223" t="s">
        <v>39</v>
      </c>
      <c r="E223">
        <v>94770</v>
      </c>
      <c r="F223">
        <v>170000</v>
      </c>
      <c r="G223">
        <v>0.55740000000000001</v>
      </c>
      <c r="H223">
        <v>1.7938166086314233</v>
      </c>
      <c r="I223" t="s">
        <v>13</v>
      </c>
      <c r="J223" t="s">
        <v>446</v>
      </c>
    </row>
    <row r="224" spans="1:10" x14ac:dyDescent="0.35">
      <c r="A224">
        <v>200468</v>
      </c>
      <c r="B224" s="3">
        <v>44239</v>
      </c>
      <c r="C224" t="s">
        <v>125</v>
      </c>
      <c r="D224" t="s">
        <v>126</v>
      </c>
      <c r="E224">
        <v>100520</v>
      </c>
      <c r="F224">
        <v>170000</v>
      </c>
      <c r="G224">
        <v>0.59119999999999995</v>
      </c>
      <c r="H224">
        <v>1.6912057302029446</v>
      </c>
      <c r="I224" t="s">
        <v>13</v>
      </c>
      <c r="J224" t="s">
        <v>446</v>
      </c>
    </row>
    <row r="225" spans="1:10" x14ac:dyDescent="0.35">
      <c r="A225">
        <v>200192</v>
      </c>
      <c r="B225" s="3">
        <v>44155</v>
      </c>
      <c r="C225" t="s">
        <v>159</v>
      </c>
      <c r="D225" t="s">
        <v>164</v>
      </c>
      <c r="E225">
        <v>71150</v>
      </c>
      <c r="F225">
        <v>170000</v>
      </c>
      <c r="G225">
        <v>0.41849999999999998</v>
      </c>
      <c r="H225">
        <v>2.3893183415319745</v>
      </c>
      <c r="I225" t="s">
        <v>13</v>
      </c>
      <c r="J225" t="s">
        <v>445</v>
      </c>
    </row>
    <row r="226" spans="1:10" x14ac:dyDescent="0.35">
      <c r="A226">
        <v>160293</v>
      </c>
      <c r="B226" s="3">
        <v>42845</v>
      </c>
      <c r="C226" t="s">
        <v>216</v>
      </c>
      <c r="D226" t="s">
        <v>383</v>
      </c>
      <c r="E226">
        <v>102830</v>
      </c>
      <c r="F226">
        <v>170000</v>
      </c>
      <c r="G226">
        <v>0.60488235300000004</v>
      </c>
      <c r="H226">
        <v>1.6532140425945736</v>
      </c>
      <c r="I226" t="s">
        <v>16</v>
      </c>
      <c r="J226" t="s">
        <v>446</v>
      </c>
    </row>
    <row r="227" spans="1:10" x14ac:dyDescent="0.35">
      <c r="A227">
        <v>200113</v>
      </c>
      <c r="B227" s="3">
        <v>44210</v>
      </c>
      <c r="C227" t="s">
        <v>241</v>
      </c>
      <c r="D227" t="s">
        <v>242</v>
      </c>
      <c r="E227">
        <v>98280</v>
      </c>
      <c r="F227">
        <v>169900</v>
      </c>
      <c r="G227">
        <v>0.57840000000000003</v>
      </c>
      <c r="H227">
        <v>1.7287342287342287</v>
      </c>
      <c r="I227" t="s">
        <v>13</v>
      </c>
      <c r="J227" t="s">
        <v>446</v>
      </c>
    </row>
    <row r="228" spans="1:10" x14ac:dyDescent="0.35">
      <c r="A228">
        <v>70491</v>
      </c>
      <c r="B228" s="3">
        <v>39596</v>
      </c>
      <c r="C228" t="s">
        <v>84</v>
      </c>
      <c r="D228" t="s">
        <v>294</v>
      </c>
      <c r="E228">
        <v>101990</v>
      </c>
      <c r="F228">
        <v>169000</v>
      </c>
      <c r="G228">
        <v>0.60349112400000005</v>
      </c>
      <c r="H228">
        <v>1.6570251985488773</v>
      </c>
      <c r="I228" t="s">
        <v>16</v>
      </c>
      <c r="J228" t="s">
        <v>446</v>
      </c>
    </row>
    <row r="229" spans="1:10" x14ac:dyDescent="0.35">
      <c r="A229">
        <v>160427</v>
      </c>
      <c r="B229" s="3">
        <v>42976</v>
      </c>
      <c r="C229" t="s">
        <v>277</v>
      </c>
      <c r="D229" t="s">
        <v>394</v>
      </c>
      <c r="E229">
        <v>113800</v>
      </c>
      <c r="F229">
        <v>169000</v>
      </c>
      <c r="G229">
        <v>0.67337278099999998</v>
      </c>
      <c r="H229">
        <v>1.4850615114235501</v>
      </c>
      <c r="I229" t="s">
        <v>16</v>
      </c>
      <c r="J229" t="s">
        <v>446</v>
      </c>
    </row>
    <row r="230" spans="1:10" x14ac:dyDescent="0.35">
      <c r="A230">
        <v>170091</v>
      </c>
      <c r="B230" s="3">
        <v>43066</v>
      </c>
      <c r="C230" t="s">
        <v>29</v>
      </c>
      <c r="D230" t="s">
        <v>372</v>
      </c>
      <c r="E230">
        <v>112800</v>
      </c>
      <c r="F230">
        <v>167450</v>
      </c>
      <c r="G230">
        <v>0.67363392099999997</v>
      </c>
      <c r="H230">
        <v>1.4844858156028369</v>
      </c>
      <c r="I230" t="s">
        <v>16</v>
      </c>
      <c r="J230" t="s">
        <v>446</v>
      </c>
    </row>
    <row r="231" spans="1:10" x14ac:dyDescent="0.35">
      <c r="A231">
        <v>20522</v>
      </c>
      <c r="B231" s="3">
        <v>44266</v>
      </c>
      <c r="C231" t="s">
        <v>98</v>
      </c>
      <c r="D231" t="s">
        <v>100</v>
      </c>
      <c r="E231">
        <v>35875</v>
      </c>
      <c r="F231">
        <v>165000</v>
      </c>
      <c r="G231">
        <v>0.21740000000000001</v>
      </c>
      <c r="H231">
        <v>4.5993031358885021</v>
      </c>
      <c r="I231" t="s">
        <v>13</v>
      </c>
      <c r="J231" t="s">
        <v>445</v>
      </c>
    </row>
    <row r="232" spans="1:10" x14ac:dyDescent="0.35">
      <c r="A232">
        <v>20513</v>
      </c>
      <c r="B232" s="3">
        <v>44266</v>
      </c>
      <c r="C232" t="s">
        <v>146</v>
      </c>
      <c r="D232" t="s">
        <v>147</v>
      </c>
      <c r="E232">
        <v>97580</v>
      </c>
      <c r="F232">
        <v>163300</v>
      </c>
      <c r="G232">
        <v>0.59750000000000003</v>
      </c>
      <c r="H232">
        <v>1.673498667759787</v>
      </c>
      <c r="I232" t="s">
        <v>13</v>
      </c>
      <c r="J232" t="s">
        <v>446</v>
      </c>
    </row>
    <row r="233" spans="1:10" x14ac:dyDescent="0.35">
      <c r="A233">
        <v>100533</v>
      </c>
      <c r="B233" s="3">
        <v>40723</v>
      </c>
      <c r="C233" t="s">
        <v>56</v>
      </c>
      <c r="D233" t="s">
        <v>316</v>
      </c>
      <c r="E233">
        <v>146800</v>
      </c>
      <c r="F233">
        <v>162800</v>
      </c>
      <c r="G233">
        <v>0.90171990199999996</v>
      </c>
      <c r="H233">
        <v>1.1089918256130791</v>
      </c>
      <c r="I233" t="s">
        <v>16</v>
      </c>
      <c r="J233" t="s">
        <v>446</v>
      </c>
    </row>
    <row r="234" spans="1:10" x14ac:dyDescent="0.35">
      <c r="A234">
        <v>10113</v>
      </c>
      <c r="B234" s="3">
        <v>40534</v>
      </c>
      <c r="C234" t="s">
        <v>83</v>
      </c>
      <c r="D234" t="s">
        <v>310</v>
      </c>
      <c r="E234">
        <v>119400</v>
      </c>
      <c r="F234">
        <v>161000</v>
      </c>
      <c r="G234">
        <v>0.74161490699999999</v>
      </c>
      <c r="H234">
        <v>1.3484087102177555</v>
      </c>
      <c r="I234" t="s">
        <v>16</v>
      </c>
      <c r="J234" t="s">
        <v>446</v>
      </c>
    </row>
    <row r="235" spans="1:10" x14ac:dyDescent="0.35">
      <c r="A235">
        <v>90163</v>
      </c>
      <c r="B235" s="3">
        <v>40141</v>
      </c>
      <c r="C235" t="s">
        <v>192</v>
      </c>
      <c r="D235" t="s">
        <v>338</v>
      </c>
      <c r="E235">
        <v>105000</v>
      </c>
      <c r="F235">
        <v>161000</v>
      </c>
      <c r="G235">
        <v>0.65217391300000005</v>
      </c>
      <c r="H235">
        <v>1.5333333333333334</v>
      </c>
      <c r="I235" t="s">
        <v>16</v>
      </c>
      <c r="J235" t="s">
        <v>446</v>
      </c>
    </row>
    <row r="236" spans="1:10" x14ac:dyDescent="0.35">
      <c r="A236">
        <v>20000050</v>
      </c>
      <c r="B236" s="3">
        <v>44140</v>
      </c>
      <c r="C236" t="s">
        <v>37</v>
      </c>
      <c r="D236" t="s">
        <v>38</v>
      </c>
      <c r="E236">
        <v>105110</v>
      </c>
      <c r="F236">
        <v>160000</v>
      </c>
      <c r="G236">
        <v>0.65693749999999995</v>
      </c>
      <c r="H236">
        <v>1.5222148225668348</v>
      </c>
      <c r="I236" t="s">
        <v>13</v>
      </c>
      <c r="J236" t="s">
        <v>446</v>
      </c>
    </row>
    <row r="237" spans="1:10" x14ac:dyDescent="0.35">
      <c r="A237">
        <v>200991</v>
      </c>
      <c r="B237" s="3">
        <v>44385</v>
      </c>
      <c r="C237" t="s">
        <v>117</v>
      </c>
      <c r="D237" t="s">
        <v>120</v>
      </c>
      <c r="E237">
        <v>104300</v>
      </c>
      <c r="F237">
        <v>160000</v>
      </c>
      <c r="G237">
        <v>0.65180000000000005</v>
      </c>
      <c r="H237">
        <v>1.5340364333652925</v>
      </c>
      <c r="I237" t="s">
        <v>13</v>
      </c>
      <c r="J237" t="s">
        <v>446</v>
      </c>
    </row>
    <row r="238" spans="1:10" x14ac:dyDescent="0.35">
      <c r="A238">
        <v>80588</v>
      </c>
      <c r="B238" s="3">
        <v>40015</v>
      </c>
      <c r="C238" t="s">
        <v>56</v>
      </c>
      <c r="D238" t="s">
        <v>293</v>
      </c>
      <c r="E238">
        <v>125900</v>
      </c>
      <c r="F238">
        <v>160000</v>
      </c>
      <c r="G238">
        <v>0.78687499999999999</v>
      </c>
      <c r="H238">
        <v>1.2708498808578237</v>
      </c>
      <c r="I238" t="s">
        <v>16</v>
      </c>
      <c r="J238" t="s">
        <v>446</v>
      </c>
    </row>
    <row r="239" spans="1:10" x14ac:dyDescent="0.35">
      <c r="A239">
        <v>70130</v>
      </c>
      <c r="B239" s="3">
        <v>39689</v>
      </c>
      <c r="C239" t="s">
        <v>119</v>
      </c>
      <c r="D239" t="s">
        <v>430</v>
      </c>
      <c r="E239">
        <v>91700</v>
      </c>
      <c r="F239">
        <v>157000</v>
      </c>
      <c r="G239">
        <v>0.58407643300000001</v>
      </c>
      <c r="H239">
        <v>1.7121046892039258</v>
      </c>
      <c r="I239" t="s">
        <v>16</v>
      </c>
      <c r="J239" t="s">
        <v>446</v>
      </c>
    </row>
    <row r="240" spans="1:10" x14ac:dyDescent="0.35">
      <c r="A240">
        <v>180207</v>
      </c>
      <c r="B240" s="3">
        <v>43523</v>
      </c>
      <c r="C240" t="s">
        <v>29</v>
      </c>
      <c r="D240" t="s">
        <v>405</v>
      </c>
      <c r="E240">
        <v>100800</v>
      </c>
      <c r="F240">
        <v>156000</v>
      </c>
      <c r="G240">
        <v>0.64615384600000003</v>
      </c>
      <c r="H240">
        <v>1.5476190476190477</v>
      </c>
      <c r="I240" t="s">
        <v>16</v>
      </c>
      <c r="J240" t="s">
        <v>446</v>
      </c>
    </row>
    <row r="241" spans="1:10" x14ac:dyDescent="0.35">
      <c r="A241">
        <v>200032</v>
      </c>
      <c r="B241" s="3">
        <v>44112</v>
      </c>
      <c r="C241" t="s">
        <v>32</v>
      </c>
      <c r="D241" t="s">
        <v>33</v>
      </c>
      <c r="E241">
        <v>94920</v>
      </c>
      <c r="F241">
        <v>155000</v>
      </c>
      <c r="G241">
        <v>0.61229999999999996</v>
      </c>
      <c r="H241">
        <v>1.6329540665823852</v>
      </c>
      <c r="I241" t="s">
        <v>13</v>
      </c>
      <c r="J241" t="s">
        <v>446</v>
      </c>
    </row>
    <row r="242" spans="1:10" x14ac:dyDescent="0.35">
      <c r="A242">
        <v>161240</v>
      </c>
      <c r="B242" s="3">
        <v>42942</v>
      </c>
      <c r="C242" t="s">
        <v>122</v>
      </c>
      <c r="D242" t="s">
        <v>374</v>
      </c>
      <c r="E242">
        <v>95050</v>
      </c>
      <c r="F242">
        <v>155000</v>
      </c>
      <c r="G242">
        <v>0.61322580599999998</v>
      </c>
      <c r="H242">
        <v>1.6307206733298265</v>
      </c>
      <c r="I242" t="s">
        <v>16</v>
      </c>
      <c r="J242" t="s">
        <v>446</v>
      </c>
    </row>
    <row r="243" spans="1:10" x14ac:dyDescent="0.35">
      <c r="A243">
        <v>62389</v>
      </c>
      <c r="B243" s="3">
        <v>39318</v>
      </c>
      <c r="C243" t="s">
        <v>282</v>
      </c>
      <c r="D243" t="s">
        <v>289</v>
      </c>
      <c r="E243">
        <v>80521</v>
      </c>
      <c r="F243">
        <v>154500</v>
      </c>
      <c r="G243">
        <v>0.52117152099999997</v>
      </c>
      <c r="H243">
        <v>1.9187541138336583</v>
      </c>
      <c r="I243" t="s">
        <v>16</v>
      </c>
      <c r="J243" t="s">
        <v>446</v>
      </c>
    </row>
    <row r="244" spans="1:10" x14ac:dyDescent="0.35">
      <c r="A244">
        <v>12323</v>
      </c>
      <c r="B244" s="3">
        <v>41463</v>
      </c>
      <c r="C244" t="s">
        <v>174</v>
      </c>
      <c r="D244" t="s">
        <v>357</v>
      </c>
      <c r="E244">
        <v>126280</v>
      </c>
      <c r="F244">
        <v>153500</v>
      </c>
      <c r="G244">
        <v>0.82267100999999998</v>
      </c>
      <c r="H244">
        <v>1.2155527399429837</v>
      </c>
      <c r="I244" t="s">
        <v>16</v>
      </c>
      <c r="J244" t="s">
        <v>446</v>
      </c>
    </row>
    <row r="245" spans="1:10" x14ac:dyDescent="0.35">
      <c r="A245">
        <v>190443</v>
      </c>
      <c r="B245" s="3">
        <v>43950</v>
      </c>
      <c r="C245" t="s">
        <v>281</v>
      </c>
      <c r="D245" t="s">
        <v>401</v>
      </c>
      <c r="E245">
        <v>92280</v>
      </c>
      <c r="F245">
        <v>153000</v>
      </c>
      <c r="G245">
        <v>0.60309999999999997</v>
      </c>
      <c r="H245">
        <v>1.6579973992197659</v>
      </c>
      <c r="I245" t="s">
        <v>16</v>
      </c>
      <c r="J245" t="s">
        <v>446</v>
      </c>
    </row>
    <row r="246" spans="1:10" x14ac:dyDescent="0.35">
      <c r="A246">
        <v>90035</v>
      </c>
      <c r="B246" s="3">
        <v>40148</v>
      </c>
      <c r="C246" t="s">
        <v>321</v>
      </c>
      <c r="D246" t="s">
        <v>331</v>
      </c>
      <c r="E246">
        <v>110700</v>
      </c>
      <c r="F246">
        <v>151000</v>
      </c>
      <c r="G246">
        <v>0.73311258300000004</v>
      </c>
      <c r="H246">
        <v>1.3640469738030714</v>
      </c>
      <c r="I246" t="s">
        <v>16</v>
      </c>
      <c r="J246" t="s">
        <v>446</v>
      </c>
    </row>
    <row r="247" spans="1:10" x14ac:dyDescent="0.35">
      <c r="A247">
        <v>201018</v>
      </c>
      <c r="B247" s="3">
        <v>44350</v>
      </c>
      <c r="C247" t="s">
        <v>56</v>
      </c>
      <c r="D247" t="s">
        <v>416</v>
      </c>
      <c r="E247">
        <v>136900</v>
      </c>
      <c r="F247">
        <v>150000</v>
      </c>
      <c r="G247">
        <v>0.91259999999999997</v>
      </c>
      <c r="H247">
        <v>1.0956902848794741</v>
      </c>
      <c r="I247" t="s">
        <v>13</v>
      </c>
      <c r="J247" t="s">
        <v>446</v>
      </c>
    </row>
    <row r="248" spans="1:10" x14ac:dyDescent="0.35">
      <c r="A248">
        <v>200285</v>
      </c>
      <c r="B248" s="3">
        <v>44298</v>
      </c>
      <c r="C248" t="s">
        <v>96</v>
      </c>
      <c r="D248" t="s">
        <v>97</v>
      </c>
      <c r="E248">
        <v>77840</v>
      </c>
      <c r="F248">
        <v>150000</v>
      </c>
      <c r="G248">
        <v>0.51890000000000003</v>
      </c>
      <c r="H248">
        <v>1.9270298047276464</v>
      </c>
      <c r="I248" t="s">
        <v>13</v>
      </c>
      <c r="J248" t="s">
        <v>446</v>
      </c>
    </row>
    <row r="249" spans="1:10" x14ac:dyDescent="0.35">
      <c r="A249">
        <v>200230</v>
      </c>
      <c r="B249" s="3">
        <v>44312</v>
      </c>
      <c r="C249" t="s">
        <v>109</v>
      </c>
      <c r="D249" t="s">
        <v>110</v>
      </c>
      <c r="E249">
        <v>143220</v>
      </c>
      <c r="F249">
        <v>150000</v>
      </c>
      <c r="G249">
        <v>0.95479999999999998</v>
      </c>
      <c r="H249">
        <v>1.0473397570171763</v>
      </c>
      <c r="I249" t="s">
        <v>103</v>
      </c>
      <c r="J249" t="s">
        <v>446</v>
      </c>
    </row>
    <row r="250" spans="1:10" x14ac:dyDescent="0.35">
      <c r="A250">
        <v>201777</v>
      </c>
      <c r="B250" s="3">
        <v>44355</v>
      </c>
      <c r="C250" t="s">
        <v>264</v>
      </c>
      <c r="D250" t="s">
        <v>266</v>
      </c>
      <c r="E250">
        <v>36770</v>
      </c>
      <c r="F250">
        <v>150000</v>
      </c>
      <c r="G250">
        <v>0.24510000000000001</v>
      </c>
      <c r="H250">
        <v>4.0794125645906991</v>
      </c>
      <c r="I250" t="s">
        <v>13</v>
      </c>
      <c r="J250" t="s">
        <v>445</v>
      </c>
    </row>
    <row r="251" spans="1:10" x14ac:dyDescent="0.35">
      <c r="A251">
        <v>90347</v>
      </c>
      <c r="B251" s="3">
        <v>40177</v>
      </c>
      <c r="C251" t="s">
        <v>264</v>
      </c>
      <c r="D251" t="s">
        <v>348</v>
      </c>
      <c r="E251">
        <v>87700</v>
      </c>
      <c r="F251">
        <v>149850</v>
      </c>
      <c r="G251">
        <v>0.58525191899999995</v>
      </c>
      <c r="H251">
        <v>1.7086659064994298</v>
      </c>
      <c r="I251" t="s">
        <v>16</v>
      </c>
      <c r="J251" t="s">
        <v>446</v>
      </c>
    </row>
    <row r="252" spans="1:10" x14ac:dyDescent="0.35">
      <c r="A252">
        <v>90832</v>
      </c>
      <c r="B252" s="3">
        <v>40359</v>
      </c>
      <c r="C252" t="s">
        <v>159</v>
      </c>
      <c r="D252" t="s">
        <v>332</v>
      </c>
      <c r="E252">
        <v>99960</v>
      </c>
      <c r="F252">
        <v>146000</v>
      </c>
      <c r="G252">
        <v>0.68465753399999996</v>
      </c>
      <c r="H252">
        <v>1.4605842336934773</v>
      </c>
      <c r="I252" t="s">
        <v>16</v>
      </c>
      <c r="J252" t="s">
        <v>446</v>
      </c>
    </row>
    <row r="253" spans="1:10" x14ac:dyDescent="0.35">
      <c r="A253">
        <v>150007</v>
      </c>
      <c r="B253" s="3">
        <v>42305</v>
      </c>
      <c r="C253" t="s">
        <v>285</v>
      </c>
      <c r="D253" t="s">
        <v>362</v>
      </c>
      <c r="E253">
        <v>100900</v>
      </c>
      <c r="F253">
        <v>144900</v>
      </c>
      <c r="G253">
        <v>0.69634230500000005</v>
      </c>
      <c r="H253">
        <v>1.4360753221010902</v>
      </c>
      <c r="I253" t="s">
        <v>16</v>
      </c>
      <c r="J253" t="s">
        <v>446</v>
      </c>
    </row>
    <row r="254" spans="1:10" x14ac:dyDescent="0.35">
      <c r="A254">
        <v>100020</v>
      </c>
      <c r="B254" s="3">
        <v>40473</v>
      </c>
      <c r="C254" t="s">
        <v>29</v>
      </c>
      <c r="D254" t="s">
        <v>342</v>
      </c>
      <c r="E254">
        <v>123700</v>
      </c>
      <c r="F254">
        <v>143800</v>
      </c>
      <c r="G254">
        <v>0.86022253100000001</v>
      </c>
      <c r="H254">
        <v>1.1624898949070332</v>
      </c>
      <c r="I254" t="s">
        <v>16</v>
      </c>
      <c r="J254" t="s">
        <v>446</v>
      </c>
    </row>
    <row r="255" spans="1:10" x14ac:dyDescent="0.35">
      <c r="A255">
        <v>60190</v>
      </c>
      <c r="B255" s="3">
        <v>39062</v>
      </c>
      <c r="C255" t="s">
        <v>283</v>
      </c>
      <c r="D255" t="s">
        <v>288</v>
      </c>
      <c r="E255">
        <v>78260</v>
      </c>
      <c r="F255">
        <v>143000</v>
      </c>
      <c r="G255">
        <v>0.54727272699999996</v>
      </c>
      <c r="H255">
        <v>1.8272425249169435</v>
      </c>
      <c r="I255" t="s">
        <v>16</v>
      </c>
      <c r="J255" t="s">
        <v>446</v>
      </c>
    </row>
    <row r="256" spans="1:10" x14ac:dyDescent="0.35">
      <c r="A256">
        <v>9347</v>
      </c>
      <c r="B256" s="3">
        <v>40232</v>
      </c>
      <c r="C256" t="s">
        <v>125</v>
      </c>
      <c r="D256" t="s">
        <v>344</v>
      </c>
      <c r="E256">
        <v>93050</v>
      </c>
      <c r="F256">
        <v>143000</v>
      </c>
      <c r="G256">
        <v>0.65069930099999995</v>
      </c>
      <c r="H256">
        <v>1.5368081676518002</v>
      </c>
      <c r="I256" t="s">
        <v>16</v>
      </c>
      <c r="J256" t="s">
        <v>446</v>
      </c>
    </row>
    <row r="257" spans="1:10" x14ac:dyDescent="0.35">
      <c r="A257">
        <v>17141</v>
      </c>
      <c r="B257" s="3">
        <v>43069</v>
      </c>
      <c r="C257" t="s">
        <v>174</v>
      </c>
      <c r="D257" t="s">
        <v>407</v>
      </c>
      <c r="E257">
        <v>119630</v>
      </c>
      <c r="F257">
        <v>142650</v>
      </c>
      <c r="G257">
        <v>0.83860000000000001</v>
      </c>
      <c r="H257">
        <v>1.1924266488339046</v>
      </c>
      <c r="I257" t="s">
        <v>16</v>
      </c>
      <c r="J257" t="s">
        <v>446</v>
      </c>
    </row>
    <row r="258" spans="1:10" x14ac:dyDescent="0.35">
      <c r="A258">
        <v>200375</v>
      </c>
      <c r="B258" s="3">
        <v>44292</v>
      </c>
      <c r="C258" t="s">
        <v>66</v>
      </c>
      <c r="D258" t="s">
        <v>417</v>
      </c>
      <c r="E258">
        <v>76960</v>
      </c>
      <c r="F258">
        <v>140000</v>
      </c>
      <c r="G258">
        <v>0.54969999999999997</v>
      </c>
      <c r="H258">
        <v>1.8191268191268191</v>
      </c>
      <c r="I258" t="s">
        <v>13</v>
      </c>
      <c r="J258" t="s">
        <v>446</v>
      </c>
    </row>
    <row r="259" spans="1:10" x14ac:dyDescent="0.35">
      <c r="A259">
        <v>14332</v>
      </c>
      <c r="B259" s="3">
        <v>42179</v>
      </c>
      <c r="C259" t="s">
        <v>182</v>
      </c>
      <c r="D259" t="s">
        <v>360</v>
      </c>
      <c r="E259">
        <v>107520</v>
      </c>
      <c r="F259">
        <v>140000</v>
      </c>
      <c r="G259">
        <v>0.76800000000000002</v>
      </c>
      <c r="H259">
        <v>1.3020833333333333</v>
      </c>
      <c r="I259" t="s">
        <v>16</v>
      </c>
      <c r="J259" t="s">
        <v>446</v>
      </c>
    </row>
    <row r="260" spans="1:10" x14ac:dyDescent="0.35">
      <c r="A260">
        <v>202250</v>
      </c>
      <c r="B260" s="3">
        <v>44417</v>
      </c>
      <c r="C260" t="s">
        <v>264</v>
      </c>
      <c r="D260" t="s">
        <v>267</v>
      </c>
      <c r="E260">
        <v>63100</v>
      </c>
      <c r="F260">
        <v>139900</v>
      </c>
      <c r="G260">
        <v>0.45100000000000001</v>
      </c>
      <c r="H260">
        <v>2.2171156893819335</v>
      </c>
      <c r="I260" t="s">
        <v>13</v>
      </c>
      <c r="J260" t="s">
        <v>445</v>
      </c>
    </row>
    <row r="261" spans="1:10" x14ac:dyDescent="0.35">
      <c r="A261">
        <v>150498</v>
      </c>
      <c r="B261" s="3">
        <v>42492</v>
      </c>
      <c r="C261" t="s">
        <v>125</v>
      </c>
      <c r="D261" t="s">
        <v>363</v>
      </c>
      <c r="E261">
        <v>94570</v>
      </c>
      <c r="F261">
        <v>135000</v>
      </c>
      <c r="G261">
        <v>0.70051851899999995</v>
      </c>
      <c r="H261">
        <v>1.4275140107856614</v>
      </c>
      <c r="I261" t="s">
        <v>16</v>
      </c>
      <c r="J261" t="s">
        <v>446</v>
      </c>
    </row>
    <row r="262" spans="1:10" x14ac:dyDescent="0.35">
      <c r="A262">
        <v>13105</v>
      </c>
      <c r="B262" s="3">
        <v>41709</v>
      </c>
      <c r="C262" t="s">
        <v>27</v>
      </c>
      <c r="D262" t="s">
        <v>353</v>
      </c>
      <c r="E262">
        <v>124460</v>
      </c>
      <c r="F262">
        <v>133000</v>
      </c>
      <c r="G262">
        <v>0.93578947400000001</v>
      </c>
      <c r="H262">
        <v>1.0686164229471316</v>
      </c>
      <c r="I262" t="s">
        <v>16</v>
      </c>
      <c r="J262" t="s">
        <v>446</v>
      </c>
    </row>
    <row r="263" spans="1:10" x14ac:dyDescent="0.35">
      <c r="A263">
        <v>2020180</v>
      </c>
      <c r="B263" s="3">
        <v>44256</v>
      </c>
      <c r="C263" t="s">
        <v>19</v>
      </c>
      <c r="D263" t="s">
        <v>20</v>
      </c>
      <c r="E263">
        <v>234200</v>
      </c>
      <c r="F263">
        <v>130000</v>
      </c>
      <c r="G263">
        <v>18015</v>
      </c>
      <c r="H263">
        <v>0.5550811272416738</v>
      </c>
      <c r="I263" t="s">
        <v>13</v>
      </c>
      <c r="J263" t="s">
        <v>446</v>
      </c>
    </row>
    <row r="264" spans="1:10" x14ac:dyDescent="0.35">
      <c r="A264">
        <v>200436</v>
      </c>
      <c r="B264" s="3">
        <v>44320</v>
      </c>
      <c r="C264" t="s">
        <v>92</v>
      </c>
      <c r="D264" t="s">
        <v>93</v>
      </c>
      <c r="E264">
        <v>71960</v>
      </c>
      <c r="F264">
        <v>130000</v>
      </c>
      <c r="G264">
        <v>0.55349999999999999</v>
      </c>
      <c r="H264">
        <v>1.8065591995553085</v>
      </c>
      <c r="I264" t="s">
        <v>13</v>
      </c>
      <c r="J264" t="s">
        <v>446</v>
      </c>
    </row>
    <row r="265" spans="1:10" x14ac:dyDescent="0.35">
      <c r="A265">
        <v>200377</v>
      </c>
      <c r="B265" s="3">
        <v>44344</v>
      </c>
      <c r="C265" t="s">
        <v>210</v>
      </c>
      <c r="D265" t="s">
        <v>212</v>
      </c>
      <c r="E265">
        <v>80010</v>
      </c>
      <c r="F265">
        <v>130000</v>
      </c>
      <c r="G265">
        <v>0.61539999999999995</v>
      </c>
      <c r="H265">
        <v>1.6247969003874516</v>
      </c>
      <c r="I265" t="s">
        <v>13</v>
      </c>
      <c r="J265" t="s">
        <v>446</v>
      </c>
    </row>
    <row r="266" spans="1:10" x14ac:dyDescent="0.35">
      <c r="A266">
        <v>90097</v>
      </c>
      <c r="B266" s="3">
        <v>40332</v>
      </c>
      <c r="C266" t="s">
        <v>321</v>
      </c>
      <c r="D266" t="s">
        <v>322</v>
      </c>
      <c r="E266">
        <v>126200</v>
      </c>
      <c r="F266">
        <v>130000</v>
      </c>
      <c r="G266">
        <v>0.97076923100000001</v>
      </c>
      <c r="H266">
        <v>1.0301109350237718</v>
      </c>
      <c r="I266" t="s">
        <v>16</v>
      </c>
      <c r="J266" t="s">
        <v>446</v>
      </c>
    </row>
    <row r="267" spans="1:10" x14ac:dyDescent="0.35">
      <c r="A267">
        <v>140129</v>
      </c>
      <c r="B267" s="3">
        <v>42198</v>
      </c>
      <c r="C267" t="s">
        <v>306</v>
      </c>
      <c r="D267" t="s">
        <v>361</v>
      </c>
      <c r="E267">
        <v>88000</v>
      </c>
      <c r="F267">
        <v>128866</v>
      </c>
      <c r="G267">
        <v>0.68287989100000002</v>
      </c>
      <c r="H267">
        <v>1.4643863636363637</v>
      </c>
      <c r="I267" t="s">
        <v>16</v>
      </c>
      <c r="J267" t="s">
        <v>446</v>
      </c>
    </row>
    <row r="268" spans="1:10" x14ac:dyDescent="0.35">
      <c r="A268">
        <v>20273</v>
      </c>
      <c r="B268" s="3">
        <v>44207</v>
      </c>
      <c r="C268" t="s">
        <v>142</v>
      </c>
      <c r="D268" t="s">
        <v>199</v>
      </c>
      <c r="E268">
        <v>89810</v>
      </c>
      <c r="F268">
        <v>128300</v>
      </c>
      <c r="G268">
        <v>0.7</v>
      </c>
      <c r="H268">
        <v>1.4285714285714286</v>
      </c>
      <c r="I268" t="s">
        <v>13</v>
      </c>
      <c r="J268" t="s">
        <v>446</v>
      </c>
    </row>
    <row r="269" spans="1:10" x14ac:dyDescent="0.35">
      <c r="A269">
        <v>900152</v>
      </c>
      <c r="B269" s="3">
        <v>40301</v>
      </c>
      <c r="C269" t="s">
        <v>200</v>
      </c>
      <c r="D269" t="s">
        <v>314</v>
      </c>
      <c r="E269">
        <v>88620</v>
      </c>
      <c r="F269">
        <v>127000</v>
      </c>
      <c r="G269">
        <v>0.69779527600000002</v>
      </c>
      <c r="H269">
        <v>1.4330850823741819</v>
      </c>
      <c r="I269" t="s">
        <v>16</v>
      </c>
      <c r="J269" t="s">
        <v>446</v>
      </c>
    </row>
    <row r="270" spans="1:10" x14ac:dyDescent="0.35">
      <c r="A270">
        <v>160624</v>
      </c>
      <c r="B270" s="3">
        <v>42964</v>
      </c>
      <c r="C270" t="s">
        <v>133</v>
      </c>
      <c r="D270" t="s">
        <v>367</v>
      </c>
      <c r="E270">
        <v>96100</v>
      </c>
      <c r="F270">
        <v>125500</v>
      </c>
      <c r="G270">
        <v>0.76573705199999997</v>
      </c>
      <c r="H270">
        <v>1.3059313215400625</v>
      </c>
      <c r="I270" t="s">
        <v>16</v>
      </c>
      <c r="J270" t="s">
        <v>446</v>
      </c>
    </row>
    <row r="271" spans="1:10" x14ac:dyDescent="0.35">
      <c r="A271">
        <v>130523</v>
      </c>
      <c r="B271" s="3">
        <v>41908</v>
      </c>
      <c r="C271" t="s">
        <v>73</v>
      </c>
      <c r="D271" t="s">
        <v>354</v>
      </c>
      <c r="E271">
        <v>97940</v>
      </c>
      <c r="F271">
        <v>125000</v>
      </c>
      <c r="G271">
        <v>0.78351999999999999</v>
      </c>
      <c r="H271">
        <v>1.2762916071063917</v>
      </c>
      <c r="I271" t="s">
        <v>16</v>
      </c>
      <c r="J271" t="s">
        <v>446</v>
      </c>
    </row>
    <row r="272" spans="1:10" x14ac:dyDescent="0.35">
      <c r="A272">
        <v>160521</v>
      </c>
      <c r="B272" s="3">
        <v>42916</v>
      </c>
      <c r="C272" t="s">
        <v>139</v>
      </c>
      <c r="D272" t="s">
        <v>369</v>
      </c>
      <c r="E272">
        <v>88000</v>
      </c>
      <c r="F272">
        <v>125000</v>
      </c>
      <c r="G272">
        <v>0.70399999999999996</v>
      </c>
      <c r="H272">
        <v>1.4204545454545454</v>
      </c>
      <c r="I272" t="s">
        <v>16</v>
      </c>
      <c r="J272" t="s">
        <v>446</v>
      </c>
    </row>
    <row r="273" spans="1:10" x14ac:dyDescent="0.35">
      <c r="A273">
        <v>160010</v>
      </c>
      <c r="B273" s="3">
        <v>42656</v>
      </c>
      <c r="C273" t="s">
        <v>200</v>
      </c>
      <c r="D273" t="s">
        <v>370</v>
      </c>
      <c r="E273">
        <v>76930</v>
      </c>
      <c r="F273">
        <v>124500</v>
      </c>
      <c r="G273">
        <v>0.61791164700000001</v>
      </c>
      <c r="H273">
        <v>1.6183543481086702</v>
      </c>
      <c r="I273" t="s">
        <v>16</v>
      </c>
      <c r="J273" t="s">
        <v>446</v>
      </c>
    </row>
    <row r="274" spans="1:10" x14ac:dyDescent="0.35">
      <c r="A274">
        <v>70133</v>
      </c>
      <c r="B274" s="3">
        <v>39527</v>
      </c>
      <c r="C274" t="s">
        <v>261</v>
      </c>
      <c r="D274" t="s">
        <v>297</v>
      </c>
      <c r="E274">
        <v>92820</v>
      </c>
      <c r="F274">
        <v>124000</v>
      </c>
      <c r="G274">
        <v>0.74854838700000004</v>
      </c>
      <c r="H274">
        <v>1.3359189829778064</v>
      </c>
      <c r="I274" t="s">
        <v>16</v>
      </c>
      <c r="J274" t="s">
        <v>446</v>
      </c>
    </row>
    <row r="275" spans="1:10" x14ac:dyDescent="0.35">
      <c r="A275">
        <v>200174</v>
      </c>
      <c r="B275" s="3">
        <v>44155</v>
      </c>
      <c r="C275" t="s">
        <v>139</v>
      </c>
      <c r="D275" t="s">
        <v>251</v>
      </c>
      <c r="E275">
        <v>58020</v>
      </c>
      <c r="F275">
        <v>122500</v>
      </c>
      <c r="G275">
        <v>0.47360000000000002</v>
      </c>
      <c r="H275">
        <v>2.1113409169251982</v>
      </c>
      <c r="I275" t="s">
        <v>13</v>
      </c>
      <c r="J275" t="s">
        <v>445</v>
      </c>
    </row>
    <row r="276" spans="1:10" x14ac:dyDescent="0.35">
      <c r="A276">
        <v>160065</v>
      </c>
      <c r="B276" s="3">
        <v>42709</v>
      </c>
      <c r="C276" t="s">
        <v>200</v>
      </c>
      <c r="D276" t="s">
        <v>387</v>
      </c>
      <c r="E276">
        <v>89950</v>
      </c>
      <c r="F276">
        <v>122500</v>
      </c>
      <c r="G276">
        <v>0.73428571399999998</v>
      </c>
      <c r="H276">
        <v>1.3618677042801557</v>
      </c>
      <c r="I276" t="s">
        <v>16</v>
      </c>
      <c r="J276" t="s">
        <v>446</v>
      </c>
    </row>
    <row r="277" spans="1:10" x14ac:dyDescent="0.35">
      <c r="A277">
        <v>201592</v>
      </c>
      <c r="B277" s="3">
        <v>44328</v>
      </c>
      <c r="C277" t="s">
        <v>264</v>
      </c>
      <c r="D277" t="s">
        <v>265</v>
      </c>
      <c r="E277">
        <v>73860</v>
      </c>
      <c r="F277">
        <v>122000</v>
      </c>
      <c r="G277">
        <v>0.60540000000000005</v>
      </c>
      <c r="H277">
        <v>1.6517736257784998</v>
      </c>
      <c r="I277" t="s">
        <v>13</v>
      </c>
      <c r="J277" t="s">
        <v>446</v>
      </c>
    </row>
    <row r="278" spans="1:10" x14ac:dyDescent="0.35">
      <c r="A278">
        <v>100226</v>
      </c>
      <c r="B278" s="3">
        <v>40599</v>
      </c>
      <c r="C278" t="s">
        <v>32</v>
      </c>
      <c r="D278" t="s">
        <v>340</v>
      </c>
      <c r="E278">
        <v>93450</v>
      </c>
      <c r="F278">
        <v>120000</v>
      </c>
      <c r="G278">
        <v>0.77875000000000005</v>
      </c>
      <c r="H278">
        <v>1.2841091492776886</v>
      </c>
      <c r="I278" t="s">
        <v>16</v>
      </c>
      <c r="J278" t="s">
        <v>446</v>
      </c>
    </row>
    <row r="279" spans="1:10" x14ac:dyDescent="0.35">
      <c r="A279">
        <v>100254</v>
      </c>
      <c r="B279" s="3">
        <v>40731</v>
      </c>
      <c r="C279" t="s">
        <v>68</v>
      </c>
      <c r="D279" t="s">
        <v>312</v>
      </c>
      <c r="E279">
        <v>91000</v>
      </c>
      <c r="F279">
        <v>115000</v>
      </c>
      <c r="G279">
        <v>0.79130434800000005</v>
      </c>
      <c r="H279">
        <v>1.2637362637362637</v>
      </c>
      <c r="I279" t="s">
        <v>16</v>
      </c>
      <c r="J279" t="s">
        <v>446</v>
      </c>
    </row>
    <row r="280" spans="1:10" x14ac:dyDescent="0.35">
      <c r="A280">
        <v>90010</v>
      </c>
      <c r="B280" s="3">
        <v>40105</v>
      </c>
      <c r="C280" t="s">
        <v>193</v>
      </c>
      <c r="D280" t="s">
        <v>317</v>
      </c>
      <c r="E280">
        <v>94260</v>
      </c>
      <c r="F280">
        <v>115000</v>
      </c>
      <c r="G280">
        <v>0.81965217400000001</v>
      </c>
      <c r="H280">
        <v>1.22002970507108</v>
      </c>
      <c r="I280" t="s">
        <v>16</v>
      </c>
      <c r="J280" t="s">
        <v>446</v>
      </c>
    </row>
    <row r="281" spans="1:10" x14ac:dyDescent="0.35">
      <c r="A281">
        <v>800234</v>
      </c>
      <c r="B281" s="3">
        <v>39967</v>
      </c>
      <c r="C281" t="s">
        <v>68</v>
      </c>
      <c r="D281" t="s">
        <v>304</v>
      </c>
      <c r="E281">
        <v>82250</v>
      </c>
      <c r="F281">
        <v>112500</v>
      </c>
      <c r="G281">
        <v>0.73111111100000004</v>
      </c>
      <c r="H281">
        <v>1.3677811550151975</v>
      </c>
      <c r="I281" t="s">
        <v>16</v>
      </c>
      <c r="J281" t="s">
        <v>446</v>
      </c>
    </row>
    <row r="282" spans="1:10" x14ac:dyDescent="0.35">
      <c r="A282">
        <v>160444</v>
      </c>
      <c r="B282" s="3">
        <v>42926</v>
      </c>
      <c r="C282" t="s">
        <v>216</v>
      </c>
      <c r="D282" t="s">
        <v>386</v>
      </c>
      <c r="E282">
        <v>58510</v>
      </c>
      <c r="F282">
        <v>110000</v>
      </c>
      <c r="G282">
        <v>0.53190909099999995</v>
      </c>
      <c r="H282">
        <v>1.8800205093146471</v>
      </c>
      <c r="I282" t="s">
        <v>16</v>
      </c>
      <c r="J282" t="s">
        <v>446</v>
      </c>
    </row>
    <row r="283" spans="1:10" x14ac:dyDescent="0.35">
      <c r="A283">
        <v>180650</v>
      </c>
      <c r="B283" s="3">
        <v>43489</v>
      </c>
      <c r="C283" t="s">
        <v>282</v>
      </c>
      <c r="D283" t="s">
        <v>408</v>
      </c>
      <c r="E283">
        <v>64720</v>
      </c>
      <c r="F283">
        <v>108000</v>
      </c>
      <c r="G283">
        <v>0.59919999999999995</v>
      </c>
      <c r="H283">
        <v>1.6687268232385661</v>
      </c>
      <c r="I283" t="s">
        <v>16</v>
      </c>
      <c r="J283" t="s">
        <v>446</v>
      </c>
    </row>
    <row r="284" spans="1:10" x14ac:dyDescent="0.35">
      <c r="A284">
        <v>908206</v>
      </c>
      <c r="B284" s="3">
        <v>40431</v>
      </c>
      <c r="C284" t="s">
        <v>174</v>
      </c>
      <c r="D284" t="s">
        <v>350</v>
      </c>
      <c r="E284">
        <v>69020</v>
      </c>
      <c r="F284">
        <v>107500</v>
      </c>
      <c r="G284">
        <v>0.64204651199999996</v>
      </c>
      <c r="H284">
        <v>1.5575195595479572</v>
      </c>
      <c r="I284" t="s">
        <v>16</v>
      </c>
      <c r="J284" t="s">
        <v>446</v>
      </c>
    </row>
    <row r="285" spans="1:10" x14ac:dyDescent="0.35">
      <c r="A285">
        <v>171321</v>
      </c>
      <c r="B285" s="3">
        <v>43234</v>
      </c>
      <c r="C285" t="s">
        <v>282</v>
      </c>
      <c r="D285" t="s">
        <v>385</v>
      </c>
      <c r="E285">
        <v>59750</v>
      </c>
      <c r="F285">
        <v>107000</v>
      </c>
      <c r="G285">
        <v>0.55840000000000001</v>
      </c>
      <c r="H285">
        <v>1.7907949790794979</v>
      </c>
      <c r="I285" t="s">
        <v>16</v>
      </c>
      <c r="J285" t="s">
        <v>446</v>
      </c>
    </row>
    <row r="286" spans="1:10" x14ac:dyDescent="0.35">
      <c r="A286">
        <v>200953</v>
      </c>
      <c r="B286" s="3">
        <v>44344</v>
      </c>
      <c r="C286" t="s">
        <v>159</v>
      </c>
      <c r="D286" t="s">
        <v>161</v>
      </c>
      <c r="E286">
        <v>64470</v>
      </c>
      <c r="F286">
        <v>105000</v>
      </c>
      <c r="G286">
        <v>0.61399999999999999</v>
      </c>
      <c r="H286">
        <v>1.6286644951140066</v>
      </c>
      <c r="I286" t="s">
        <v>13</v>
      </c>
      <c r="J286" t="s">
        <v>446</v>
      </c>
    </row>
    <row r="287" spans="1:10" x14ac:dyDescent="0.35">
      <c r="A287">
        <v>200007</v>
      </c>
      <c r="B287" s="3">
        <v>44106</v>
      </c>
      <c r="C287" t="s">
        <v>219</v>
      </c>
      <c r="D287" t="s">
        <v>220</v>
      </c>
      <c r="E287">
        <v>68300</v>
      </c>
      <c r="F287">
        <v>105000</v>
      </c>
      <c r="G287">
        <v>0.65039999999999998</v>
      </c>
      <c r="H287">
        <v>1.5373352855051245</v>
      </c>
      <c r="I287" t="s">
        <v>13</v>
      </c>
      <c r="J287" t="s">
        <v>446</v>
      </c>
    </row>
    <row r="288" spans="1:10" x14ac:dyDescent="0.35">
      <c r="A288">
        <v>10090</v>
      </c>
      <c r="B288" s="3">
        <v>40499</v>
      </c>
      <c r="C288" t="s">
        <v>108</v>
      </c>
      <c r="D288" t="s">
        <v>324</v>
      </c>
      <c r="E288">
        <v>127480</v>
      </c>
      <c r="F288">
        <v>105000</v>
      </c>
      <c r="G288">
        <v>1214095238</v>
      </c>
      <c r="H288">
        <v>0.82365861311578292</v>
      </c>
      <c r="I288" t="s">
        <v>16</v>
      </c>
      <c r="J288" t="s">
        <v>446</v>
      </c>
    </row>
    <row r="289" spans="1:10" x14ac:dyDescent="0.35">
      <c r="A289">
        <v>120151</v>
      </c>
      <c r="B289" s="3">
        <v>41530</v>
      </c>
      <c r="C289" t="s">
        <v>193</v>
      </c>
      <c r="D289" t="s">
        <v>352</v>
      </c>
      <c r="E289">
        <v>76270</v>
      </c>
      <c r="F289">
        <v>105000</v>
      </c>
      <c r="G289">
        <v>0.72638095199999997</v>
      </c>
      <c r="H289">
        <v>1.3766880818146061</v>
      </c>
      <c r="I289" t="s">
        <v>16</v>
      </c>
      <c r="J289" t="s">
        <v>446</v>
      </c>
    </row>
    <row r="290" spans="1:10" x14ac:dyDescent="0.35">
      <c r="A290">
        <v>160052</v>
      </c>
      <c r="B290" s="3">
        <v>42767</v>
      </c>
      <c r="C290" t="s">
        <v>205</v>
      </c>
      <c r="D290" t="s">
        <v>371</v>
      </c>
      <c r="E290">
        <v>79310</v>
      </c>
      <c r="F290">
        <v>100000</v>
      </c>
      <c r="G290">
        <v>0.79310000000000003</v>
      </c>
      <c r="H290">
        <v>1.2608750472828143</v>
      </c>
      <c r="I290" t="s">
        <v>16</v>
      </c>
      <c r="J290" t="s">
        <v>446</v>
      </c>
    </row>
    <row r="291" spans="1:10" x14ac:dyDescent="0.35">
      <c r="A291">
        <v>160606</v>
      </c>
      <c r="B291" s="3">
        <v>42934</v>
      </c>
      <c r="C291" t="s">
        <v>280</v>
      </c>
      <c r="D291" t="s">
        <v>388</v>
      </c>
      <c r="E291">
        <v>68800</v>
      </c>
      <c r="F291">
        <v>95000</v>
      </c>
      <c r="G291">
        <v>0.72421052600000002</v>
      </c>
      <c r="H291">
        <v>1.3808139534883721</v>
      </c>
      <c r="I291" t="s">
        <v>16</v>
      </c>
      <c r="J291" t="s">
        <v>446</v>
      </c>
    </row>
    <row r="292" spans="1:10" x14ac:dyDescent="0.35">
      <c r="A292">
        <v>201212</v>
      </c>
      <c r="B292" s="3">
        <v>44431</v>
      </c>
      <c r="C292" t="s">
        <v>32</v>
      </c>
      <c r="D292" t="s">
        <v>36</v>
      </c>
      <c r="E292">
        <v>88060</v>
      </c>
      <c r="F292">
        <v>91000</v>
      </c>
      <c r="G292">
        <v>0.96760000000000002</v>
      </c>
      <c r="H292">
        <v>1.0333863275039745</v>
      </c>
      <c r="I292" t="s">
        <v>13</v>
      </c>
      <c r="J292" t="s">
        <v>446</v>
      </c>
    </row>
    <row r="293" spans="1:10" x14ac:dyDescent="0.35">
      <c r="A293">
        <v>2020065</v>
      </c>
      <c r="B293" s="3">
        <v>44185</v>
      </c>
      <c r="C293" t="s">
        <v>138</v>
      </c>
      <c r="D293" t="s">
        <v>248</v>
      </c>
      <c r="E293">
        <v>55200</v>
      </c>
      <c r="F293">
        <v>90000</v>
      </c>
      <c r="G293">
        <v>0.61329999999999996</v>
      </c>
      <c r="H293">
        <v>1.6304347826086956</v>
      </c>
      <c r="I293" t="s">
        <v>13</v>
      </c>
      <c r="J293" t="s">
        <v>446</v>
      </c>
    </row>
    <row r="294" spans="1:10" x14ac:dyDescent="0.35">
      <c r="A294">
        <v>200377</v>
      </c>
      <c r="B294" s="3">
        <v>44424</v>
      </c>
      <c r="C294" t="s">
        <v>189</v>
      </c>
      <c r="D294" t="s">
        <v>190</v>
      </c>
      <c r="E294">
        <v>41090</v>
      </c>
      <c r="F294">
        <v>89900</v>
      </c>
      <c r="G294">
        <v>0.45700000000000002</v>
      </c>
      <c r="H294">
        <v>2.1878802628376732</v>
      </c>
      <c r="I294" t="s">
        <v>13</v>
      </c>
      <c r="J294" t="s">
        <v>445</v>
      </c>
    </row>
    <row r="295" spans="1:10" x14ac:dyDescent="0.35">
      <c r="A295">
        <v>2020256</v>
      </c>
      <c r="B295" s="3">
        <v>44370</v>
      </c>
      <c r="C295" t="s">
        <v>138</v>
      </c>
      <c r="D295" t="s">
        <v>247</v>
      </c>
      <c r="E295">
        <v>55200</v>
      </c>
      <c r="F295">
        <v>89900</v>
      </c>
      <c r="G295">
        <v>0.61401557299999998</v>
      </c>
      <c r="H295">
        <v>1.6286231884057971</v>
      </c>
      <c r="I295" t="s">
        <v>13</v>
      </c>
      <c r="J295" t="s">
        <v>446</v>
      </c>
    </row>
    <row r="296" spans="1:10" x14ac:dyDescent="0.35">
      <c r="A296">
        <v>90706</v>
      </c>
      <c r="B296" s="3">
        <v>40360</v>
      </c>
      <c r="C296" t="s">
        <v>192</v>
      </c>
      <c r="D296" t="s">
        <v>345</v>
      </c>
      <c r="E296">
        <v>76500</v>
      </c>
      <c r="F296">
        <v>86000</v>
      </c>
      <c r="G296">
        <v>0.88953488400000003</v>
      </c>
      <c r="H296">
        <v>1.1241830065359477</v>
      </c>
      <c r="I296" t="s">
        <v>16</v>
      </c>
      <c r="J296" t="s">
        <v>446</v>
      </c>
    </row>
    <row r="297" spans="1:10" x14ac:dyDescent="0.35">
      <c r="A297">
        <v>160400</v>
      </c>
      <c r="B297" s="3">
        <v>42907</v>
      </c>
      <c r="C297" t="s">
        <v>216</v>
      </c>
      <c r="D297" t="s">
        <v>364</v>
      </c>
      <c r="E297">
        <v>57720</v>
      </c>
      <c r="F297">
        <v>85000</v>
      </c>
      <c r="G297">
        <v>0.67905882399999995</v>
      </c>
      <c r="H297">
        <v>1.4726264726264726</v>
      </c>
      <c r="I297" t="s">
        <v>16</v>
      </c>
      <c r="J297" t="s">
        <v>446</v>
      </c>
    </row>
    <row r="298" spans="1:10" x14ac:dyDescent="0.35">
      <c r="A298">
        <v>160697</v>
      </c>
      <c r="B298" s="3">
        <v>42782</v>
      </c>
      <c r="C298" t="s">
        <v>181</v>
      </c>
      <c r="D298" t="s">
        <v>366</v>
      </c>
      <c r="E298">
        <v>47960</v>
      </c>
      <c r="F298">
        <v>85000</v>
      </c>
      <c r="G298">
        <v>0.56423529400000005</v>
      </c>
      <c r="H298">
        <v>1.7723102585487907</v>
      </c>
      <c r="I298" t="s">
        <v>16</v>
      </c>
      <c r="J298" t="s">
        <v>446</v>
      </c>
    </row>
    <row r="299" spans="1:10" x14ac:dyDescent="0.35">
      <c r="A299">
        <v>200821</v>
      </c>
      <c r="B299" s="3">
        <v>44343</v>
      </c>
      <c r="C299" t="s">
        <v>125</v>
      </c>
      <c r="D299" t="s">
        <v>127</v>
      </c>
      <c r="E299">
        <v>67270</v>
      </c>
      <c r="F299">
        <v>82000</v>
      </c>
      <c r="G299">
        <v>0.82030000000000003</v>
      </c>
      <c r="H299">
        <v>1.2189683365541846</v>
      </c>
      <c r="I299" t="s">
        <v>13</v>
      </c>
      <c r="J299" t="s">
        <v>446</v>
      </c>
    </row>
    <row r="300" spans="1:10" x14ac:dyDescent="0.35">
      <c r="A300">
        <v>120504</v>
      </c>
      <c r="B300" s="3">
        <v>41319</v>
      </c>
      <c r="C300" t="s">
        <v>282</v>
      </c>
      <c r="D300" t="s">
        <v>351</v>
      </c>
      <c r="E300">
        <v>101750</v>
      </c>
      <c r="F300">
        <v>80000</v>
      </c>
      <c r="G300">
        <v>1271875</v>
      </c>
      <c r="H300">
        <v>0.78624078624078619</v>
      </c>
      <c r="I300" t="s">
        <v>16</v>
      </c>
      <c r="J300" t="s">
        <v>446</v>
      </c>
    </row>
    <row r="301" spans="1:10" x14ac:dyDescent="0.35">
      <c r="A301">
        <v>90111</v>
      </c>
      <c r="B301" s="3">
        <v>40149</v>
      </c>
      <c r="C301" t="s">
        <v>187</v>
      </c>
      <c r="D301" t="s">
        <v>346</v>
      </c>
      <c r="E301">
        <v>62630</v>
      </c>
      <c r="F301">
        <v>74000</v>
      </c>
      <c r="G301">
        <v>0.84635135100000003</v>
      </c>
      <c r="H301">
        <v>1.1815423918250041</v>
      </c>
      <c r="I301" t="s">
        <v>16</v>
      </c>
      <c r="J301" t="s">
        <v>446</v>
      </c>
    </row>
    <row r="302" spans="1:10" x14ac:dyDescent="0.35">
      <c r="A302">
        <v>200242</v>
      </c>
      <c r="B302" s="3">
        <v>44223</v>
      </c>
      <c r="C302" t="s">
        <v>66</v>
      </c>
      <c r="D302" t="s">
        <v>67</v>
      </c>
      <c r="E302">
        <v>28240</v>
      </c>
      <c r="F302">
        <v>73000</v>
      </c>
      <c r="G302">
        <v>0.38684931500000003</v>
      </c>
      <c r="H302">
        <v>2.5849858356940509</v>
      </c>
      <c r="I302" t="s">
        <v>13</v>
      </c>
      <c r="J302" t="s">
        <v>445</v>
      </c>
    </row>
    <row r="303" spans="1:10" x14ac:dyDescent="0.35">
      <c r="A303">
        <v>91123</v>
      </c>
      <c r="B303" s="3">
        <v>40371</v>
      </c>
      <c r="C303" t="s">
        <v>264</v>
      </c>
      <c r="D303" t="s">
        <v>339</v>
      </c>
      <c r="E303">
        <v>52580</v>
      </c>
      <c r="F303">
        <v>65000</v>
      </c>
      <c r="G303">
        <v>0.80892307699999999</v>
      </c>
      <c r="H303">
        <v>1.2362114872575123</v>
      </c>
      <c r="I303" t="s">
        <v>16</v>
      </c>
      <c r="J303" t="s">
        <v>446</v>
      </c>
    </row>
    <row r="304" spans="1:10" x14ac:dyDescent="0.35">
      <c r="A304">
        <v>190767</v>
      </c>
      <c r="B304" s="3">
        <v>43892</v>
      </c>
      <c r="C304" t="s">
        <v>264</v>
      </c>
      <c r="D304" t="s">
        <v>402</v>
      </c>
      <c r="E304">
        <v>28490</v>
      </c>
      <c r="F304">
        <v>61000</v>
      </c>
      <c r="G304">
        <v>0.46700000000000003</v>
      </c>
      <c r="H304">
        <v>2.1411021411021411</v>
      </c>
      <c r="I304" t="s">
        <v>16</v>
      </c>
      <c r="J304" t="s">
        <v>445</v>
      </c>
    </row>
    <row r="305" spans="1:10" x14ac:dyDescent="0.35">
      <c r="A305">
        <v>170668</v>
      </c>
      <c r="B305" s="3">
        <v>43131</v>
      </c>
      <c r="C305" t="s">
        <v>282</v>
      </c>
      <c r="D305" t="s">
        <v>373</v>
      </c>
      <c r="E305">
        <v>27570</v>
      </c>
      <c r="F305">
        <v>59000</v>
      </c>
      <c r="G305">
        <v>0.4672</v>
      </c>
      <c r="H305">
        <v>2.1400072542618789</v>
      </c>
      <c r="I305" t="s">
        <v>16</v>
      </c>
      <c r="J305" t="s">
        <v>445</v>
      </c>
    </row>
    <row r="306" spans="1:10" x14ac:dyDescent="0.35">
      <c r="A306">
        <v>160606</v>
      </c>
      <c r="B306" s="3">
        <v>42957</v>
      </c>
      <c r="C306" t="s">
        <v>133</v>
      </c>
      <c r="D306" t="s">
        <v>379</v>
      </c>
      <c r="E306">
        <v>41000</v>
      </c>
      <c r="F306">
        <v>55000</v>
      </c>
      <c r="G306">
        <v>0.74545454499999997</v>
      </c>
      <c r="H306">
        <v>1.3414634146341464</v>
      </c>
      <c r="I306" t="s">
        <v>16</v>
      </c>
      <c r="J306" t="s">
        <v>446</v>
      </c>
    </row>
    <row r="307" spans="1:10" x14ac:dyDescent="0.35">
      <c r="A307">
        <v>181369</v>
      </c>
      <c r="B307" s="3">
        <v>43623</v>
      </c>
      <c r="C307" t="s">
        <v>282</v>
      </c>
      <c r="D307" t="s">
        <v>406</v>
      </c>
      <c r="E307">
        <v>36950</v>
      </c>
      <c r="F307">
        <v>52000</v>
      </c>
      <c r="G307">
        <v>0.71050000000000002</v>
      </c>
      <c r="H307">
        <v>1.4073071718538566</v>
      </c>
      <c r="I307" t="s">
        <v>16</v>
      </c>
      <c r="J307" t="s">
        <v>446</v>
      </c>
    </row>
    <row r="308" spans="1:10" x14ac:dyDescent="0.35">
      <c r="A308">
        <v>100418</v>
      </c>
      <c r="B308" s="3">
        <v>40765</v>
      </c>
      <c r="C308" t="s">
        <v>249</v>
      </c>
      <c r="D308" t="s">
        <v>334</v>
      </c>
      <c r="E308">
        <v>38500</v>
      </c>
      <c r="F308">
        <v>50000</v>
      </c>
      <c r="G308">
        <v>0.77</v>
      </c>
      <c r="H308">
        <v>1.2987012987012987</v>
      </c>
      <c r="I308" t="s">
        <v>16</v>
      </c>
      <c r="J308" t="s">
        <v>446</v>
      </c>
    </row>
    <row r="309" spans="1:10" x14ac:dyDescent="0.35">
      <c r="A309">
        <v>10470</v>
      </c>
      <c r="B309" s="3">
        <v>40700</v>
      </c>
      <c r="C309" t="s">
        <v>98</v>
      </c>
      <c r="D309" t="s">
        <v>329</v>
      </c>
      <c r="E309">
        <v>27874</v>
      </c>
      <c r="F309">
        <v>42000</v>
      </c>
      <c r="G309">
        <v>0.66366666699999999</v>
      </c>
      <c r="H309">
        <v>1.5067805123053741</v>
      </c>
      <c r="I309" t="s">
        <v>16</v>
      </c>
      <c r="J309" t="s">
        <v>446</v>
      </c>
    </row>
    <row r="310" spans="1:10" x14ac:dyDescent="0.35">
      <c r="A310">
        <v>1384</v>
      </c>
      <c r="B310" s="3">
        <v>41698</v>
      </c>
      <c r="C310" t="s">
        <v>8</v>
      </c>
      <c r="D310" t="s">
        <v>355</v>
      </c>
      <c r="E310">
        <v>65100</v>
      </c>
      <c r="F310">
        <v>41000</v>
      </c>
      <c r="G310">
        <v>1587804878</v>
      </c>
      <c r="H310">
        <v>0.62980030721966207</v>
      </c>
      <c r="I310" t="s">
        <v>16</v>
      </c>
      <c r="J310" t="s">
        <v>446</v>
      </c>
    </row>
    <row r="311" spans="1:10" x14ac:dyDescent="0.35">
      <c r="A311">
        <v>17568</v>
      </c>
      <c r="B311" s="3">
        <v>43244</v>
      </c>
      <c r="C311" t="s">
        <v>98</v>
      </c>
      <c r="D311" t="s">
        <v>380</v>
      </c>
      <c r="E311">
        <v>11620</v>
      </c>
      <c r="F311">
        <v>38500</v>
      </c>
      <c r="G311">
        <v>0.30180000000000001</v>
      </c>
      <c r="H311">
        <v>3.3132530120481927</v>
      </c>
      <c r="I311" t="s">
        <v>16</v>
      </c>
      <c r="J311" t="s">
        <v>445</v>
      </c>
    </row>
    <row r="312" spans="1:10" x14ac:dyDescent="0.35">
      <c r="A312">
        <v>61464</v>
      </c>
      <c r="B312" s="3">
        <v>39227</v>
      </c>
      <c r="C312" t="s">
        <v>264</v>
      </c>
      <c r="D312" t="s">
        <v>291</v>
      </c>
      <c r="E312">
        <v>14770</v>
      </c>
      <c r="F312">
        <v>33000</v>
      </c>
      <c r="G312">
        <v>0.44757575799999999</v>
      </c>
      <c r="H312">
        <v>2.2342586323628977</v>
      </c>
      <c r="I312" t="s">
        <v>16</v>
      </c>
      <c r="J312" t="s">
        <v>445</v>
      </c>
    </row>
    <row r="313" spans="1:10" x14ac:dyDescent="0.35">
      <c r="A313">
        <v>190478</v>
      </c>
      <c r="B313" s="3">
        <v>43927</v>
      </c>
      <c r="C313" t="s">
        <v>125</v>
      </c>
      <c r="D313" t="s">
        <v>403</v>
      </c>
      <c r="E313">
        <v>50820</v>
      </c>
      <c r="F313">
        <v>30000</v>
      </c>
      <c r="G313">
        <v>1694</v>
      </c>
      <c r="H313">
        <v>0.59031877213695394</v>
      </c>
      <c r="I313" t="s">
        <v>16</v>
      </c>
      <c r="J313" t="s">
        <v>446</v>
      </c>
    </row>
    <row r="314" spans="1:10" x14ac:dyDescent="0.35">
      <c r="A314">
        <v>180558</v>
      </c>
      <c r="B314" s="3">
        <v>43606</v>
      </c>
      <c r="C314" t="s">
        <v>159</v>
      </c>
      <c r="D314" t="s">
        <v>404</v>
      </c>
      <c r="E314">
        <v>28910</v>
      </c>
      <c r="F314">
        <v>30000</v>
      </c>
      <c r="G314">
        <v>0.96360000000000001</v>
      </c>
      <c r="H314">
        <v>1.0377032168799722</v>
      </c>
      <c r="I314" t="s">
        <v>16</v>
      </c>
      <c r="J314" t="s">
        <v>446</v>
      </c>
    </row>
    <row r="315" spans="1:10" x14ac:dyDescent="0.35">
      <c r="A315">
        <v>2000720</v>
      </c>
      <c r="B315" s="3">
        <v>44201</v>
      </c>
      <c r="C315" t="s">
        <v>181</v>
      </c>
      <c r="D315" t="s">
        <v>221</v>
      </c>
      <c r="E315">
        <v>19110</v>
      </c>
      <c r="F315">
        <v>27500</v>
      </c>
      <c r="G315">
        <v>0.69489999999999996</v>
      </c>
      <c r="H315">
        <v>1.4390371533228676</v>
      </c>
      <c r="I315" t="s">
        <v>13</v>
      </c>
      <c r="J315" t="s">
        <v>446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0A968-704B-4F7C-8197-0A7210564FC9}">
  <dimension ref="A1:B43"/>
  <sheetViews>
    <sheetView workbookViewId="0">
      <selection activeCell="C2" sqref="C2"/>
    </sheetView>
  </sheetViews>
  <sheetFormatPr defaultRowHeight="14.5" x14ac:dyDescent="0.35"/>
  <cols>
    <col min="1" max="1" width="13.54296875" bestFit="1" customWidth="1"/>
    <col min="2" max="2" width="19.54296875" bestFit="1" customWidth="1"/>
    <col min="8" max="8" width="13.54296875" bestFit="1" customWidth="1"/>
    <col min="9" max="9" width="24" bestFit="1" customWidth="1"/>
  </cols>
  <sheetData>
    <row r="1" spans="1:2" x14ac:dyDescent="0.35">
      <c r="A1" t="s">
        <v>2</v>
      </c>
      <c r="B1" t="s">
        <v>546</v>
      </c>
    </row>
    <row r="2" spans="1:2" x14ac:dyDescent="0.35">
      <c r="A2" t="s">
        <v>98</v>
      </c>
      <c r="B2">
        <v>7</v>
      </c>
    </row>
    <row r="3" spans="1:2" x14ac:dyDescent="0.35">
      <c r="A3" t="s">
        <v>181</v>
      </c>
      <c r="B3">
        <v>5</v>
      </c>
    </row>
    <row r="4" spans="1:2" x14ac:dyDescent="0.35">
      <c r="A4" t="s">
        <v>264</v>
      </c>
      <c r="B4">
        <v>4</v>
      </c>
    </row>
    <row r="5" spans="1:2" x14ac:dyDescent="0.35">
      <c r="A5" t="s">
        <v>159</v>
      </c>
      <c r="B5">
        <v>4</v>
      </c>
    </row>
    <row r="6" spans="1:2" x14ac:dyDescent="0.35">
      <c r="A6" t="s">
        <v>56</v>
      </c>
      <c r="B6">
        <v>3</v>
      </c>
    </row>
    <row r="7" spans="1:2" x14ac:dyDescent="0.35">
      <c r="A7" t="s">
        <v>122</v>
      </c>
      <c r="B7">
        <v>2</v>
      </c>
    </row>
    <row r="8" spans="1:2" x14ac:dyDescent="0.35">
      <c r="A8" t="s">
        <v>144</v>
      </c>
      <c r="B8">
        <v>2</v>
      </c>
    </row>
    <row r="9" spans="1:2" x14ac:dyDescent="0.35">
      <c r="A9" t="s">
        <v>184</v>
      </c>
      <c r="B9">
        <v>2</v>
      </c>
    </row>
    <row r="10" spans="1:2" x14ac:dyDescent="0.35">
      <c r="A10" t="s">
        <v>125</v>
      </c>
      <c r="B10">
        <v>2</v>
      </c>
    </row>
    <row r="11" spans="1:2" x14ac:dyDescent="0.35">
      <c r="A11" t="s">
        <v>92</v>
      </c>
      <c r="B11">
        <v>2</v>
      </c>
    </row>
    <row r="12" spans="1:2" x14ac:dyDescent="0.35">
      <c r="A12" t="s">
        <v>216</v>
      </c>
      <c r="B12">
        <v>2</v>
      </c>
    </row>
    <row r="13" spans="1:2" x14ac:dyDescent="0.35">
      <c r="A13" t="s">
        <v>187</v>
      </c>
      <c r="B13">
        <v>1</v>
      </c>
    </row>
    <row r="14" spans="1:2" x14ac:dyDescent="0.35">
      <c r="A14" t="s">
        <v>244</v>
      </c>
      <c r="B14">
        <v>1</v>
      </c>
    </row>
    <row r="15" spans="1:2" x14ac:dyDescent="0.35">
      <c r="A15" t="s">
        <v>117</v>
      </c>
      <c r="B15">
        <v>1</v>
      </c>
    </row>
    <row r="16" spans="1:2" x14ac:dyDescent="0.35">
      <c r="A16" t="s">
        <v>235</v>
      </c>
      <c r="B16">
        <v>1</v>
      </c>
    </row>
    <row r="17" spans="1:2" x14ac:dyDescent="0.35">
      <c r="A17" t="s">
        <v>215</v>
      </c>
      <c r="B17">
        <v>1</v>
      </c>
    </row>
    <row r="18" spans="1:2" x14ac:dyDescent="0.35">
      <c r="A18" t="s">
        <v>155</v>
      </c>
      <c r="B18">
        <v>1</v>
      </c>
    </row>
    <row r="19" spans="1:2" x14ac:dyDescent="0.35">
      <c r="A19" t="s">
        <v>8</v>
      </c>
      <c r="B19">
        <v>1</v>
      </c>
    </row>
    <row r="20" spans="1:2" x14ac:dyDescent="0.35">
      <c r="A20" t="s">
        <v>43</v>
      </c>
      <c r="B20">
        <v>1</v>
      </c>
    </row>
    <row r="21" spans="1:2" x14ac:dyDescent="0.35">
      <c r="A21" t="s">
        <v>32</v>
      </c>
      <c r="B21">
        <v>1</v>
      </c>
    </row>
    <row r="22" spans="1:2" x14ac:dyDescent="0.35">
      <c r="A22" t="s">
        <v>139</v>
      </c>
      <c r="B22">
        <v>1</v>
      </c>
    </row>
    <row r="23" spans="1:2" x14ac:dyDescent="0.35">
      <c r="A23" t="s">
        <v>189</v>
      </c>
      <c r="B23">
        <v>1</v>
      </c>
    </row>
    <row r="24" spans="1:2" x14ac:dyDescent="0.35">
      <c r="A24" t="s">
        <v>73</v>
      </c>
      <c r="B24">
        <v>1</v>
      </c>
    </row>
    <row r="25" spans="1:2" x14ac:dyDescent="0.35">
      <c r="A25" t="s">
        <v>123</v>
      </c>
      <c r="B25">
        <v>1</v>
      </c>
    </row>
    <row r="26" spans="1:2" x14ac:dyDescent="0.35">
      <c r="A26" t="s">
        <v>200</v>
      </c>
      <c r="B26">
        <v>1</v>
      </c>
    </row>
    <row r="27" spans="1:2" x14ac:dyDescent="0.35">
      <c r="A27" t="s">
        <v>252</v>
      </c>
      <c r="B27">
        <v>1</v>
      </c>
    </row>
    <row r="28" spans="1:2" x14ac:dyDescent="0.35">
      <c r="A28" t="s">
        <v>262</v>
      </c>
      <c r="B28">
        <v>1</v>
      </c>
    </row>
    <row r="29" spans="1:2" x14ac:dyDescent="0.35">
      <c r="A29" t="s">
        <v>166</v>
      </c>
      <c r="B29">
        <v>1</v>
      </c>
    </row>
    <row r="30" spans="1:2" x14ac:dyDescent="0.35">
      <c r="A30" t="s">
        <v>64</v>
      </c>
      <c r="B30">
        <v>1</v>
      </c>
    </row>
    <row r="31" spans="1:2" x14ac:dyDescent="0.35">
      <c r="A31" t="s">
        <v>271</v>
      </c>
      <c r="B31">
        <v>1</v>
      </c>
    </row>
    <row r="32" spans="1:2" x14ac:dyDescent="0.35">
      <c r="A32" t="s">
        <v>268</v>
      </c>
      <c r="B32">
        <v>1</v>
      </c>
    </row>
    <row r="33" spans="1:2" x14ac:dyDescent="0.35">
      <c r="A33" t="s">
        <v>85</v>
      </c>
      <c r="B33">
        <v>1</v>
      </c>
    </row>
    <row r="34" spans="1:2" x14ac:dyDescent="0.35">
      <c r="A34" t="s">
        <v>25</v>
      </c>
      <c r="B34">
        <v>1</v>
      </c>
    </row>
    <row r="35" spans="1:2" x14ac:dyDescent="0.35">
      <c r="A35" t="s">
        <v>206</v>
      </c>
      <c r="B35">
        <v>1</v>
      </c>
    </row>
    <row r="36" spans="1:2" x14ac:dyDescent="0.35">
      <c r="A36" t="s">
        <v>192</v>
      </c>
      <c r="B36">
        <v>1</v>
      </c>
    </row>
    <row r="37" spans="1:2" x14ac:dyDescent="0.35">
      <c r="A37" t="s">
        <v>96</v>
      </c>
      <c r="B37">
        <v>1</v>
      </c>
    </row>
    <row r="38" spans="1:2" x14ac:dyDescent="0.35">
      <c r="A38" t="s">
        <v>146</v>
      </c>
      <c r="B38">
        <v>1</v>
      </c>
    </row>
    <row r="39" spans="1:2" x14ac:dyDescent="0.35">
      <c r="A39" t="s">
        <v>180</v>
      </c>
      <c r="B39">
        <v>1</v>
      </c>
    </row>
    <row r="40" spans="1:2" x14ac:dyDescent="0.35">
      <c r="A40" t="s">
        <v>66</v>
      </c>
      <c r="B40">
        <v>1</v>
      </c>
    </row>
    <row r="41" spans="1:2" x14ac:dyDescent="0.35">
      <c r="A41" t="s">
        <v>129</v>
      </c>
      <c r="B41">
        <v>1</v>
      </c>
    </row>
    <row r="42" spans="1:2" x14ac:dyDescent="0.35">
      <c r="A42" t="s">
        <v>69</v>
      </c>
      <c r="B42">
        <v>1</v>
      </c>
    </row>
    <row r="43" spans="1:2" x14ac:dyDescent="0.35">
      <c r="A43" t="s">
        <v>282</v>
      </c>
      <c r="B43">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908EB-2964-4CA5-A9A1-B32C7E18C702}">
  <dimension ref="A1:R303"/>
  <sheetViews>
    <sheetView topLeftCell="K1" workbookViewId="0">
      <selection activeCell="P5" sqref="P5"/>
    </sheetView>
  </sheetViews>
  <sheetFormatPr defaultRowHeight="14.5" x14ac:dyDescent="0.35"/>
  <cols>
    <col min="1" max="1" width="16.1796875" bestFit="1" customWidth="1"/>
    <col min="2" max="2" width="16.453125" bestFit="1" customWidth="1"/>
    <col min="3" max="3" width="15" bestFit="1" customWidth="1"/>
    <col min="4" max="4" width="7.26953125" bestFit="1" customWidth="1"/>
    <col min="5" max="5" width="14.1796875" bestFit="1" customWidth="1"/>
    <col min="6" max="6" width="14.453125" bestFit="1" customWidth="1"/>
    <col min="7" max="7" width="14.54296875" bestFit="1" customWidth="1"/>
    <col min="8" max="8" width="32" bestFit="1" customWidth="1"/>
    <col min="9" max="9" width="17.1796875" bestFit="1" customWidth="1"/>
    <col min="10" max="10" width="14.54296875" bestFit="1" customWidth="1"/>
    <col min="11" max="11" width="12.81640625" bestFit="1" customWidth="1"/>
    <col min="12" max="12" width="14.26953125" bestFit="1" customWidth="1"/>
    <col min="13" max="13" width="15.81640625" bestFit="1" customWidth="1"/>
    <col min="14" max="14" width="14.26953125" customWidth="1"/>
    <col min="15" max="15" width="11.1796875" bestFit="1" customWidth="1"/>
  </cols>
  <sheetData>
    <row r="1" spans="1:18" x14ac:dyDescent="0.35">
      <c r="A1" t="s">
        <v>0</v>
      </c>
      <c r="B1" t="s">
        <v>1</v>
      </c>
      <c r="C1" t="s">
        <v>447</v>
      </c>
      <c r="D1" t="s">
        <v>448</v>
      </c>
      <c r="E1" t="s">
        <v>449</v>
      </c>
      <c r="F1" t="s">
        <v>2</v>
      </c>
      <c r="G1" t="s">
        <v>753</v>
      </c>
      <c r="H1" t="s">
        <v>3</v>
      </c>
      <c r="I1" t="s">
        <v>4</v>
      </c>
      <c r="J1" t="s">
        <v>5</v>
      </c>
      <c r="K1" t="s">
        <v>6</v>
      </c>
      <c r="L1" t="s">
        <v>438</v>
      </c>
      <c r="M1" t="s">
        <v>7</v>
      </c>
      <c r="N1" t="s">
        <v>444</v>
      </c>
      <c r="O1" t="s">
        <v>547</v>
      </c>
    </row>
    <row r="2" spans="1:18" x14ac:dyDescent="0.35">
      <c r="A2">
        <v>160092</v>
      </c>
      <c r="B2" s="3">
        <v>42724</v>
      </c>
      <c r="C2" t="s">
        <v>450</v>
      </c>
      <c r="D2">
        <v>2016</v>
      </c>
      <c r="E2" s="14">
        <v>42705</v>
      </c>
      <c r="F2" t="s">
        <v>200</v>
      </c>
      <c r="G2" t="s">
        <v>754</v>
      </c>
      <c r="H2" t="s">
        <v>365</v>
      </c>
      <c r="I2">
        <v>45150</v>
      </c>
      <c r="J2">
        <v>13650000</v>
      </c>
      <c r="K2">
        <v>3.3076920000000001E-3</v>
      </c>
      <c r="L2">
        <v>302.32558139534882</v>
      </c>
      <c r="M2" t="s">
        <v>16</v>
      </c>
      <c r="N2" t="s">
        <v>445</v>
      </c>
    </row>
    <row r="3" spans="1:18" x14ac:dyDescent="0.35">
      <c r="A3">
        <v>200195</v>
      </c>
      <c r="B3" s="3">
        <v>44312</v>
      </c>
      <c r="C3" t="s">
        <v>452</v>
      </c>
      <c r="D3">
        <v>2021</v>
      </c>
      <c r="E3" s="14">
        <v>44287</v>
      </c>
      <c r="F3" t="s">
        <v>54</v>
      </c>
      <c r="G3" t="s">
        <v>755</v>
      </c>
      <c r="H3" t="s">
        <v>415</v>
      </c>
      <c r="I3">
        <v>3360000</v>
      </c>
      <c r="J3">
        <v>5214750</v>
      </c>
      <c r="K3">
        <v>0.64429999999999998</v>
      </c>
      <c r="L3">
        <v>1.5520089285714285</v>
      </c>
      <c r="M3" t="s">
        <v>10</v>
      </c>
      <c r="N3" t="s">
        <v>446</v>
      </c>
    </row>
    <row r="4" spans="1:18" x14ac:dyDescent="0.35">
      <c r="A4">
        <v>201233</v>
      </c>
      <c r="B4" s="3">
        <v>44369</v>
      </c>
      <c r="C4" t="s">
        <v>454</v>
      </c>
      <c r="D4">
        <v>2021</v>
      </c>
      <c r="E4" s="14">
        <v>44348</v>
      </c>
      <c r="F4" t="s">
        <v>85</v>
      </c>
      <c r="G4" t="s">
        <v>756</v>
      </c>
      <c r="H4" t="s">
        <v>86</v>
      </c>
      <c r="I4">
        <v>4259500</v>
      </c>
      <c r="J4">
        <v>4300000</v>
      </c>
      <c r="K4">
        <v>0.99050000000000005</v>
      </c>
      <c r="L4">
        <v>1.0095081582345347</v>
      </c>
      <c r="M4" t="s">
        <v>13</v>
      </c>
      <c r="N4" t="s">
        <v>446</v>
      </c>
      <c r="R4">
        <f>COUNTIF(Table1_3__3[Sales Ratio 2],"&lt;1")</f>
        <v>0</v>
      </c>
    </row>
    <row r="5" spans="1:18" x14ac:dyDescent="0.35">
      <c r="A5">
        <v>170261</v>
      </c>
      <c r="B5" s="3">
        <v>43221</v>
      </c>
      <c r="C5" t="s">
        <v>456</v>
      </c>
      <c r="D5">
        <v>2018</v>
      </c>
      <c r="E5" s="14">
        <v>43221</v>
      </c>
      <c r="F5" t="s">
        <v>144</v>
      </c>
      <c r="G5" t="s">
        <v>757</v>
      </c>
      <c r="H5" t="s">
        <v>384</v>
      </c>
      <c r="I5">
        <v>30660</v>
      </c>
      <c r="J5">
        <v>3266250</v>
      </c>
      <c r="K5">
        <v>9.3869120000000007E-3</v>
      </c>
      <c r="L5">
        <v>106.53131115459882</v>
      </c>
      <c r="M5" t="s">
        <v>16</v>
      </c>
      <c r="N5" t="s">
        <v>445</v>
      </c>
    </row>
    <row r="6" spans="1:18" x14ac:dyDescent="0.35">
      <c r="A6">
        <v>170255</v>
      </c>
      <c r="B6" s="3">
        <v>43221</v>
      </c>
      <c r="C6" t="s">
        <v>456</v>
      </c>
      <c r="D6">
        <v>2018</v>
      </c>
      <c r="E6" s="14">
        <v>43221</v>
      </c>
      <c r="F6" t="s">
        <v>144</v>
      </c>
      <c r="G6" t="s">
        <v>757</v>
      </c>
      <c r="H6" t="s">
        <v>390</v>
      </c>
      <c r="I6">
        <v>30660</v>
      </c>
      <c r="J6">
        <v>3266250</v>
      </c>
      <c r="K6">
        <v>9.3869120000000007E-3</v>
      </c>
      <c r="L6">
        <v>106.53131115459882</v>
      </c>
      <c r="M6" t="s">
        <v>16</v>
      </c>
      <c r="N6" t="s">
        <v>445</v>
      </c>
    </row>
    <row r="7" spans="1:18" x14ac:dyDescent="0.35">
      <c r="A7">
        <v>201186</v>
      </c>
      <c r="B7" s="3">
        <v>44389</v>
      </c>
      <c r="C7" t="s">
        <v>458</v>
      </c>
      <c r="D7">
        <v>2021</v>
      </c>
      <c r="E7" s="14">
        <v>44378</v>
      </c>
      <c r="F7" t="s">
        <v>56</v>
      </c>
      <c r="G7" t="s">
        <v>758</v>
      </c>
      <c r="H7" t="s">
        <v>60</v>
      </c>
      <c r="I7">
        <v>695500</v>
      </c>
      <c r="J7">
        <v>3200000</v>
      </c>
      <c r="K7">
        <v>0.21734375</v>
      </c>
      <c r="L7">
        <v>4.6010064701653484</v>
      </c>
      <c r="M7" t="s">
        <v>10</v>
      </c>
      <c r="N7" t="s">
        <v>445</v>
      </c>
    </row>
    <row r="8" spans="1:18" x14ac:dyDescent="0.35">
      <c r="A8">
        <v>200645</v>
      </c>
      <c r="B8" s="3">
        <v>44244</v>
      </c>
      <c r="C8" t="s">
        <v>460</v>
      </c>
      <c r="D8">
        <v>2021</v>
      </c>
      <c r="E8" s="14">
        <v>44228</v>
      </c>
      <c r="F8" t="s">
        <v>85</v>
      </c>
      <c r="G8" t="s">
        <v>756</v>
      </c>
      <c r="H8" t="s">
        <v>423</v>
      </c>
      <c r="I8">
        <v>2661200</v>
      </c>
      <c r="J8">
        <v>3000000</v>
      </c>
      <c r="K8">
        <v>0.88700000000000001</v>
      </c>
      <c r="L8">
        <v>1.1273109875244252</v>
      </c>
      <c r="M8" t="s">
        <v>13</v>
      </c>
      <c r="N8" t="s">
        <v>446</v>
      </c>
    </row>
    <row r="9" spans="1:18" x14ac:dyDescent="0.35">
      <c r="A9">
        <v>200661</v>
      </c>
      <c r="B9" s="3">
        <v>44438</v>
      </c>
      <c r="C9" t="s">
        <v>462</v>
      </c>
      <c r="D9">
        <v>2021</v>
      </c>
      <c r="E9" s="14">
        <v>44409</v>
      </c>
      <c r="F9" t="s">
        <v>152</v>
      </c>
      <c r="G9" t="s">
        <v>757</v>
      </c>
      <c r="H9" t="s">
        <v>154</v>
      </c>
      <c r="I9">
        <v>1279460</v>
      </c>
      <c r="J9">
        <v>2400000</v>
      </c>
      <c r="K9">
        <v>0.53310000000000002</v>
      </c>
      <c r="L9">
        <v>1.87579134947556</v>
      </c>
      <c r="M9" t="s">
        <v>13</v>
      </c>
      <c r="N9" t="s">
        <v>446</v>
      </c>
    </row>
    <row r="10" spans="1:18" x14ac:dyDescent="0.35">
      <c r="A10">
        <v>201437</v>
      </c>
      <c r="B10" s="3">
        <v>44397</v>
      </c>
      <c r="C10" t="s">
        <v>458</v>
      </c>
      <c r="D10">
        <v>2021</v>
      </c>
      <c r="E10" s="14">
        <v>44378</v>
      </c>
      <c r="F10" t="s">
        <v>85</v>
      </c>
      <c r="G10" t="s">
        <v>756</v>
      </c>
      <c r="H10" t="s">
        <v>87</v>
      </c>
      <c r="I10">
        <v>1337630</v>
      </c>
      <c r="J10">
        <v>2300000</v>
      </c>
      <c r="K10">
        <v>0.58150000000000002</v>
      </c>
      <c r="L10">
        <v>1.7194590432331811</v>
      </c>
      <c r="M10" t="s">
        <v>13</v>
      </c>
      <c r="N10" t="s">
        <v>446</v>
      </c>
    </row>
    <row r="11" spans="1:18" x14ac:dyDescent="0.35">
      <c r="A11">
        <v>200055</v>
      </c>
      <c r="B11" s="3">
        <v>44221</v>
      </c>
      <c r="C11" t="s">
        <v>464</v>
      </c>
      <c r="D11">
        <v>2021</v>
      </c>
      <c r="E11" s="14">
        <v>44197</v>
      </c>
      <c r="F11" t="s">
        <v>262</v>
      </c>
      <c r="G11" t="s">
        <v>759</v>
      </c>
      <c r="H11" t="s">
        <v>263</v>
      </c>
      <c r="I11">
        <v>1030330</v>
      </c>
      <c r="J11">
        <v>2285000</v>
      </c>
      <c r="K11">
        <v>0.45090000000000002</v>
      </c>
      <c r="L11">
        <v>2.2177360651441771</v>
      </c>
      <c r="M11" t="s">
        <v>13</v>
      </c>
      <c r="N11" t="s">
        <v>445</v>
      </c>
    </row>
    <row r="12" spans="1:18" x14ac:dyDescent="0.35">
      <c r="A12">
        <v>2016743</v>
      </c>
      <c r="B12" s="3">
        <v>44396</v>
      </c>
      <c r="C12" t="s">
        <v>458</v>
      </c>
      <c r="D12">
        <v>2021</v>
      </c>
      <c r="E12" s="14">
        <v>44378</v>
      </c>
      <c r="F12" t="s">
        <v>197</v>
      </c>
      <c r="G12" t="s">
        <v>754</v>
      </c>
      <c r="H12" t="s">
        <v>198</v>
      </c>
      <c r="I12">
        <v>1769800</v>
      </c>
      <c r="J12">
        <v>1800000</v>
      </c>
      <c r="K12">
        <v>0.98319999999999996</v>
      </c>
      <c r="L12">
        <v>1.0170640750367272</v>
      </c>
      <c r="M12" t="s">
        <v>10</v>
      </c>
      <c r="N12" t="s">
        <v>446</v>
      </c>
    </row>
    <row r="13" spans="1:18" x14ac:dyDescent="0.35">
      <c r="A13">
        <v>200320</v>
      </c>
      <c r="B13" s="3">
        <v>44326</v>
      </c>
      <c r="C13" t="s">
        <v>456</v>
      </c>
      <c r="D13">
        <v>2021</v>
      </c>
      <c r="E13" s="14">
        <v>44317</v>
      </c>
      <c r="F13" t="s">
        <v>69</v>
      </c>
      <c r="G13" t="s">
        <v>760</v>
      </c>
      <c r="H13" t="s">
        <v>71</v>
      </c>
      <c r="I13">
        <v>776230</v>
      </c>
      <c r="J13">
        <v>1525000</v>
      </c>
      <c r="K13">
        <v>0.50900000000000001</v>
      </c>
      <c r="L13">
        <v>1.9646238872499131</v>
      </c>
      <c r="M13" t="s">
        <v>10</v>
      </c>
      <c r="N13" t="s">
        <v>446</v>
      </c>
    </row>
    <row r="14" spans="1:18" x14ac:dyDescent="0.35">
      <c r="A14">
        <v>200377</v>
      </c>
      <c r="B14" s="3">
        <v>44379</v>
      </c>
      <c r="C14" t="s">
        <v>458</v>
      </c>
      <c r="D14">
        <v>2021</v>
      </c>
      <c r="E14" s="14">
        <v>44378</v>
      </c>
      <c r="F14" t="s">
        <v>14</v>
      </c>
      <c r="G14" t="s">
        <v>761</v>
      </c>
      <c r="H14" t="s">
        <v>17</v>
      </c>
      <c r="I14">
        <v>862330</v>
      </c>
      <c r="J14">
        <v>1447500</v>
      </c>
      <c r="K14">
        <v>0.59570000000000001</v>
      </c>
      <c r="L14">
        <v>1.6785917224264493</v>
      </c>
      <c r="M14" t="s">
        <v>13</v>
      </c>
      <c r="N14" t="s">
        <v>446</v>
      </c>
    </row>
    <row r="15" spans="1:18" x14ac:dyDescent="0.35">
      <c r="A15">
        <v>161304</v>
      </c>
      <c r="B15" s="3">
        <v>42901</v>
      </c>
      <c r="C15" t="s">
        <v>454</v>
      </c>
      <c r="D15">
        <v>2017</v>
      </c>
      <c r="E15" s="14">
        <v>42887</v>
      </c>
      <c r="F15" t="s">
        <v>181</v>
      </c>
      <c r="G15" t="s">
        <v>762</v>
      </c>
      <c r="H15" t="s">
        <v>382</v>
      </c>
      <c r="I15">
        <v>91980</v>
      </c>
      <c r="J15">
        <v>1323338</v>
      </c>
      <c r="K15">
        <v>6.9506051999999999E-2</v>
      </c>
      <c r="L15">
        <v>14.387236355729506</v>
      </c>
      <c r="M15" t="s">
        <v>16</v>
      </c>
      <c r="N15" t="s">
        <v>445</v>
      </c>
    </row>
    <row r="16" spans="1:18" x14ac:dyDescent="0.35">
      <c r="A16">
        <v>201494</v>
      </c>
      <c r="B16" s="3">
        <v>44405</v>
      </c>
      <c r="C16" t="s">
        <v>458</v>
      </c>
      <c r="D16">
        <v>2021</v>
      </c>
      <c r="E16" s="14">
        <v>44378</v>
      </c>
      <c r="F16" t="s">
        <v>85</v>
      </c>
      <c r="G16" t="s">
        <v>756</v>
      </c>
      <c r="H16" t="s">
        <v>88</v>
      </c>
      <c r="I16">
        <v>632170</v>
      </c>
      <c r="J16">
        <v>1250000</v>
      </c>
      <c r="K16">
        <v>0.50570000000000004</v>
      </c>
      <c r="L16">
        <v>1.9773162282297483</v>
      </c>
      <c r="M16" t="s">
        <v>13</v>
      </c>
      <c r="N16" t="s">
        <v>446</v>
      </c>
    </row>
    <row r="17" spans="1:14" x14ac:dyDescent="0.35">
      <c r="A17">
        <v>200109</v>
      </c>
      <c r="B17" s="3">
        <v>44174</v>
      </c>
      <c r="C17" t="s">
        <v>450</v>
      </c>
      <c r="D17">
        <v>2020</v>
      </c>
      <c r="E17" s="14">
        <v>44166</v>
      </c>
      <c r="F17" t="s">
        <v>14</v>
      </c>
      <c r="G17" t="s">
        <v>761</v>
      </c>
      <c r="H17" t="s">
        <v>18</v>
      </c>
      <c r="I17">
        <v>847520</v>
      </c>
      <c r="J17">
        <v>1250000</v>
      </c>
      <c r="K17">
        <v>0.67800000000000005</v>
      </c>
      <c r="L17">
        <v>1.474891447989428</v>
      </c>
      <c r="M17" t="s">
        <v>13</v>
      </c>
      <c r="N17" t="s">
        <v>446</v>
      </c>
    </row>
    <row r="18" spans="1:14" x14ac:dyDescent="0.35">
      <c r="A18">
        <v>200020</v>
      </c>
      <c r="B18" s="3">
        <v>44110</v>
      </c>
      <c r="C18" t="s">
        <v>469</v>
      </c>
      <c r="D18">
        <v>2020</v>
      </c>
      <c r="E18" s="14">
        <v>44105</v>
      </c>
      <c r="F18" t="s">
        <v>92</v>
      </c>
      <c r="G18" t="s">
        <v>756</v>
      </c>
      <c r="H18" t="s">
        <v>95</v>
      </c>
      <c r="I18">
        <v>654570</v>
      </c>
      <c r="J18">
        <v>990000</v>
      </c>
      <c r="K18">
        <v>0.66118181799999998</v>
      </c>
      <c r="L18">
        <v>1.5124432833768733</v>
      </c>
      <c r="M18" t="s">
        <v>13</v>
      </c>
      <c r="N18" t="s">
        <v>446</v>
      </c>
    </row>
    <row r="19" spans="1:14" x14ac:dyDescent="0.35">
      <c r="A19">
        <v>2001101</v>
      </c>
      <c r="B19" s="3">
        <v>44259</v>
      </c>
      <c r="C19" t="s">
        <v>471</v>
      </c>
      <c r="D19">
        <v>2021</v>
      </c>
      <c r="E19" s="14">
        <v>44256</v>
      </c>
      <c r="F19" t="s">
        <v>181</v>
      </c>
      <c r="G19" t="s">
        <v>762</v>
      </c>
      <c r="H19" t="s">
        <v>223</v>
      </c>
      <c r="I19">
        <v>599810</v>
      </c>
      <c r="J19">
        <v>950000</v>
      </c>
      <c r="K19">
        <v>0.63129999999999997</v>
      </c>
      <c r="L19">
        <v>1.5838348810456644</v>
      </c>
      <c r="M19" t="s">
        <v>13</v>
      </c>
      <c r="N19" t="s">
        <v>446</v>
      </c>
    </row>
    <row r="20" spans="1:14" x14ac:dyDescent="0.35">
      <c r="A20">
        <v>200427</v>
      </c>
      <c r="B20" s="3">
        <v>44232</v>
      </c>
      <c r="C20" t="s">
        <v>460</v>
      </c>
      <c r="D20">
        <v>2021</v>
      </c>
      <c r="E20" s="14">
        <v>44228</v>
      </c>
      <c r="F20" t="s">
        <v>133</v>
      </c>
      <c r="G20" t="s">
        <v>757</v>
      </c>
      <c r="H20" t="s">
        <v>177</v>
      </c>
      <c r="I20">
        <v>587600</v>
      </c>
      <c r="J20">
        <v>939000</v>
      </c>
      <c r="K20">
        <v>0.62570000000000003</v>
      </c>
      <c r="L20">
        <v>1.5980258679373724</v>
      </c>
      <c r="M20" t="s">
        <v>10</v>
      </c>
      <c r="N20" t="s">
        <v>446</v>
      </c>
    </row>
    <row r="21" spans="1:14" x14ac:dyDescent="0.35">
      <c r="A21">
        <v>2001570</v>
      </c>
      <c r="B21" s="3">
        <v>44330</v>
      </c>
      <c r="C21" t="s">
        <v>456</v>
      </c>
      <c r="D21">
        <v>2021</v>
      </c>
      <c r="E21" s="14">
        <v>44317</v>
      </c>
      <c r="F21" t="s">
        <v>181</v>
      </c>
      <c r="G21" t="s">
        <v>762</v>
      </c>
      <c r="H21" t="s">
        <v>227</v>
      </c>
      <c r="I21">
        <v>486230</v>
      </c>
      <c r="J21">
        <v>930000</v>
      </c>
      <c r="K21">
        <v>0.52280000000000004</v>
      </c>
      <c r="L21">
        <v>1.9126750714682352</v>
      </c>
      <c r="M21" t="s">
        <v>10</v>
      </c>
      <c r="N21" t="s">
        <v>446</v>
      </c>
    </row>
    <row r="22" spans="1:14" x14ac:dyDescent="0.35">
      <c r="A22">
        <v>20771</v>
      </c>
      <c r="B22" s="3">
        <v>44455</v>
      </c>
      <c r="C22" t="s">
        <v>473</v>
      </c>
      <c r="D22">
        <v>2021</v>
      </c>
      <c r="E22" s="14">
        <v>44440</v>
      </c>
      <c r="F22" t="s">
        <v>166</v>
      </c>
      <c r="G22" t="s">
        <v>757</v>
      </c>
      <c r="H22" t="s">
        <v>169</v>
      </c>
      <c r="I22">
        <v>451770</v>
      </c>
      <c r="J22">
        <v>910000</v>
      </c>
      <c r="K22">
        <v>0.49645054900000002</v>
      </c>
      <c r="L22">
        <v>2.0142993115966088</v>
      </c>
      <c r="M22" t="s">
        <v>13</v>
      </c>
      <c r="N22" t="s">
        <v>445</v>
      </c>
    </row>
    <row r="23" spans="1:14" x14ac:dyDescent="0.35">
      <c r="A23">
        <v>200627</v>
      </c>
      <c r="B23" s="3">
        <v>44397</v>
      </c>
      <c r="C23" t="s">
        <v>458</v>
      </c>
      <c r="D23">
        <v>2021</v>
      </c>
      <c r="E23" s="14">
        <v>44378</v>
      </c>
      <c r="F23" t="s">
        <v>252</v>
      </c>
      <c r="G23" t="s">
        <v>763</v>
      </c>
      <c r="H23" t="s">
        <v>255</v>
      </c>
      <c r="I23">
        <v>475160</v>
      </c>
      <c r="J23">
        <v>905000</v>
      </c>
      <c r="K23">
        <v>0.52500000000000002</v>
      </c>
      <c r="L23">
        <v>1.9046216011448776</v>
      </c>
      <c r="M23" t="s">
        <v>13</v>
      </c>
      <c r="N23" t="s">
        <v>446</v>
      </c>
    </row>
    <row r="24" spans="1:14" x14ac:dyDescent="0.35">
      <c r="A24">
        <v>200243</v>
      </c>
      <c r="B24" s="3">
        <v>44299</v>
      </c>
      <c r="C24" t="s">
        <v>452</v>
      </c>
      <c r="D24">
        <v>2021</v>
      </c>
      <c r="E24" s="14">
        <v>44287</v>
      </c>
      <c r="F24" t="s">
        <v>14</v>
      </c>
      <c r="G24" t="s">
        <v>761</v>
      </c>
      <c r="H24" t="s">
        <v>410</v>
      </c>
      <c r="I24">
        <v>619290</v>
      </c>
      <c r="J24">
        <v>890000</v>
      </c>
      <c r="K24">
        <v>0.69579999999999997</v>
      </c>
      <c r="L24">
        <v>1.4371296161733598</v>
      </c>
      <c r="M24" t="s">
        <v>13</v>
      </c>
      <c r="N24" t="s">
        <v>446</v>
      </c>
    </row>
    <row r="25" spans="1:14" x14ac:dyDescent="0.35">
      <c r="A25">
        <v>20129</v>
      </c>
      <c r="B25" s="3">
        <v>44285</v>
      </c>
      <c r="C25" t="s">
        <v>471</v>
      </c>
      <c r="D25">
        <v>2021</v>
      </c>
      <c r="E25" s="14">
        <v>44256</v>
      </c>
      <c r="F25" t="s">
        <v>64</v>
      </c>
      <c r="G25" t="s">
        <v>758</v>
      </c>
      <c r="H25" t="s">
        <v>65</v>
      </c>
      <c r="I25">
        <v>351260</v>
      </c>
      <c r="J25">
        <v>873000</v>
      </c>
      <c r="K25">
        <v>0.40229999999999999</v>
      </c>
      <c r="L25">
        <v>2.4853384957011899</v>
      </c>
      <c r="M25" t="s">
        <v>10</v>
      </c>
      <c r="N25" t="s">
        <v>445</v>
      </c>
    </row>
    <row r="26" spans="1:14" x14ac:dyDescent="0.35">
      <c r="A26">
        <v>201207</v>
      </c>
      <c r="B26" s="3">
        <v>44398</v>
      </c>
      <c r="C26" t="s">
        <v>458</v>
      </c>
      <c r="D26">
        <v>2021</v>
      </c>
      <c r="E26" s="14">
        <v>44378</v>
      </c>
      <c r="F26" t="s">
        <v>159</v>
      </c>
      <c r="G26" t="s">
        <v>757</v>
      </c>
      <c r="H26" t="s">
        <v>162</v>
      </c>
      <c r="I26">
        <v>368130</v>
      </c>
      <c r="J26">
        <v>850000</v>
      </c>
      <c r="K26">
        <v>0.433</v>
      </c>
      <c r="L26">
        <v>2.3089669410262679</v>
      </c>
      <c r="M26" t="s">
        <v>13</v>
      </c>
      <c r="N26" t="s">
        <v>445</v>
      </c>
    </row>
    <row r="27" spans="1:14" x14ac:dyDescent="0.35">
      <c r="A27">
        <v>2000344</v>
      </c>
      <c r="B27" s="3">
        <v>44145</v>
      </c>
      <c r="C27" t="s">
        <v>475</v>
      </c>
      <c r="D27">
        <v>2020</v>
      </c>
      <c r="E27" s="14">
        <v>44136</v>
      </c>
      <c r="F27" t="s">
        <v>181</v>
      </c>
      <c r="G27" t="s">
        <v>762</v>
      </c>
      <c r="H27" t="s">
        <v>232</v>
      </c>
      <c r="I27">
        <v>539700</v>
      </c>
      <c r="J27">
        <v>850000</v>
      </c>
      <c r="K27">
        <v>0.63490000000000002</v>
      </c>
      <c r="L27">
        <v>1.5749490457661663</v>
      </c>
      <c r="M27" t="s">
        <v>13</v>
      </c>
      <c r="N27" t="s">
        <v>446</v>
      </c>
    </row>
    <row r="28" spans="1:14" x14ac:dyDescent="0.35">
      <c r="A28">
        <v>200338</v>
      </c>
      <c r="B28" s="3">
        <v>44309</v>
      </c>
      <c r="C28" t="s">
        <v>452</v>
      </c>
      <c r="D28">
        <v>2021</v>
      </c>
      <c r="E28" s="14">
        <v>44287</v>
      </c>
      <c r="F28" t="s">
        <v>152</v>
      </c>
      <c r="G28" t="s">
        <v>757</v>
      </c>
      <c r="H28" t="s">
        <v>153</v>
      </c>
      <c r="I28">
        <v>620760</v>
      </c>
      <c r="J28">
        <v>850000</v>
      </c>
      <c r="K28">
        <v>0.73029999999999995</v>
      </c>
      <c r="L28">
        <v>1.3692892583285006</v>
      </c>
      <c r="M28" t="s">
        <v>13</v>
      </c>
      <c r="N28" t="s">
        <v>446</v>
      </c>
    </row>
    <row r="29" spans="1:14" x14ac:dyDescent="0.35">
      <c r="A29">
        <v>202000106</v>
      </c>
      <c r="B29" s="3">
        <v>44224</v>
      </c>
      <c r="C29" t="s">
        <v>464</v>
      </c>
      <c r="D29">
        <v>2021</v>
      </c>
      <c r="E29" s="14">
        <v>44197</v>
      </c>
      <c r="F29" t="s">
        <v>193</v>
      </c>
      <c r="G29" t="s">
        <v>764</v>
      </c>
      <c r="H29" t="s">
        <v>194</v>
      </c>
      <c r="I29">
        <v>596470</v>
      </c>
      <c r="J29">
        <v>833111</v>
      </c>
      <c r="K29">
        <v>0.71589999999999998</v>
      </c>
      <c r="L29">
        <v>1.3967357955974316</v>
      </c>
      <c r="M29" t="s">
        <v>10</v>
      </c>
      <c r="N29" t="s">
        <v>446</v>
      </c>
    </row>
    <row r="30" spans="1:14" x14ac:dyDescent="0.35">
      <c r="A30">
        <v>2001250</v>
      </c>
      <c r="B30" s="3">
        <v>44280</v>
      </c>
      <c r="C30" t="s">
        <v>471</v>
      </c>
      <c r="D30">
        <v>2021</v>
      </c>
      <c r="E30" s="14">
        <v>44256</v>
      </c>
      <c r="F30" t="s">
        <v>181</v>
      </c>
      <c r="G30" t="s">
        <v>762</v>
      </c>
      <c r="H30" t="s">
        <v>224</v>
      </c>
      <c r="I30">
        <v>403190</v>
      </c>
      <c r="J30">
        <v>810000</v>
      </c>
      <c r="K30">
        <v>0.49769999999999998</v>
      </c>
      <c r="L30">
        <v>2.0089783972816786</v>
      </c>
      <c r="M30" t="s">
        <v>13</v>
      </c>
      <c r="N30" t="s">
        <v>445</v>
      </c>
    </row>
    <row r="31" spans="1:14" x14ac:dyDescent="0.35">
      <c r="A31">
        <v>201027</v>
      </c>
      <c r="B31" s="3">
        <v>44396</v>
      </c>
      <c r="C31" t="s">
        <v>458</v>
      </c>
      <c r="D31">
        <v>2021</v>
      </c>
      <c r="E31" s="14">
        <v>44378</v>
      </c>
      <c r="F31" t="s">
        <v>117</v>
      </c>
      <c r="G31" t="s">
        <v>765</v>
      </c>
      <c r="H31" t="s">
        <v>121</v>
      </c>
      <c r="I31">
        <v>517700</v>
      </c>
      <c r="J31">
        <v>800000</v>
      </c>
      <c r="K31">
        <v>0.64710000000000001</v>
      </c>
      <c r="L31">
        <v>1.5452965037666602</v>
      </c>
      <c r="M31" t="s">
        <v>10</v>
      </c>
      <c r="N31" t="s">
        <v>446</v>
      </c>
    </row>
    <row r="32" spans="1:14" x14ac:dyDescent="0.35">
      <c r="A32">
        <v>2002453</v>
      </c>
      <c r="B32" s="3">
        <v>44435</v>
      </c>
      <c r="C32" t="s">
        <v>462</v>
      </c>
      <c r="D32">
        <v>2021</v>
      </c>
      <c r="E32" s="14">
        <v>44409</v>
      </c>
      <c r="F32" t="s">
        <v>181</v>
      </c>
      <c r="G32" t="s">
        <v>762</v>
      </c>
      <c r="H32" t="s">
        <v>233</v>
      </c>
      <c r="I32">
        <v>596290</v>
      </c>
      <c r="J32">
        <v>800000</v>
      </c>
      <c r="K32">
        <v>0.74529999999999996</v>
      </c>
      <c r="L32">
        <v>1.3416290731020142</v>
      </c>
      <c r="M32" t="s">
        <v>10</v>
      </c>
      <c r="N32" t="s">
        <v>446</v>
      </c>
    </row>
    <row r="33" spans="1:14" x14ac:dyDescent="0.35">
      <c r="A33">
        <v>200097</v>
      </c>
      <c r="B33" s="3">
        <v>44351</v>
      </c>
      <c r="C33" t="s">
        <v>454</v>
      </c>
      <c r="D33">
        <v>2021</v>
      </c>
      <c r="E33" s="14">
        <v>44348</v>
      </c>
      <c r="F33" t="s">
        <v>21</v>
      </c>
      <c r="G33" t="s">
        <v>766</v>
      </c>
      <c r="H33" t="s">
        <v>22</v>
      </c>
      <c r="I33">
        <v>511000</v>
      </c>
      <c r="J33">
        <v>795000</v>
      </c>
      <c r="K33">
        <v>0.64270000000000005</v>
      </c>
      <c r="L33">
        <v>1.5557729941291585</v>
      </c>
      <c r="M33" t="s">
        <v>10</v>
      </c>
      <c r="N33" t="s">
        <v>446</v>
      </c>
    </row>
    <row r="34" spans="1:14" x14ac:dyDescent="0.35">
      <c r="A34">
        <v>2002537</v>
      </c>
      <c r="B34" s="3">
        <v>44446</v>
      </c>
      <c r="C34" t="s">
        <v>473</v>
      </c>
      <c r="D34">
        <v>2021</v>
      </c>
      <c r="E34" s="14">
        <v>44440</v>
      </c>
      <c r="F34" t="s">
        <v>181</v>
      </c>
      <c r="G34" t="s">
        <v>762</v>
      </c>
      <c r="H34" t="s">
        <v>229</v>
      </c>
      <c r="I34">
        <v>441560</v>
      </c>
      <c r="J34">
        <v>785000</v>
      </c>
      <c r="K34">
        <v>0.56240000000000001</v>
      </c>
      <c r="L34">
        <v>1.7777878431017302</v>
      </c>
      <c r="M34" t="s">
        <v>13</v>
      </c>
      <c r="N34" t="s">
        <v>446</v>
      </c>
    </row>
    <row r="35" spans="1:14" x14ac:dyDescent="0.35">
      <c r="A35">
        <v>20274</v>
      </c>
      <c r="B35" s="3">
        <v>44204</v>
      </c>
      <c r="C35" t="s">
        <v>464</v>
      </c>
      <c r="D35">
        <v>2021</v>
      </c>
      <c r="E35" s="14">
        <v>44197</v>
      </c>
      <c r="F35" t="s">
        <v>166</v>
      </c>
      <c r="G35" t="s">
        <v>757</v>
      </c>
      <c r="H35" t="s">
        <v>167</v>
      </c>
      <c r="I35">
        <v>419590</v>
      </c>
      <c r="J35">
        <v>779000</v>
      </c>
      <c r="K35">
        <v>0.53859999999999997</v>
      </c>
      <c r="L35">
        <v>1.8565742748873901</v>
      </c>
      <c r="M35" t="s">
        <v>13</v>
      </c>
      <c r="N35" t="s">
        <v>446</v>
      </c>
    </row>
    <row r="36" spans="1:14" x14ac:dyDescent="0.35">
      <c r="A36">
        <v>2000120</v>
      </c>
      <c r="B36" s="3">
        <v>44120</v>
      </c>
      <c r="C36" t="s">
        <v>469</v>
      </c>
      <c r="D36">
        <v>2020</v>
      </c>
      <c r="E36" s="14">
        <v>44105</v>
      </c>
      <c r="F36" t="s">
        <v>181</v>
      </c>
      <c r="G36" t="s">
        <v>762</v>
      </c>
      <c r="H36" t="s">
        <v>230</v>
      </c>
      <c r="I36">
        <v>497000</v>
      </c>
      <c r="J36">
        <v>755000</v>
      </c>
      <c r="K36">
        <v>0.65820000000000001</v>
      </c>
      <c r="L36">
        <v>1.5191146881287727</v>
      </c>
      <c r="M36" t="s">
        <v>13</v>
      </c>
      <c r="N36" t="s">
        <v>446</v>
      </c>
    </row>
    <row r="37" spans="1:14" x14ac:dyDescent="0.35">
      <c r="A37">
        <v>200098</v>
      </c>
      <c r="B37" s="3">
        <v>44141</v>
      </c>
      <c r="C37" t="s">
        <v>475</v>
      </c>
      <c r="D37">
        <v>2020</v>
      </c>
      <c r="E37" s="14">
        <v>44136</v>
      </c>
      <c r="F37" t="s">
        <v>92</v>
      </c>
      <c r="G37" t="s">
        <v>756</v>
      </c>
      <c r="H37" t="s">
        <v>424</v>
      </c>
      <c r="I37">
        <v>354550</v>
      </c>
      <c r="J37">
        <v>742500</v>
      </c>
      <c r="K37">
        <v>0.47749999999999998</v>
      </c>
      <c r="L37">
        <v>2.094203920462558</v>
      </c>
      <c r="M37" t="s">
        <v>13</v>
      </c>
      <c r="N37" t="s">
        <v>445</v>
      </c>
    </row>
    <row r="38" spans="1:14" x14ac:dyDescent="0.35">
      <c r="A38">
        <v>201328</v>
      </c>
      <c r="B38" s="3">
        <v>44414</v>
      </c>
      <c r="C38" t="s">
        <v>462</v>
      </c>
      <c r="D38">
        <v>2021</v>
      </c>
      <c r="E38" s="14">
        <v>44409</v>
      </c>
      <c r="F38" t="s">
        <v>54</v>
      </c>
      <c r="G38" t="s">
        <v>755</v>
      </c>
      <c r="H38" t="s">
        <v>55</v>
      </c>
      <c r="I38">
        <v>410670</v>
      </c>
      <c r="J38">
        <v>740000</v>
      </c>
      <c r="K38">
        <v>0.55489999999999995</v>
      </c>
      <c r="L38">
        <v>1.8019334258650499</v>
      </c>
      <c r="M38" t="s">
        <v>13</v>
      </c>
      <c r="N38" t="s">
        <v>446</v>
      </c>
    </row>
    <row r="39" spans="1:14" x14ac:dyDescent="0.35">
      <c r="A39">
        <v>200170</v>
      </c>
      <c r="B39" s="3">
        <v>44361</v>
      </c>
      <c r="C39" t="s">
        <v>454</v>
      </c>
      <c r="D39">
        <v>2021</v>
      </c>
      <c r="E39" s="14">
        <v>44348</v>
      </c>
      <c r="F39" t="s">
        <v>271</v>
      </c>
      <c r="G39" t="s">
        <v>759</v>
      </c>
      <c r="H39" t="s">
        <v>272</v>
      </c>
      <c r="I39">
        <v>271120</v>
      </c>
      <c r="J39">
        <v>725000</v>
      </c>
      <c r="K39">
        <v>0.37390000000000001</v>
      </c>
      <c r="L39">
        <v>2.6740926526999114</v>
      </c>
      <c r="M39" t="s">
        <v>13</v>
      </c>
      <c r="N39" t="s">
        <v>445</v>
      </c>
    </row>
    <row r="40" spans="1:14" x14ac:dyDescent="0.35">
      <c r="A40">
        <v>20458</v>
      </c>
      <c r="B40" s="3">
        <v>44365</v>
      </c>
      <c r="C40" t="s">
        <v>454</v>
      </c>
      <c r="D40">
        <v>2021</v>
      </c>
      <c r="E40" s="14">
        <v>44348</v>
      </c>
      <c r="F40" t="s">
        <v>268</v>
      </c>
      <c r="G40" t="s">
        <v>759</v>
      </c>
      <c r="H40" t="s">
        <v>269</v>
      </c>
      <c r="I40">
        <v>271240</v>
      </c>
      <c r="J40">
        <v>710000</v>
      </c>
      <c r="K40">
        <v>0.38200000000000001</v>
      </c>
      <c r="L40">
        <v>2.6176080224155731</v>
      </c>
      <c r="M40" t="s">
        <v>13</v>
      </c>
      <c r="N40" t="s">
        <v>445</v>
      </c>
    </row>
    <row r="41" spans="1:14" x14ac:dyDescent="0.35">
      <c r="A41">
        <v>200421</v>
      </c>
      <c r="B41" s="3">
        <v>44189</v>
      </c>
      <c r="C41" t="s">
        <v>450</v>
      </c>
      <c r="D41">
        <v>2020</v>
      </c>
      <c r="E41" s="14">
        <v>44166</v>
      </c>
      <c r="F41" t="s">
        <v>85</v>
      </c>
      <c r="G41" t="s">
        <v>756</v>
      </c>
      <c r="H41" t="s">
        <v>89</v>
      </c>
      <c r="I41">
        <v>288190</v>
      </c>
      <c r="J41">
        <v>705000</v>
      </c>
      <c r="K41">
        <v>0.40870000000000001</v>
      </c>
      <c r="L41">
        <v>2.4463027863562234</v>
      </c>
      <c r="M41" t="s">
        <v>13</v>
      </c>
      <c r="N41" t="s">
        <v>445</v>
      </c>
    </row>
    <row r="42" spans="1:14" x14ac:dyDescent="0.35">
      <c r="A42">
        <v>200258</v>
      </c>
      <c r="B42" s="3">
        <v>44218</v>
      </c>
      <c r="C42" t="s">
        <v>464</v>
      </c>
      <c r="D42">
        <v>2021</v>
      </c>
      <c r="E42" s="14">
        <v>44197</v>
      </c>
      <c r="F42" t="s">
        <v>29</v>
      </c>
      <c r="G42" t="s">
        <v>766</v>
      </c>
      <c r="H42" t="s">
        <v>30</v>
      </c>
      <c r="I42">
        <v>530500</v>
      </c>
      <c r="J42">
        <v>700000</v>
      </c>
      <c r="K42">
        <v>0.75780000000000003</v>
      </c>
      <c r="L42">
        <v>1.3195098963242224</v>
      </c>
      <c r="M42" t="s">
        <v>13</v>
      </c>
      <c r="N42" t="s">
        <v>446</v>
      </c>
    </row>
    <row r="43" spans="1:14" x14ac:dyDescent="0.35">
      <c r="A43">
        <v>2020313</v>
      </c>
      <c r="B43" s="3">
        <v>44378</v>
      </c>
      <c r="C43" t="s">
        <v>458</v>
      </c>
      <c r="D43">
        <v>2021</v>
      </c>
      <c r="E43" s="14">
        <v>44378</v>
      </c>
      <c r="F43" t="s">
        <v>19</v>
      </c>
      <c r="G43" t="s">
        <v>766</v>
      </c>
      <c r="H43" t="s">
        <v>411</v>
      </c>
      <c r="I43">
        <v>412000</v>
      </c>
      <c r="J43">
        <v>677500</v>
      </c>
      <c r="K43">
        <v>0.60809999999999997</v>
      </c>
      <c r="L43">
        <v>1.6444174757281553</v>
      </c>
      <c r="M43" t="s">
        <v>13</v>
      </c>
      <c r="N43" t="s">
        <v>446</v>
      </c>
    </row>
    <row r="44" spans="1:14" x14ac:dyDescent="0.35">
      <c r="A44">
        <v>2001286</v>
      </c>
      <c r="B44" s="3">
        <v>44285</v>
      </c>
      <c r="C44" t="s">
        <v>471</v>
      </c>
      <c r="D44">
        <v>2021</v>
      </c>
      <c r="E44" s="14">
        <v>44256</v>
      </c>
      <c r="F44" t="s">
        <v>181</v>
      </c>
      <c r="G44" t="s">
        <v>762</v>
      </c>
      <c r="H44" t="s">
        <v>225</v>
      </c>
      <c r="I44">
        <v>438860</v>
      </c>
      <c r="J44">
        <v>652000</v>
      </c>
      <c r="K44">
        <v>0.67300000000000004</v>
      </c>
      <c r="L44">
        <v>1.4856674110194594</v>
      </c>
      <c r="M44" t="s">
        <v>13</v>
      </c>
      <c r="N44" t="s">
        <v>446</v>
      </c>
    </row>
    <row r="45" spans="1:14" x14ac:dyDescent="0.35">
      <c r="A45">
        <v>200639</v>
      </c>
      <c r="B45" s="3">
        <v>44405</v>
      </c>
      <c r="C45" t="s">
        <v>458</v>
      </c>
      <c r="D45">
        <v>2021</v>
      </c>
      <c r="E45" s="14">
        <v>44378</v>
      </c>
      <c r="F45" t="s">
        <v>92</v>
      </c>
      <c r="G45" t="s">
        <v>756</v>
      </c>
      <c r="H45" t="s">
        <v>94</v>
      </c>
      <c r="I45">
        <v>259770</v>
      </c>
      <c r="J45">
        <v>650000</v>
      </c>
      <c r="K45">
        <v>0.39964615399999998</v>
      </c>
      <c r="L45">
        <v>2.5022134965546443</v>
      </c>
      <c r="M45" t="s">
        <v>13</v>
      </c>
      <c r="N45" t="s">
        <v>445</v>
      </c>
    </row>
    <row r="46" spans="1:14" x14ac:dyDescent="0.35">
      <c r="A46">
        <v>20200578</v>
      </c>
      <c r="B46" s="3">
        <v>44244</v>
      </c>
      <c r="C46" t="s">
        <v>460</v>
      </c>
      <c r="D46">
        <v>2021</v>
      </c>
      <c r="E46" s="14">
        <v>44228</v>
      </c>
      <c r="F46" t="s">
        <v>129</v>
      </c>
      <c r="G46" t="s">
        <v>762</v>
      </c>
      <c r="H46" t="s">
        <v>238</v>
      </c>
      <c r="I46">
        <v>429800</v>
      </c>
      <c r="J46">
        <v>650000</v>
      </c>
      <c r="K46">
        <v>0.66120000000000001</v>
      </c>
      <c r="L46">
        <v>1.5123313168915775</v>
      </c>
      <c r="M46" t="s">
        <v>10</v>
      </c>
      <c r="N46" t="s">
        <v>446</v>
      </c>
    </row>
    <row r="47" spans="1:14" x14ac:dyDescent="0.35">
      <c r="A47">
        <v>200804</v>
      </c>
      <c r="B47" s="3">
        <v>44467</v>
      </c>
      <c r="C47" t="s">
        <v>473</v>
      </c>
      <c r="D47">
        <v>2021</v>
      </c>
      <c r="E47" s="14">
        <v>44440</v>
      </c>
      <c r="F47" t="s">
        <v>29</v>
      </c>
      <c r="G47" t="s">
        <v>766</v>
      </c>
      <c r="H47" t="s">
        <v>31</v>
      </c>
      <c r="I47">
        <v>455100</v>
      </c>
      <c r="J47">
        <v>650000</v>
      </c>
      <c r="K47">
        <v>0.70009999999999994</v>
      </c>
      <c r="L47">
        <v>1.4282575258185015</v>
      </c>
      <c r="M47" t="s">
        <v>10</v>
      </c>
      <c r="N47" t="s">
        <v>446</v>
      </c>
    </row>
    <row r="48" spans="1:14" x14ac:dyDescent="0.35">
      <c r="A48">
        <v>200043</v>
      </c>
      <c r="B48" s="3">
        <v>44174</v>
      </c>
      <c r="C48" t="s">
        <v>450</v>
      </c>
      <c r="D48">
        <v>2020</v>
      </c>
      <c r="E48" s="14">
        <v>44166</v>
      </c>
      <c r="F48" t="s">
        <v>111</v>
      </c>
      <c r="G48" t="s">
        <v>767</v>
      </c>
      <c r="H48" t="s">
        <v>112</v>
      </c>
      <c r="I48">
        <v>354040</v>
      </c>
      <c r="J48">
        <v>645000</v>
      </c>
      <c r="K48">
        <v>0.54879999999999995</v>
      </c>
      <c r="L48">
        <v>1.8218280420291493</v>
      </c>
      <c r="M48" t="s">
        <v>13</v>
      </c>
      <c r="N48" t="s">
        <v>446</v>
      </c>
    </row>
    <row r="49" spans="1:14" x14ac:dyDescent="0.35">
      <c r="A49">
        <v>200042</v>
      </c>
      <c r="B49" s="3">
        <v>44335</v>
      </c>
      <c r="C49" t="s">
        <v>456</v>
      </c>
      <c r="D49">
        <v>2021</v>
      </c>
      <c r="E49" s="14">
        <v>44317</v>
      </c>
      <c r="F49" t="s">
        <v>413</v>
      </c>
      <c r="G49" t="s">
        <v>755</v>
      </c>
      <c r="H49" t="s">
        <v>40</v>
      </c>
      <c r="I49">
        <v>355800</v>
      </c>
      <c r="J49">
        <v>599000</v>
      </c>
      <c r="K49">
        <v>0.59389999999999998</v>
      </c>
      <c r="L49">
        <v>1.6835300730747611</v>
      </c>
      <c r="M49" t="s">
        <v>13</v>
      </c>
      <c r="N49" t="s">
        <v>446</v>
      </c>
    </row>
    <row r="50" spans="1:14" x14ac:dyDescent="0.35">
      <c r="A50">
        <v>70101</v>
      </c>
      <c r="B50" s="3">
        <v>39510</v>
      </c>
      <c r="C50" t="s">
        <v>471</v>
      </c>
      <c r="D50">
        <v>2008</v>
      </c>
      <c r="E50" s="14">
        <v>39508</v>
      </c>
      <c r="F50" t="s">
        <v>136</v>
      </c>
      <c r="G50" t="s">
        <v>765</v>
      </c>
      <c r="H50" t="s">
        <v>300</v>
      </c>
      <c r="I50">
        <v>342230</v>
      </c>
      <c r="J50">
        <v>575000</v>
      </c>
      <c r="K50">
        <v>0.59518260899999997</v>
      </c>
      <c r="L50">
        <v>1.6801566198170821</v>
      </c>
      <c r="M50" t="s">
        <v>16</v>
      </c>
      <c r="N50" t="s">
        <v>446</v>
      </c>
    </row>
    <row r="51" spans="1:14" x14ac:dyDescent="0.35">
      <c r="A51">
        <v>200002</v>
      </c>
      <c r="B51" s="3">
        <v>44105</v>
      </c>
      <c r="C51" t="s">
        <v>469</v>
      </c>
      <c r="D51">
        <v>2020</v>
      </c>
      <c r="E51" s="14">
        <v>44105</v>
      </c>
      <c r="F51" t="s">
        <v>130</v>
      </c>
      <c r="G51" t="s">
        <v>754</v>
      </c>
      <c r="H51" t="s">
        <v>203</v>
      </c>
      <c r="I51">
        <v>439290</v>
      </c>
      <c r="J51">
        <v>575000</v>
      </c>
      <c r="K51">
        <v>0.76398260900000003</v>
      </c>
      <c r="L51">
        <v>1.3089303193789978</v>
      </c>
      <c r="M51" t="s">
        <v>13</v>
      </c>
      <c r="N51" t="s">
        <v>446</v>
      </c>
    </row>
    <row r="52" spans="1:14" x14ac:dyDescent="0.35">
      <c r="A52">
        <v>160178</v>
      </c>
      <c r="B52" s="3">
        <v>42900</v>
      </c>
      <c r="C52" t="s">
        <v>454</v>
      </c>
      <c r="D52">
        <v>2017</v>
      </c>
      <c r="E52" s="14">
        <v>42887</v>
      </c>
      <c r="F52" t="s">
        <v>341</v>
      </c>
      <c r="G52" t="s">
        <v>768</v>
      </c>
      <c r="H52" t="s">
        <v>398</v>
      </c>
      <c r="I52">
        <v>363600</v>
      </c>
      <c r="J52">
        <v>572500</v>
      </c>
      <c r="K52">
        <v>0.63510917</v>
      </c>
      <c r="L52">
        <v>1.5745324532453244</v>
      </c>
      <c r="M52" t="s">
        <v>16</v>
      </c>
      <c r="N52" t="s">
        <v>446</v>
      </c>
    </row>
    <row r="53" spans="1:14" x14ac:dyDescent="0.35">
      <c r="A53">
        <v>20249</v>
      </c>
      <c r="B53" s="3">
        <v>44469</v>
      </c>
      <c r="C53" t="s">
        <v>473</v>
      </c>
      <c r="D53">
        <v>2021</v>
      </c>
      <c r="E53" s="14">
        <v>44440</v>
      </c>
      <c r="F53" t="s">
        <v>151</v>
      </c>
      <c r="G53" t="s">
        <v>768</v>
      </c>
      <c r="H53" t="s">
        <v>183</v>
      </c>
      <c r="I53">
        <v>297700</v>
      </c>
      <c r="J53">
        <v>550000</v>
      </c>
      <c r="K53">
        <v>0.54120000000000001</v>
      </c>
      <c r="L53">
        <v>1.8474974806852535</v>
      </c>
      <c r="M53" t="s">
        <v>13</v>
      </c>
      <c r="N53" t="s">
        <v>446</v>
      </c>
    </row>
    <row r="54" spans="1:14" x14ac:dyDescent="0.35">
      <c r="A54">
        <v>200742</v>
      </c>
      <c r="B54" s="3">
        <v>44284</v>
      </c>
      <c r="C54" t="s">
        <v>471</v>
      </c>
      <c r="D54">
        <v>2021</v>
      </c>
      <c r="E54" s="14">
        <v>44256</v>
      </c>
      <c r="F54" t="s">
        <v>56</v>
      </c>
      <c r="G54" t="s">
        <v>758</v>
      </c>
      <c r="H54" t="s">
        <v>57</v>
      </c>
      <c r="I54">
        <v>339100</v>
      </c>
      <c r="J54">
        <v>550000</v>
      </c>
      <c r="K54">
        <v>0.61650000000000005</v>
      </c>
      <c r="L54">
        <v>1.6219404305514598</v>
      </c>
      <c r="M54" t="s">
        <v>13</v>
      </c>
      <c r="N54" t="s">
        <v>446</v>
      </c>
    </row>
    <row r="55" spans="1:14" x14ac:dyDescent="0.35">
      <c r="A55">
        <v>200151</v>
      </c>
      <c r="B55" s="3">
        <v>44179</v>
      </c>
      <c r="C55" t="s">
        <v>450</v>
      </c>
      <c r="D55">
        <v>2020</v>
      </c>
      <c r="E55" s="14">
        <v>44166</v>
      </c>
      <c r="F55" t="s">
        <v>68</v>
      </c>
      <c r="G55" t="s">
        <v>769</v>
      </c>
      <c r="H55" t="s">
        <v>79</v>
      </c>
      <c r="I55">
        <v>356410</v>
      </c>
      <c r="J55">
        <v>550000</v>
      </c>
      <c r="K55">
        <v>0.64800000000000002</v>
      </c>
      <c r="L55">
        <v>1.543166577817682</v>
      </c>
      <c r="M55" t="s">
        <v>13</v>
      </c>
      <c r="N55" t="s">
        <v>446</v>
      </c>
    </row>
    <row r="56" spans="1:14" x14ac:dyDescent="0.35">
      <c r="A56">
        <v>70561</v>
      </c>
      <c r="B56" s="3">
        <v>39702</v>
      </c>
      <c r="C56" t="s">
        <v>473</v>
      </c>
      <c r="D56">
        <v>2008</v>
      </c>
      <c r="E56" s="14">
        <v>39692</v>
      </c>
      <c r="F56" t="s">
        <v>206</v>
      </c>
      <c r="G56" t="s">
        <v>762</v>
      </c>
      <c r="H56" t="s">
        <v>303</v>
      </c>
      <c r="I56">
        <v>342650</v>
      </c>
      <c r="J56">
        <v>542500</v>
      </c>
      <c r="K56">
        <v>0.63161290299999995</v>
      </c>
      <c r="L56">
        <v>1.5832482124616956</v>
      </c>
      <c r="M56" t="s">
        <v>16</v>
      </c>
      <c r="N56" t="s">
        <v>446</v>
      </c>
    </row>
    <row r="57" spans="1:14" x14ac:dyDescent="0.35">
      <c r="A57">
        <v>2001590</v>
      </c>
      <c r="B57" s="3">
        <v>44333</v>
      </c>
      <c r="C57" t="s">
        <v>456</v>
      </c>
      <c r="D57">
        <v>2021</v>
      </c>
      <c r="E57" s="14">
        <v>44317</v>
      </c>
      <c r="F57" t="s">
        <v>181</v>
      </c>
      <c r="G57" t="s">
        <v>762</v>
      </c>
      <c r="H57" t="s">
        <v>228</v>
      </c>
      <c r="I57">
        <v>423700</v>
      </c>
      <c r="J57">
        <v>533350</v>
      </c>
      <c r="K57">
        <v>0.7944</v>
      </c>
      <c r="L57">
        <v>1.2587915978286524</v>
      </c>
      <c r="M57" t="s">
        <v>13</v>
      </c>
      <c r="N57" t="s">
        <v>446</v>
      </c>
    </row>
    <row r="58" spans="1:14" x14ac:dyDescent="0.35">
      <c r="A58">
        <v>141056</v>
      </c>
      <c r="B58" s="3">
        <v>42157</v>
      </c>
      <c r="C58" t="s">
        <v>454</v>
      </c>
      <c r="D58">
        <v>2015</v>
      </c>
      <c r="E58" s="14">
        <v>42156</v>
      </c>
      <c r="F58" t="s">
        <v>181</v>
      </c>
      <c r="G58" t="s">
        <v>762</v>
      </c>
      <c r="H58" t="s">
        <v>359</v>
      </c>
      <c r="I58">
        <v>314280</v>
      </c>
      <c r="J58">
        <v>526000</v>
      </c>
      <c r="K58">
        <v>0.59749049399999998</v>
      </c>
      <c r="L58">
        <v>1.673666793941708</v>
      </c>
      <c r="M58" t="s">
        <v>16</v>
      </c>
      <c r="N58" t="s">
        <v>446</v>
      </c>
    </row>
    <row r="59" spans="1:14" x14ac:dyDescent="0.35">
      <c r="A59">
        <v>201580</v>
      </c>
      <c r="B59" s="3">
        <v>44466</v>
      </c>
      <c r="C59" t="s">
        <v>473</v>
      </c>
      <c r="D59">
        <v>2021</v>
      </c>
      <c r="E59" s="14">
        <v>44440</v>
      </c>
      <c r="F59" t="s">
        <v>56</v>
      </c>
      <c r="G59" t="s">
        <v>758</v>
      </c>
      <c r="H59" t="s">
        <v>62</v>
      </c>
      <c r="I59">
        <v>192300</v>
      </c>
      <c r="J59">
        <v>525000</v>
      </c>
      <c r="K59">
        <v>0.36628571399999998</v>
      </c>
      <c r="L59">
        <v>2.7301092043681749</v>
      </c>
      <c r="M59" t="s">
        <v>13</v>
      </c>
      <c r="N59" t="s">
        <v>445</v>
      </c>
    </row>
    <row r="60" spans="1:14" x14ac:dyDescent="0.35">
      <c r="A60">
        <v>200374</v>
      </c>
      <c r="B60" s="3">
        <v>44256</v>
      </c>
      <c r="C60" t="s">
        <v>471</v>
      </c>
      <c r="D60">
        <v>2021</v>
      </c>
      <c r="E60" s="14">
        <v>44256</v>
      </c>
      <c r="F60" t="s">
        <v>206</v>
      </c>
      <c r="G60" t="s">
        <v>762</v>
      </c>
      <c r="H60" t="s">
        <v>209</v>
      </c>
      <c r="I60">
        <v>227500</v>
      </c>
      <c r="J60">
        <v>525000</v>
      </c>
      <c r="K60">
        <v>0.43330000000000002</v>
      </c>
      <c r="L60">
        <v>2.3076923076923075</v>
      </c>
      <c r="M60" t="s">
        <v>13</v>
      </c>
      <c r="N60" t="s">
        <v>445</v>
      </c>
    </row>
    <row r="61" spans="1:14" x14ac:dyDescent="0.35">
      <c r="A61">
        <v>201023</v>
      </c>
      <c r="B61" s="3">
        <v>44403</v>
      </c>
      <c r="C61" t="s">
        <v>458</v>
      </c>
      <c r="D61">
        <v>2021</v>
      </c>
      <c r="E61" s="14">
        <v>44378</v>
      </c>
      <c r="F61" t="s">
        <v>98</v>
      </c>
      <c r="G61" t="s">
        <v>770</v>
      </c>
      <c r="H61" t="s">
        <v>104</v>
      </c>
      <c r="I61">
        <v>435610</v>
      </c>
      <c r="J61">
        <v>525000</v>
      </c>
      <c r="K61">
        <v>0.82969999999999999</v>
      </c>
      <c r="L61">
        <v>1.2052064920456371</v>
      </c>
      <c r="M61" t="s">
        <v>10</v>
      </c>
      <c r="N61" t="s">
        <v>446</v>
      </c>
    </row>
    <row r="62" spans="1:14" x14ac:dyDescent="0.35">
      <c r="A62">
        <v>200827</v>
      </c>
      <c r="B62" s="3">
        <v>44446</v>
      </c>
      <c r="C62" t="s">
        <v>473</v>
      </c>
      <c r="D62">
        <v>2021</v>
      </c>
      <c r="E62" s="14">
        <v>44440</v>
      </c>
      <c r="F62" t="s">
        <v>83</v>
      </c>
      <c r="G62" t="s">
        <v>756</v>
      </c>
      <c r="H62" t="s">
        <v>422</v>
      </c>
      <c r="I62">
        <v>332000</v>
      </c>
      <c r="J62">
        <v>520000</v>
      </c>
      <c r="K62">
        <v>0.63839999999999997</v>
      </c>
      <c r="L62">
        <v>1.5662650602409638</v>
      </c>
      <c r="M62" t="s">
        <v>13</v>
      </c>
      <c r="N62" t="s">
        <v>446</v>
      </c>
    </row>
    <row r="63" spans="1:14" x14ac:dyDescent="0.35">
      <c r="A63">
        <v>200140</v>
      </c>
      <c r="B63" s="3">
        <v>44314</v>
      </c>
      <c r="C63" t="s">
        <v>452</v>
      </c>
      <c r="D63">
        <v>2021</v>
      </c>
      <c r="E63" s="14">
        <v>44287</v>
      </c>
      <c r="F63" t="s">
        <v>77</v>
      </c>
      <c r="G63" t="s">
        <v>760</v>
      </c>
      <c r="H63" t="s">
        <v>421</v>
      </c>
      <c r="I63">
        <v>335800</v>
      </c>
      <c r="J63">
        <v>520000</v>
      </c>
      <c r="K63">
        <v>0.64570000000000005</v>
      </c>
      <c r="L63">
        <v>1.5485407980941037</v>
      </c>
      <c r="M63" t="s">
        <v>13</v>
      </c>
      <c r="N63" t="s">
        <v>446</v>
      </c>
    </row>
    <row r="64" spans="1:14" x14ac:dyDescent="0.35">
      <c r="A64">
        <v>200499</v>
      </c>
      <c r="B64" s="3">
        <v>44449</v>
      </c>
      <c r="C64" t="s">
        <v>473</v>
      </c>
      <c r="D64">
        <v>2021</v>
      </c>
      <c r="E64" s="14">
        <v>44440</v>
      </c>
      <c r="F64" t="s">
        <v>69</v>
      </c>
      <c r="G64" t="s">
        <v>760</v>
      </c>
      <c r="H64" t="s">
        <v>418</v>
      </c>
      <c r="I64">
        <v>233660</v>
      </c>
      <c r="J64">
        <v>517000</v>
      </c>
      <c r="K64">
        <v>0.45190000000000002</v>
      </c>
      <c r="L64">
        <v>2.2126166224428658</v>
      </c>
      <c r="M64" t="s">
        <v>13</v>
      </c>
      <c r="N64" t="s">
        <v>445</v>
      </c>
    </row>
    <row r="65" spans="1:14" x14ac:dyDescent="0.35">
      <c r="A65">
        <v>130962</v>
      </c>
      <c r="B65" s="3">
        <v>41890</v>
      </c>
      <c r="C65" t="s">
        <v>473</v>
      </c>
      <c r="D65">
        <v>2014</v>
      </c>
      <c r="E65" s="14">
        <v>41883</v>
      </c>
      <c r="F65" t="s">
        <v>260</v>
      </c>
      <c r="G65" t="s">
        <v>769</v>
      </c>
      <c r="H65" t="s">
        <v>356</v>
      </c>
      <c r="I65">
        <v>301070</v>
      </c>
      <c r="J65">
        <v>515000</v>
      </c>
      <c r="K65">
        <v>0.58460194200000004</v>
      </c>
      <c r="L65">
        <v>1.7105656491845751</v>
      </c>
      <c r="M65" t="s">
        <v>16</v>
      </c>
      <c r="N65" t="s">
        <v>446</v>
      </c>
    </row>
    <row r="66" spans="1:14" x14ac:dyDescent="0.35">
      <c r="A66">
        <v>20588</v>
      </c>
      <c r="B66" s="3">
        <v>44406</v>
      </c>
      <c r="C66" t="s">
        <v>458</v>
      </c>
      <c r="D66">
        <v>2021</v>
      </c>
      <c r="E66" s="14">
        <v>44378</v>
      </c>
      <c r="F66" t="s">
        <v>216</v>
      </c>
      <c r="G66" t="s">
        <v>762</v>
      </c>
      <c r="H66" t="s">
        <v>218</v>
      </c>
      <c r="I66">
        <v>235950</v>
      </c>
      <c r="J66">
        <v>510000</v>
      </c>
      <c r="K66">
        <v>0.46260000000000001</v>
      </c>
      <c r="L66">
        <v>2.1614748887476161</v>
      </c>
      <c r="M66" t="s">
        <v>13</v>
      </c>
      <c r="N66" t="s">
        <v>445</v>
      </c>
    </row>
    <row r="67" spans="1:14" x14ac:dyDescent="0.35">
      <c r="A67">
        <v>20742</v>
      </c>
      <c r="B67" s="3">
        <v>44438</v>
      </c>
      <c r="C67" t="s">
        <v>462</v>
      </c>
      <c r="D67">
        <v>2021</v>
      </c>
      <c r="E67" s="14">
        <v>44409</v>
      </c>
      <c r="F67" t="s">
        <v>166</v>
      </c>
      <c r="G67" t="s">
        <v>757</v>
      </c>
      <c r="H67" t="s">
        <v>168</v>
      </c>
      <c r="I67">
        <v>325640</v>
      </c>
      <c r="J67">
        <v>508000</v>
      </c>
      <c r="K67">
        <v>0.64100000000000001</v>
      </c>
      <c r="L67">
        <v>1.5600049134013021</v>
      </c>
      <c r="M67" t="s">
        <v>13</v>
      </c>
      <c r="N67" t="s">
        <v>446</v>
      </c>
    </row>
    <row r="68" spans="1:14" x14ac:dyDescent="0.35">
      <c r="A68">
        <v>150034</v>
      </c>
      <c r="B68" s="3">
        <v>42494</v>
      </c>
      <c r="C68" t="s">
        <v>456</v>
      </c>
      <c r="D68">
        <v>2016</v>
      </c>
      <c r="E68" s="14">
        <v>42491</v>
      </c>
      <c r="F68" t="s">
        <v>135</v>
      </c>
      <c r="G68" t="s">
        <v>762</v>
      </c>
      <c r="H68" t="s">
        <v>431</v>
      </c>
      <c r="I68">
        <v>309800</v>
      </c>
      <c r="J68">
        <v>505000</v>
      </c>
      <c r="K68">
        <v>0.61346534699999999</v>
      </c>
      <c r="L68">
        <v>1.6300839251129762</v>
      </c>
      <c r="M68" t="s">
        <v>16</v>
      </c>
      <c r="N68" t="s">
        <v>446</v>
      </c>
    </row>
    <row r="69" spans="1:14" x14ac:dyDescent="0.35">
      <c r="A69">
        <v>70535</v>
      </c>
      <c r="B69" s="3">
        <v>39570</v>
      </c>
      <c r="C69" t="s">
        <v>456</v>
      </c>
      <c r="D69">
        <v>2008</v>
      </c>
      <c r="E69" s="14">
        <v>39569</v>
      </c>
      <c r="F69" t="s">
        <v>192</v>
      </c>
      <c r="G69" t="s">
        <v>759</v>
      </c>
      <c r="H69" t="s">
        <v>305</v>
      </c>
      <c r="I69">
        <v>235800</v>
      </c>
      <c r="J69">
        <v>487710</v>
      </c>
      <c r="K69">
        <v>0.483484038</v>
      </c>
      <c r="L69">
        <v>2.0683206106870231</v>
      </c>
      <c r="M69" t="s">
        <v>16</v>
      </c>
      <c r="N69" t="s">
        <v>445</v>
      </c>
    </row>
    <row r="70" spans="1:14" x14ac:dyDescent="0.35">
      <c r="A70">
        <v>200080</v>
      </c>
      <c r="B70" s="3">
        <v>44140</v>
      </c>
      <c r="C70" t="s">
        <v>475</v>
      </c>
      <c r="D70">
        <v>2020</v>
      </c>
      <c r="E70" s="14">
        <v>44136</v>
      </c>
      <c r="F70" t="s">
        <v>96</v>
      </c>
      <c r="G70" t="s">
        <v>756</v>
      </c>
      <c r="H70" t="s">
        <v>425</v>
      </c>
      <c r="I70">
        <v>239550</v>
      </c>
      <c r="J70">
        <v>480000</v>
      </c>
      <c r="K70">
        <v>0.499</v>
      </c>
      <c r="L70">
        <v>2.0037570444583594</v>
      </c>
      <c r="M70" t="s">
        <v>13</v>
      </c>
      <c r="N70" t="s">
        <v>445</v>
      </c>
    </row>
    <row r="71" spans="1:14" x14ac:dyDescent="0.35">
      <c r="A71">
        <v>200282</v>
      </c>
      <c r="B71" s="3">
        <v>44392</v>
      </c>
      <c r="C71" t="s">
        <v>458</v>
      </c>
      <c r="D71">
        <v>2021</v>
      </c>
      <c r="E71" s="14">
        <v>44378</v>
      </c>
      <c r="F71" t="s">
        <v>52</v>
      </c>
      <c r="G71" t="s">
        <v>755</v>
      </c>
      <c r="H71" t="s">
        <v>414</v>
      </c>
      <c r="I71">
        <v>359800</v>
      </c>
      <c r="J71">
        <v>480000</v>
      </c>
      <c r="K71">
        <v>0.74950000000000006</v>
      </c>
      <c r="L71">
        <v>1.3340744858254585</v>
      </c>
      <c r="M71" t="s">
        <v>10</v>
      </c>
      <c r="N71" t="s">
        <v>446</v>
      </c>
    </row>
    <row r="72" spans="1:14" x14ac:dyDescent="0.35">
      <c r="A72">
        <v>162511</v>
      </c>
      <c r="B72" s="3">
        <v>42985</v>
      </c>
      <c r="C72" t="s">
        <v>473</v>
      </c>
      <c r="D72">
        <v>2017</v>
      </c>
      <c r="E72" s="14">
        <v>42979</v>
      </c>
      <c r="F72" t="s">
        <v>206</v>
      </c>
      <c r="G72" t="s">
        <v>762</v>
      </c>
      <c r="H72" t="s">
        <v>393</v>
      </c>
      <c r="I72">
        <v>306950</v>
      </c>
      <c r="J72">
        <v>476549</v>
      </c>
      <c r="K72">
        <v>0.64411004999999999</v>
      </c>
      <c r="L72">
        <v>1.5525297279687245</v>
      </c>
      <c r="M72" t="s">
        <v>16</v>
      </c>
      <c r="N72" t="s">
        <v>446</v>
      </c>
    </row>
    <row r="73" spans="1:14" x14ac:dyDescent="0.35">
      <c r="A73">
        <v>200145</v>
      </c>
      <c r="B73" s="3">
        <v>44417</v>
      </c>
      <c r="C73" t="s">
        <v>462</v>
      </c>
      <c r="D73">
        <v>2021</v>
      </c>
      <c r="E73" s="14">
        <v>44409</v>
      </c>
      <c r="F73" t="s">
        <v>157</v>
      </c>
      <c r="G73" t="s">
        <v>757</v>
      </c>
      <c r="H73" t="s">
        <v>158</v>
      </c>
      <c r="I73">
        <v>238980</v>
      </c>
      <c r="J73">
        <v>460000</v>
      </c>
      <c r="K73">
        <v>0.51949999999999996</v>
      </c>
      <c r="L73">
        <v>1.9248472675537702</v>
      </c>
      <c r="M73" t="s">
        <v>13</v>
      </c>
      <c r="N73" t="s">
        <v>446</v>
      </c>
    </row>
    <row r="74" spans="1:14" x14ac:dyDescent="0.35">
      <c r="A74">
        <v>200359</v>
      </c>
      <c r="B74" s="3">
        <v>44263</v>
      </c>
      <c r="C74" t="s">
        <v>471</v>
      </c>
      <c r="D74">
        <v>2021</v>
      </c>
      <c r="E74" s="14">
        <v>44256</v>
      </c>
      <c r="F74" t="s">
        <v>252</v>
      </c>
      <c r="G74" t="s">
        <v>763</v>
      </c>
      <c r="H74" t="s">
        <v>253</v>
      </c>
      <c r="I74">
        <v>256550</v>
      </c>
      <c r="J74">
        <v>451000</v>
      </c>
      <c r="K74">
        <v>0.56879999999999997</v>
      </c>
      <c r="L74">
        <v>1.7579419216526992</v>
      </c>
      <c r="M74" t="s">
        <v>13</v>
      </c>
      <c r="N74" t="s">
        <v>446</v>
      </c>
    </row>
    <row r="75" spans="1:14" x14ac:dyDescent="0.35">
      <c r="A75">
        <v>20761</v>
      </c>
      <c r="B75" s="3">
        <v>44344</v>
      </c>
      <c r="C75" t="s">
        <v>456</v>
      </c>
      <c r="D75">
        <v>2021</v>
      </c>
      <c r="E75" s="14">
        <v>44317</v>
      </c>
      <c r="F75" t="s">
        <v>146</v>
      </c>
      <c r="G75" t="s">
        <v>757</v>
      </c>
      <c r="H75" t="s">
        <v>148</v>
      </c>
      <c r="I75">
        <v>212310</v>
      </c>
      <c r="J75">
        <v>450000</v>
      </c>
      <c r="K75">
        <v>0.4718</v>
      </c>
      <c r="L75">
        <v>2.1195421788893598</v>
      </c>
      <c r="M75" t="s">
        <v>103</v>
      </c>
      <c r="N75" t="s">
        <v>445</v>
      </c>
    </row>
    <row r="76" spans="1:14" x14ac:dyDescent="0.35">
      <c r="A76">
        <v>201007</v>
      </c>
      <c r="B76" s="3">
        <v>44277</v>
      </c>
      <c r="C76" t="s">
        <v>471</v>
      </c>
      <c r="D76">
        <v>2021</v>
      </c>
      <c r="E76" s="14">
        <v>44256</v>
      </c>
      <c r="F76" t="s">
        <v>122</v>
      </c>
      <c r="G76" t="s">
        <v>757</v>
      </c>
      <c r="H76" t="s">
        <v>172</v>
      </c>
      <c r="I76">
        <v>261800</v>
      </c>
      <c r="J76">
        <v>450000</v>
      </c>
      <c r="K76">
        <v>0.58169999999999999</v>
      </c>
      <c r="L76">
        <v>1.7188693659281895</v>
      </c>
      <c r="M76" t="s">
        <v>13</v>
      </c>
      <c r="N76" t="s">
        <v>446</v>
      </c>
    </row>
    <row r="77" spans="1:14" x14ac:dyDescent="0.35">
      <c r="A77">
        <v>202281</v>
      </c>
      <c r="B77" s="3">
        <v>44446</v>
      </c>
      <c r="C77" t="s">
        <v>473</v>
      </c>
      <c r="D77">
        <v>2021</v>
      </c>
      <c r="E77" s="14">
        <v>44440</v>
      </c>
      <c r="F77" t="s">
        <v>170</v>
      </c>
      <c r="G77" t="s">
        <v>757</v>
      </c>
      <c r="H77" t="s">
        <v>171</v>
      </c>
      <c r="I77">
        <v>276010</v>
      </c>
      <c r="J77">
        <v>443165</v>
      </c>
      <c r="K77">
        <v>0.62280000000000002</v>
      </c>
      <c r="L77">
        <v>1.6056121155030614</v>
      </c>
      <c r="M77" t="s">
        <v>13</v>
      </c>
      <c r="N77" t="s">
        <v>446</v>
      </c>
    </row>
    <row r="78" spans="1:14" x14ac:dyDescent="0.35">
      <c r="A78">
        <v>20360</v>
      </c>
      <c r="B78" s="3">
        <v>44218</v>
      </c>
      <c r="C78" t="s">
        <v>464</v>
      </c>
      <c r="D78">
        <v>2021</v>
      </c>
      <c r="E78" s="14">
        <v>44197</v>
      </c>
      <c r="F78" t="s">
        <v>98</v>
      </c>
      <c r="G78" t="s">
        <v>770</v>
      </c>
      <c r="H78" t="s">
        <v>99</v>
      </c>
      <c r="I78">
        <v>173670</v>
      </c>
      <c r="J78">
        <v>439900</v>
      </c>
      <c r="K78">
        <v>0.3947</v>
      </c>
      <c r="L78">
        <v>2.5329648183336211</v>
      </c>
      <c r="M78" t="s">
        <v>10</v>
      </c>
      <c r="N78" t="s">
        <v>445</v>
      </c>
    </row>
    <row r="79" spans="1:14" x14ac:dyDescent="0.35">
      <c r="A79">
        <v>200552</v>
      </c>
      <c r="B79" s="3">
        <v>44462</v>
      </c>
      <c r="C79" t="s">
        <v>473</v>
      </c>
      <c r="D79">
        <v>2021</v>
      </c>
      <c r="E79" s="14">
        <v>44440</v>
      </c>
      <c r="F79" t="s">
        <v>180</v>
      </c>
      <c r="G79" t="s">
        <v>762</v>
      </c>
      <c r="H79" t="s">
        <v>237</v>
      </c>
      <c r="I79">
        <v>213100</v>
      </c>
      <c r="J79">
        <v>435000</v>
      </c>
      <c r="K79">
        <v>0.48980000000000001</v>
      </c>
      <c r="L79">
        <v>2.0412951665884562</v>
      </c>
      <c r="M79" t="s">
        <v>13</v>
      </c>
      <c r="N79" t="s">
        <v>445</v>
      </c>
    </row>
    <row r="80" spans="1:14" x14ac:dyDescent="0.35">
      <c r="A80">
        <v>20002</v>
      </c>
      <c r="B80" s="3">
        <v>44106</v>
      </c>
      <c r="C80" t="s">
        <v>469</v>
      </c>
      <c r="D80">
        <v>2020</v>
      </c>
      <c r="E80" s="14">
        <v>44105</v>
      </c>
      <c r="F80" t="s">
        <v>11</v>
      </c>
      <c r="G80" t="s">
        <v>761</v>
      </c>
      <c r="H80" t="s">
        <v>12</v>
      </c>
      <c r="I80">
        <v>253000</v>
      </c>
      <c r="J80">
        <v>430000</v>
      </c>
      <c r="K80">
        <v>0.58830000000000005</v>
      </c>
      <c r="L80">
        <v>1.6996047430830039</v>
      </c>
      <c r="M80" t="s">
        <v>13</v>
      </c>
      <c r="N80" t="s">
        <v>446</v>
      </c>
    </row>
    <row r="81" spans="1:14" x14ac:dyDescent="0.35">
      <c r="A81">
        <v>60890</v>
      </c>
      <c r="B81" s="3">
        <v>39190</v>
      </c>
      <c r="C81" t="s">
        <v>452</v>
      </c>
      <c r="D81">
        <v>2007</v>
      </c>
      <c r="E81" s="14">
        <v>39173</v>
      </c>
      <c r="F81" t="s">
        <v>122</v>
      </c>
      <c r="G81" t="s">
        <v>757</v>
      </c>
      <c r="H81" t="s">
        <v>287</v>
      </c>
      <c r="I81">
        <v>44653</v>
      </c>
      <c r="J81">
        <v>429000</v>
      </c>
      <c r="K81">
        <v>0.10408624700000001</v>
      </c>
      <c r="L81">
        <v>9.6074171948133387</v>
      </c>
      <c r="M81" t="s">
        <v>16</v>
      </c>
      <c r="N81" t="s">
        <v>445</v>
      </c>
    </row>
    <row r="82" spans="1:14" x14ac:dyDescent="0.35">
      <c r="A82">
        <v>162063</v>
      </c>
      <c r="B82" s="3">
        <v>43005</v>
      </c>
      <c r="C82" t="s">
        <v>473</v>
      </c>
      <c r="D82">
        <v>2017</v>
      </c>
      <c r="E82" s="14">
        <v>42979</v>
      </c>
      <c r="F82" t="s">
        <v>181</v>
      </c>
      <c r="G82" t="s">
        <v>762</v>
      </c>
      <c r="H82" t="s">
        <v>395</v>
      </c>
      <c r="I82">
        <v>8190</v>
      </c>
      <c r="J82">
        <v>427500</v>
      </c>
      <c r="K82">
        <v>1.9157895000000001E-2</v>
      </c>
      <c r="L82">
        <v>52.197802197802197</v>
      </c>
      <c r="M82" t="s">
        <v>16</v>
      </c>
      <c r="N82" t="s">
        <v>445</v>
      </c>
    </row>
    <row r="83" spans="1:14" x14ac:dyDescent="0.35">
      <c r="A83">
        <v>200125</v>
      </c>
      <c r="B83" s="3">
        <v>44286</v>
      </c>
      <c r="C83" t="s">
        <v>471</v>
      </c>
      <c r="D83">
        <v>2021</v>
      </c>
      <c r="E83" s="14">
        <v>44256</v>
      </c>
      <c r="F83" t="s">
        <v>77</v>
      </c>
      <c r="G83" t="s">
        <v>760</v>
      </c>
      <c r="H83" t="s">
        <v>78</v>
      </c>
      <c r="I83">
        <v>220500</v>
      </c>
      <c r="J83">
        <v>425000</v>
      </c>
      <c r="K83">
        <v>0.51880000000000004</v>
      </c>
      <c r="L83">
        <v>1.9274376417233561</v>
      </c>
      <c r="M83" t="s">
        <v>13</v>
      </c>
      <c r="N83" t="s">
        <v>446</v>
      </c>
    </row>
    <row r="84" spans="1:14" x14ac:dyDescent="0.35">
      <c r="A84">
        <v>200236</v>
      </c>
      <c r="B84" s="3">
        <v>44273</v>
      </c>
      <c r="C84" t="s">
        <v>471</v>
      </c>
      <c r="D84">
        <v>2021</v>
      </c>
      <c r="E84" s="14">
        <v>44256</v>
      </c>
      <c r="F84" t="s">
        <v>69</v>
      </c>
      <c r="G84" t="s">
        <v>760</v>
      </c>
      <c r="H84" t="s">
        <v>70</v>
      </c>
      <c r="I84">
        <v>238140</v>
      </c>
      <c r="J84">
        <v>421000</v>
      </c>
      <c r="K84">
        <v>0.56559999999999999</v>
      </c>
      <c r="L84">
        <v>1.7678676408835139</v>
      </c>
      <c r="M84" t="s">
        <v>13</v>
      </c>
      <c r="N84" t="s">
        <v>446</v>
      </c>
    </row>
    <row r="85" spans="1:14" x14ac:dyDescent="0.35">
      <c r="A85">
        <v>200599</v>
      </c>
      <c r="B85" s="3">
        <v>44379</v>
      </c>
      <c r="C85" t="s">
        <v>458</v>
      </c>
      <c r="D85">
        <v>2021</v>
      </c>
      <c r="E85" s="14">
        <v>44378</v>
      </c>
      <c r="F85" t="s">
        <v>252</v>
      </c>
      <c r="G85" t="s">
        <v>763</v>
      </c>
      <c r="H85" t="s">
        <v>254</v>
      </c>
      <c r="I85">
        <v>237440</v>
      </c>
      <c r="J85">
        <v>420000</v>
      </c>
      <c r="K85">
        <v>0.56530000000000002</v>
      </c>
      <c r="L85">
        <v>1.7688679245283019</v>
      </c>
      <c r="M85" t="s">
        <v>13</v>
      </c>
      <c r="N85" t="s">
        <v>446</v>
      </c>
    </row>
    <row r="86" spans="1:14" x14ac:dyDescent="0.35">
      <c r="A86">
        <v>200078</v>
      </c>
      <c r="B86" s="3">
        <v>44459</v>
      </c>
      <c r="C86" t="s">
        <v>473</v>
      </c>
      <c r="D86">
        <v>2021</v>
      </c>
      <c r="E86" s="14">
        <v>44440</v>
      </c>
      <c r="F86" t="s">
        <v>46</v>
      </c>
      <c r="G86" t="s">
        <v>755</v>
      </c>
      <c r="H86" t="s">
        <v>47</v>
      </c>
      <c r="I86">
        <v>250100</v>
      </c>
      <c r="J86">
        <v>418800</v>
      </c>
      <c r="K86">
        <v>0.59709999999999996</v>
      </c>
      <c r="L86">
        <v>1.67453018792483</v>
      </c>
      <c r="M86" t="s">
        <v>13</v>
      </c>
      <c r="N86" t="s">
        <v>446</v>
      </c>
    </row>
    <row r="87" spans="1:14" x14ac:dyDescent="0.35">
      <c r="A87">
        <v>200305</v>
      </c>
      <c r="B87" s="3">
        <v>44222</v>
      </c>
      <c r="C87" t="s">
        <v>464</v>
      </c>
      <c r="D87">
        <v>2021</v>
      </c>
      <c r="E87" s="14">
        <v>44197</v>
      </c>
      <c r="F87" t="s">
        <v>73</v>
      </c>
      <c r="G87" t="s">
        <v>760</v>
      </c>
      <c r="H87" t="s">
        <v>419</v>
      </c>
      <c r="I87">
        <v>233660</v>
      </c>
      <c r="J87">
        <v>410000</v>
      </c>
      <c r="K87">
        <v>0.56989999999999996</v>
      </c>
      <c r="L87">
        <v>1.7546862963279979</v>
      </c>
      <c r="M87" t="s">
        <v>13</v>
      </c>
      <c r="N87" t="s">
        <v>446</v>
      </c>
    </row>
    <row r="88" spans="1:14" x14ac:dyDescent="0.35">
      <c r="A88">
        <v>2001493</v>
      </c>
      <c r="B88" s="3">
        <v>44319</v>
      </c>
      <c r="C88" t="s">
        <v>456</v>
      </c>
      <c r="D88">
        <v>2021</v>
      </c>
      <c r="E88" s="14">
        <v>44317</v>
      </c>
      <c r="F88" t="s">
        <v>181</v>
      </c>
      <c r="G88" t="s">
        <v>762</v>
      </c>
      <c r="H88" t="s">
        <v>226</v>
      </c>
      <c r="I88">
        <v>238890</v>
      </c>
      <c r="J88">
        <v>400000</v>
      </c>
      <c r="K88">
        <v>0.59719999999999995</v>
      </c>
      <c r="L88">
        <v>1.6744108166938758</v>
      </c>
      <c r="M88" t="s">
        <v>13</v>
      </c>
      <c r="N88" t="s">
        <v>446</v>
      </c>
    </row>
    <row r="89" spans="1:14" x14ac:dyDescent="0.35">
      <c r="A89">
        <v>201057</v>
      </c>
      <c r="B89" s="3">
        <v>44420</v>
      </c>
      <c r="C89" t="s">
        <v>462</v>
      </c>
      <c r="D89">
        <v>2021</v>
      </c>
      <c r="E89" s="14">
        <v>44409</v>
      </c>
      <c r="F89" t="s">
        <v>146</v>
      </c>
      <c r="G89" t="s">
        <v>757</v>
      </c>
      <c r="H89" t="s">
        <v>149</v>
      </c>
      <c r="I89">
        <v>264390</v>
      </c>
      <c r="J89">
        <v>400000</v>
      </c>
      <c r="K89">
        <v>0.66090000000000004</v>
      </c>
      <c r="L89">
        <v>1.5129165248307426</v>
      </c>
      <c r="M89" t="s">
        <v>10</v>
      </c>
      <c r="N89" t="s">
        <v>446</v>
      </c>
    </row>
    <row r="90" spans="1:14" x14ac:dyDescent="0.35">
      <c r="A90">
        <v>20200824</v>
      </c>
      <c r="B90" s="3">
        <v>44319</v>
      </c>
      <c r="C90" t="s">
        <v>456</v>
      </c>
      <c r="D90">
        <v>2021</v>
      </c>
      <c r="E90" s="14">
        <v>44317</v>
      </c>
      <c r="F90" t="s">
        <v>129</v>
      </c>
      <c r="G90" t="s">
        <v>762</v>
      </c>
      <c r="H90" t="s">
        <v>239</v>
      </c>
      <c r="I90">
        <v>193340</v>
      </c>
      <c r="J90">
        <v>395000</v>
      </c>
      <c r="K90">
        <v>0.4894</v>
      </c>
      <c r="L90">
        <v>2.0430329988621083</v>
      </c>
      <c r="M90" t="s">
        <v>13</v>
      </c>
      <c r="N90" t="s">
        <v>445</v>
      </c>
    </row>
    <row r="91" spans="1:14" x14ac:dyDescent="0.35">
      <c r="A91">
        <v>200035</v>
      </c>
      <c r="B91" s="3">
        <v>44133</v>
      </c>
      <c r="C91" t="s">
        <v>469</v>
      </c>
      <c r="D91">
        <v>2020</v>
      </c>
      <c r="E91" s="14">
        <v>44105</v>
      </c>
      <c r="F91" t="s">
        <v>48</v>
      </c>
      <c r="G91" t="s">
        <v>755</v>
      </c>
      <c r="H91" t="s">
        <v>49</v>
      </c>
      <c r="I91">
        <v>223900</v>
      </c>
      <c r="J91">
        <v>392000</v>
      </c>
      <c r="K91">
        <v>0.57110000000000005</v>
      </c>
      <c r="L91">
        <v>1.7507815989280928</v>
      </c>
      <c r="M91" t="s">
        <v>13</v>
      </c>
      <c r="N91" t="s">
        <v>446</v>
      </c>
    </row>
    <row r="92" spans="1:14" x14ac:dyDescent="0.35">
      <c r="A92">
        <v>200510</v>
      </c>
      <c r="B92" s="3">
        <v>44454</v>
      </c>
      <c r="C92" t="s">
        <v>473</v>
      </c>
      <c r="D92">
        <v>2021</v>
      </c>
      <c r="E92" s="14">
        <v>44440</v>
      </c>
      <c r="F92" t="s">
        <v>69</v>
      </c>
      <c r="G92" t="s">
        <v>760</v>
      </c>
      <c r="H92" t="s">
        <v>72</v>
      </c>
      <c r="I92">
        <v>212100</v>
      </c>
      <c r="J92">
        <v>390500</v>
      </c>
      <c r="K92">
        <v>0.54310000000000003</v>
      </c>
      <c r="L92">
        <v>1.8411126826968411</v>
      </c>
      <c r="M92" t="s">
        <v>13</v>
      </c>
      <c r="N92" t="s">
        <v>446</v>
      </c>
    </row>
    <row r="93" spans="1:14" x14ac:dyDescent="0.35">
      <c r="A93">
        <v>200074</v>
      </c>
      <c r="B93" s="3">
        <v>44440</v>
      </c>
      <c r="C93" t="s">
        <v>473</v>
      </c>
      <c r="D93">
        <v>2021</v>
      </c>
      <c r="E93" s="14">
        <v>44440</v>
      </c>
      <c r="F93" t="s">
        <v>50</v>
      </c>
      <c r="G93" t="s">
        <v>755</v>
      </c>
      <c r="H93" t="s">
        <v>51</v>
      </c>
      <c r="I93">
        <v>246100</v>
      </c>
      <c r="J93">
        <v>385000</v>
      </c>
      <c r="K93">
        <v>0.63919999999999999</v>
      </c>
      <c r="L93">
        <v>1.564404713531085</v>
      </c>
      <c r="M93" t="s">
        <v>10</v>
      </c>
      <c r="N93" t="s">
        <v>446</v>
      </c>
    </row>
    <row r="94" spans="1:14" x14ac:dyDescent="0.35">
      <c r="A94">
        <v>200014</v>
      </c>
      <c r="B94" s="3">
        <v>44117</v>
      </c>
      <c r="C94" t="s">
        <v>469</v>
      </c>
      <c r="D94">
        <v>2020</v>
      </c>
      <c r="E94" s="14">
        <v>44105</v>
      </c>
      <c r="F94" t="s">
        <v>271</v>
      </c>
      <c r="G94" t="s">
        <v>759</v>
      </c>
      <c r="H94" t="s">
        <v>273</v>
      </c>
      <c r="I94">
        <v>245790</v>
      </c>
      <c r="J94">
        <v>382000</v>
      </c>
      <c r="K94">
        <v>0.64339999999999997</v>
      </c>
      <c r="L94">
        <v>1.554172260873103</v>
      </c>
      <c r="M94" t="s">
        <v>13</v>
      </c>
      <c r="N94" t="s">
        <v>446</v>
      </c>
    </row>
    <row r="95" spans="1:14" x14ac:dyDescent="0.35">
      <c r="A95">
        <v>200245</v>
      </c>
      <c r="B95" s="3">
        <v>44202</v>
      </c>
      <c r="C95" t="s">
        <v>464</v>
      </c>
      <c r="D95">
        <v>2021</v>
      </c>
      <c r="E95" s="14">
        <v>44197</v>
      </c>
      <c r="F95" t="s">
        <v>206</v>
      </c>
      <c r="G95" t="s">
        <v>762</v>
      </c>
      <c r="H95" t="s">
        <v>208</v>
      </c>
      <c r="I95">
        <v>310660</v>
      </c>
      <c r="J95">
        <v>375000</v>
      </c>
      <c r="K95">
        <v>0.82840000000000003</v>
      </c>
      <c r="L95">
        <v>1.2071074486576965</v>
      </c>
      <c r="M95" t="s">
        <v>10</v>
      </c>
      <c r="N95" t="s">
        <v>446</v>
      </c>
    </row>
    <row r="96" spans="1:14" x14ac:dyDescent="0.35">
      <c r="A96">
        <v>162000</v>
      </c>
      <c r="B96" s="3">
        <v>42992</v>
      </c>
      <c r="C96" t="s">
        <v>473</v>
      </c>
      <c r="D96">
        <v>2017</v>
      </c>
      <c r="E96" s="14">
        <v>42979</v>
      </c>
      <c r="F96" t="s">
        <v>181</v>
      </c>
      <c r="G96" t="s">
        <v>762</v>
      </c>
      <c r="H96" t="s">
        <v>376</v>
      </c>
      <c r="I96">
        <v>264700</v>
      </c>
      <c r="J96">
        <v>373000</v>
      </c>
      <c r="K96">
        <v>0.70965147500000003</v>
      </c>
      <c r="L96">
        <v>1.4091424253872309</v>
      </c>
      <c r="M96" t="s">
        <v>16</v>
      </c>
      <c r="N96" t="s">
        <v>446</v>
      </c>
    </row>
    <row r="97" spans="1:14" x14ac:dyDescent="0.35">
      <c r="A97">
        <v>200081</v>
      </c>
      <c r="B97" s="3">
        <v>44144</v>
      </c>
      <c r="C97" t="s">
        <v>475</v>
      </c>
      <c r="D97">
        <v>2020</v>
      </c>
      <c r="E97" s="14">
        <v>44136</v>
      </c>
      <c r="F97" t="s">
        <v>210</v>
      </c>
      <c r="G97" t="s">
        <v>762</v>
      </c>
      <c r="H97" t="s">
        <v>214</v>
      </c>
      <c r="I97">
        <v>270440</v>
      </c>
      <c r="J97">
        <v>372000</v>
      </c>
      <c r="K97">
        <v>0.72689999999999999</v>
      </c>
      <c r="L97">
        <v>1.3755361632894543</v>
      </c>
      <c r="M97" t="s">
        <v>13</v>
      </c>
      <c r="N97" t="s">
        <v>446</v>
      </c>
    </row>
    <row r="98" spans="1:14" x14ac:dyDescent="0.35">
      <c r="A98">
        <v>200011</v>
      </c>
      <c r="B98" s="3">
        <v>44117</v>
      </c>
      <c r="C98" t="s">
        <v>469</v>
      </c>
      <c r="D98">
        <v>2020</v>
      </c>
      <c r="E98" s="14">
        <v>44105</v>
      </c>
      <c r="F98" t="s">
        <v>252</v>
      </c>
      <c r="G98" t="s">
        <v>763</v>
      </c>
      <c r="H98" t="s">
        <v>256</v>
      </c>
      <c r="I98">
        <v>183190</v>
      </c>
      <c r="J98">
        <v>370000</v>
      </c>
      <c r="K98">
        <v>0.49509999999999998</v>
      </c>
      <c r="L98">
        <v>2.0197609039794751</v>
      </c>
      <c r="M98" t="s">
        <v>13</v>
      </c>
      <c r="N98" t="s">
        <v>445</v>
      </c>
    </row>
    <row r="99" spans="1:14" x14ac:dyDescent="0.35">
      <c r="A99">
        <v>900420</v>
      </c>
      <c r="B99" s="3">
        <v>40428</v>
      </c>
      <c r="C99" t="s">
        <v>473</v>
      </c>
      <c r="D99">
        <v>2010</v>
      </c>
      <c r="E99" s="14">
        <v>40422</v>
      </c>
      <c r="F99" t="s">
        <v>68</v>
      </c>
      <c r="G99" t="s">
        <v>769</v>
      </c>
      <c r="H99" t="s">
        <v>315</v>
      </c>
      <c r="I99">
        <v>265580</v>
      </c>
      <c r="J99">
        <v>369900</v>
      </c>
      <c r="K99">
        <v>0.71797783199999998</v>
      </c>
      <c r="L99">
        <v>1.3928006627005045</v>
      </c>
      <c r="M99" t="s">
        <v>16</v>
      </c>
      <c r="N99" t="s">
        <v>446</v>
      </c>
    </row>
    <row r="100" spans="1:14" x14ac:dyDescent="0.35">
      <c r="A100">
        <v>200233</v>
      </c>
      <c r="B100" s="3">
        <v>44196</v>
      </c>
      <c r="C100" t="s">
        <v>450</v>
      </c>
      <c r="D100">
        <v>2020</v>
      </c>
      <c r="E100" s="14">
        <v>44166</v>
      </c>
      <c r="F100" t="s">
        <v>252</v>
      </c>
      <c r="G100" t="s">
        <v>763</v>
      </c>
      <c r="H100" t="s">
        <v>257</v>
      </c>
      <c r="I100">
        <v>202160</v>
      </c>
      <c r="J100">
        <v>365000</v>
      </c>
      <c r="K100">
        <v>0.55379999999999996</v>
      </c>
      <c r="L100">
        <v>1.8055005935892363</v>
      </c>
      <c r="M100" t="s">
        <v>13</v>
      </c>
      <c r="N100" t="s">
        <v>446</v>
      </c>
    </row>
    <row r="101" spans="1:14" x14ac:dyDescent="0.35">
      <c r="A101">
        <v>2000230</v>
      </c>
      <c r="B101" s="3">
        <v>44271</v>
      </c>
      <c r="C101" t="s">
        <v>471</v>
      </c>
      <c r="D101">
        <v>2021</v>
      </c>
      <c r="E101" s="14">
        <v>44256</v>
      </c>
      <c r="F101" t="s">
        <v>43</v>
      </c>
      <c r="G101" t="s">
        <v>755</v>
      </c>
      <c r="H101" t="s">
        <v>44</v>
      </c>
      <c r="I101">
        <v>210940</v>
      </c>
      <c r="J101">
        <v>365000</v>
      </c>
      <c r="K101">
        <v>0.57789999999999997</v>
      </c>
      <c r="L101">
        <v>1.7303498625201479</v>
      </c>
      <c r="M101" t="s">
        <v>13</v>
      </c>
      <c r="N101" t="s">
        <v>446</v>
      </c>
    </row>
    <row r="102" spans="1:14" x14ac:dyDescent="0.35">
      <c r="A102">
        <v>201129</v>
      </c>
      <c r="B102" s="3">
        <v>44427</v>
      </c>
      <c r="C102" t="s">
        <v>462</v>
      </c>
      <c r="D102">
        <v>2021</v>
      </c>
      <c r="E102" s="14">
        <v>44409</v>
      </c>
      <c r="F102" t="s">
        <v>98</v>
      </c>
      <c r="G102" t="s">
        <v>770</v>
      </c>
      <c r="H102" t="s">
        <v>105</v>
      </c>
      <c r="I102">
        <v>114954</v>
      </c>
      <c r="J102">
        <v>360000</v>
      </c>
      <c r="K102">
        <v>0.31929999999999997</v>
      </c>
      <c r="L102">
        <v>3.1316874575917324</v>
      </c>
      <c r="M102" t="s">
        <v>13</v>
      </c>
      <c r="N102" t="s">
        <v>445</v>
      </c>
    </row>
    <row r="103" spans="1:14" x14ac:dyDescent="0.35">
      <c r="A103">
        <v>20293</v>
      </c>
      <c r="B103" s="3">
        <v>44354</v>
      </c>
      <c r="C103" t="s">
        <v>454</v>
      </c>
      <c r="D103">
        <v>2021</v>
      </c>
      <c r="E103" s="14">
        <v>44348</v>
      </c>
      <c r="F103" t="s">
        <v>184</v>
      </c>
      <c r="G103" t="s">
        <v>764</v>
      </c>
      <c r="H103" t="s">
        <v>186</v>
      </c>
      <c r="I103">
        <v>193560</v>
      </c>
      <c r="J103">
        <v>360000</v>
      </c>
      <c r="K103">
        <v>0.53759999999999997</v>
      </c>
      <c r="L103">
        <v>1.8598884066955983</v>
      </c>
      <c r="M103" t="s">
        <v>13</v>
      </c>
      <c r="N103" t="s">
        <v>446</v>
      </c>
    </row>
    <row r="104" spans="1:14" x14ac:dyDescent="0.35">
      <c r="A104">
        <v>200125</v>
      </c>
      <c r="B104" s="3">
        <v>44446</v>
      </c>
      <c r="C104" t="s">
        <v>473</v>
      </c>
      <c r="D104">
        <v>2021</v>
      </c>
      <c r="E104" s="14">
        <v>44440</v>
      </c>
      <c r="F104" t="s">
        <v>106</v>
      </c>
      <c r="G104" t="s">
        <v>770</v>
      </c>
      <c r="H104" t="s">
        <v>107</v>
      </c>
      <c r="I104">
        <v>194790</v>
      </c>
      <c r="J104">
        <v>360000</v>
      </c>
      <c r="K104">
        <v>0.54100000000000004</v>
      </c>
      <c r="L104">
        <v>1.8481441552441091</v>
      </c>
      <c r="M104" t="s">
        <v>13</v>
      </c>
      <c r="N104" t="s">
        <v>446</v>
      </c>
    </row>
    <row r="105" spans="1:14" x14ac:dyDescent="0.35">
      <c r="A105">
        <v>200652</v>
      </c>
      <c r="B105" s="3">
        <v>44376</v>
      </c>
      <c r="C105" t="s">
        <v>454</v>
      </c>
      <c r="D105">
        <v>2021</v>
      </c>
      <c r="E105" s="14">
        <v>44348</v>
      </c>
      <c r="F105" t="s">
        <v>73</v>
      </c>
      <c r="G105" t="s">
        <v>760</v>
      </c>
      <c r="H105" t="s">
        <v>75</v>
      </c>
      <c r="I105">
        <v>203470</v>
      </c>
      <c r="J105">
        <v>360000</v>
      </c>
      <c r="K105">
        <v>0.56510000000000005</v>
      </c>
      <c r="L105">
        <v>1.7693025998918759</v>
      </c>
      <c r="M105" t="s">
        <v>13</v>
      </c>
      <c r="N105" t="s">
        <v>446</v>
      </c>
    </row>
    <row r="106" spans="1:14" x14ac:dyDescent="0.35">
      <c r="A106">
        <v>2002299</v>
      </c>
      <c r="B106" s="3">
        <v>44412</v>
      </c>
      <c r="C106" t="s">
        <v>462</v>
      </c>
      <c r="D106">
        <v>2021</v>
      </c>
      <c r="E106" s="14">
        <v>44409</v>
      </c>
      <c r="F106" t="s">
        <v>181</v>
      </c>
      <c r="G106" t="s">
        <v>762</v>
      </c>
      <c r="H106" t="s">
        <v>234</v>
      </c>
      <c r="I106">
        <v>169050</v>
      </c>
      <c r="J106">
        <v>355000</v>
      </c>
      <c r="K106">
        <v>0.47610000000000002</v>
      </c>
      <c r="L106">
        <v>2.0999704229517895</v>
      </c>
      <c r="M106" t="s">
        <v>13</v>
      </c>
      <c r="N106" t="s">
        <v>445</v>
      </c>
    </row>
    <row r="107" spans="1:14" x14ac:dyDescent="0.35">
      <c r="A107">
        <v>202876</v>
      </c>
      <c r="B107" s="3">
        <v>44426</v>
      </c>
      <c r="C107" t="s">
        <v>462</v>
      </c>
      <c r="D107">
        <v>2021</v>
      </c>
      <c r="E107" s="14">
        <v>44409</v>
      </c>
      <c r="F107" t="s">
        <v>122</v>
      </c>
      <c r="G107" t="s">
        <v>757</v>
      </c>
      <c r="H107" t="s">
        <v>175</v>
      </c>
      <c r="I107">
        <v>256270</v>
      </c>
      <c r="J107">
        <v>355000</v>
      </c>
      <c r="K107">
        <v>0.7218</v>
      </c>
      <c r="L107">
        <v>1.3852577359815819</v>
      </c>
      <c r="M107" t="s">
        <v>13</v>
      </c>
      <c r="N107" t="s">
        <v>446</v>
      </c>
    </row>
    <row r="108" spans="1:14" x14ac:dyDescent="0.35">
      <c r="A108">
        <v>200086</v>
      </c>
      <c r="B108" s="3">
        <v>44418</v>
      </c>
      <c r="C108" t="s">
        <v>462</v>
      </c>
      <c r="D108">
        <v>2021</v>
      </c>
      <c r="E108" s="14">
        <v>44409</v>
      </c>
      <c r="F108" t="s">
        <v>25</v>
      </c>
      <c r="G108" t="s">
        <v>766</v>
      </c>
      <c r="H108" t="s">
        <v>26</v>
      </c>
      <c r="I108">
        <v>168900</v>
      </c>
      <c r="J108">
        <v>352000</v>
      </c>
      <c r="K108">
        <v>0.4798</v>
      </c>
      <c r="L108">
        <v>2.0840734162226169</v>
      </c>
      <c r="M108" t="s">
        <v>13</v>
      </c>
      <c r="N108" t="s">
        <v>445</v>
      </c>
    </row>
    <row r="109" spans="1:14" x14ac:dyDescent="0.35">
      <c r="A109">
        <v>200656</v>
      </c>
      <c r="B109" s="3">
        <v>44316</v>
      </c>
      <c r="C109" t="s">
        <v>452</v>
      </c>
      <c r="D109">
        <v>2021</v>
      </c>
      <c r="E109" s="14">
        <v>44287</v>
      </c>
      <c r="F109" t="s">
        <v>133</v>
      </c>
      <c r="G109" t="s">
        <v>757</v>
      </c>
      <c r="H109" t="s">
        <v>179</v>
      </c>
      <c r="I109">
        <v>262300</v>
      </c>
      <c r="J109">
        <v>352000</v>
      </c>
      <c r="K109">
        <v>0.74509999999999998</v>
      </c>
      <c r="L109">
        <v>1.341974837971788</v>
      </c>
      <c r="M109" t="s">
        <v>10</v>
      </c>
      <c r="N109" t="s">
        <v>446</v>
      </c>
    </row>
    <row r="110" spans="1:14" x14ac:dyDescent="0.35">
      <c r="A110">
        <v>200210</v>
      </c>
      <c r="B110" s="3">
        <v>44389</v>
      </c>
      <c r="C110" t="s">
        <v>458</v>
      </c>
      <c r="D110">
        <v>2021</v>
      </c>
      <c r="E110" s="14">
        <v>44378</v>
      </c>
      <c r="F110" t="s">
        <v>123</v>
      </c>
      <c r="G110" t="s">
        <v>765</v>
      </c>
      <c r="H110" t="s">
        <v>124</v>
      </c>
      <c r="I110">
        <v>169400</v>
      </c>
      <c r="J110">
        <v>345000</v>
      </c>
      <c r="K110">
        <v>0.49099999999999999</v>
      </c>
      <c r="L110">
        <v>2.0365997638724913</v>
      </c>
      <c r="M110" t="s">
        <v>13</v>
      </c>
      <c r="N110" t="s">
        <v>445</v>
      </c>
    </row>
    <row r="111" spans="1:14" x14ac:dyDescent="0.35">
      <c r="A111">
        <v>2000212</v>
      </c>
      <c r="B111" s="3">
        <v>44132</v>
      </c>
      <c r="C111" t="s">
        <v>469</v>
      </c>
      <c r="D111">
        <v>2020</v>
      </c>
      <c r="E111" s="14">
        <v>44105</v>
      </c>
      <c r="F111" t="s">
        <v>181</v>
      </c>
      <c r="G111" t="s">
        <v>762</v>
      </c>
      <c r="H111" t="s">
        <v>231</v>
      </c>
      <c r="I111">
        <v>199330</v>
      </c>
      <c r="J111">
        <v>342500</v>
      </c>
      <c r="K111">
        <v>0.58189999999999997</v>
      </c>
      <c r="L111">
        <v>1.7182561581297346</v>
      </c>
      <c r="M111" t="s">
        <v>13</v>
      </c>
      <c r="N111" t="s">
        <v>446</v>
      </c>
    </row>
    <row r="112" spans="1:14" x14ac:dyDescent="0.35">
      <c r="A112">
        <v>200149</v>
      </c>
      <c r="B112" s="3">
        <v>44389</v>
      </c>
      <c r="C112" t="s">
        <v>458</v>
      </c>
      <c r="D112">
        <v>2021</v>
      </c>
      <c r="E112" s="14">
        <v>44378</v>
      </c>
      <c r="F112" t="s">
        <v>244</v>
      </c>
      <c r="G112" t="s">
        <v>763</v>
      </c>
      <c r="H112" t="s">
        <v>245</v>
      </c>
      <c r="I112">
        <v>204000</v>
      </c>
      <c r="J112">
        <v>337500</v>
      </c>
      <c r="K112">
        <v>0.60440000000000005</v>
      </c>
      <c r="L112">
        <v>1.6544117647058822</v>
      </c>
      <c r="M112" t="s">
        <v>13</v>
      </c>
      <c r="N112" t="s">
        <v>446</v>
      </c>
    </row>
    <row r="113" spans="1:14" x14ac:dyDescent="0.35">
      <c r="A113">
        <v>20139</v>
      </c>
      <c r="B113" s="3">
        <v>44181</v>
      </c>
      <c r="C113" t="s">
        <v>450</v>
      </c>
      <c r="D113">
        <v>2020</v>
      </c>
      <c r="E113" s="14">
        <v>44166</v>
      </c>
      <c r="F113" t="s">
        <v>23</v>
      </c>
      <c r="G113" t="s">
        <v>766</v>
      </c>
      <c r="H113" t="s">
        <v>24</v>
      </c>
      <c r="I113">
        <v>171360</v>
      </c>
      <c r="J113">
        <v>335000</v>
      </c>
      <c r="K113">
        <v>0.51149999999999995</v>
      </c>
      <c r="L113">
        <v>1.9549486461251167</v>
      </c>
      <c r="M113" t="s">
        <v>13</v>
      </c>
      <c r="N113" t="s">
        <v>446</v>
      </c>
    </row>
    <row r="114" spans="1:14" x14ac:dyDescent="0.35">
      <c r="A114">
        <v>200522</v>
      </c>
      <c r="B114" s="3">
        <v>44259</v>
      </c>
      <c r="C114" t="s">
        <v>471</v>
      </c>
      <c r="D114">
        <v>2021</v>
      </c>
      <c r="E114" s="14">
        <v>44256</v>
      </c>
      <c r="F114" t="s">
        <v>133</v>
      </c>
      <c r="G114" t="s">
        <v>757</v>
      </c>
      <c r="H114" t="s">
        <v>178</v>
      </c>
      <c r="I114">
        <v>174400</v>
      </c>
      <c r="J114">
        <v>335000</v>
      </c>
      <c r="K114">
        <v>0.52049999999999996</v>
      </c>
      <c r="L114">
        <v>1.9208715596330275</v>
      </c>
      <c r="M114" t="s">
        <v>13</v>
      </c>
      <c r="N114" t="s">
        <v>446</v>
      </c>
    </row>
    <row r="115" spans="1:14" x14ac:dyDescent="0.35">
      <c r="A115">
        <v>200289</v>
      </c>
      <c r="B115" s="3">
        <v>44158</v>
      </c>
      <c r="C115" t="s">
        <v>475</v>
      </c>
      <c r="D115">
        <v>2020</v>
      </c>
      <c r="E115" s="14">
        <v>44136</v>
      </c>
      <c r="F115" t="s">
        <v>122</v>
      </c>
      <c r="G115" t="s">
        <v>757</v>
      </c>
      <c r="H115" t="s">
        <v>176</v>
      </c>
      <c r="I115">
        <v>173040</v>
      </c>
      <c r="J115">
        <v>330000</v>
      </c>
      <c r="K115">
        <v>0.52429999999999999</v>
      </c>
      <c r="L115">
        <v>1.9070735090152566</v>
      </c>
      <c r="M115" t="s">
        <v>13</v>
      </c>
      <c r="N115" t="s">
        <v>446</v>
      </c>
    </row>
    <row r="116" spans="1:14" x14ac:dyDescent="0.35">
      <c r="A116">
        <v>100035</v>
      </c>
      <c r="B116" s="3">
        <v>40512</v>
      </c>
      <c r="C116" t="s">
        <v>475</v>
      </c>
      <c r="D116">
        <v>2010</v>
      </c>
      <c r="E116" s="14">
        <v>40483</v>
      </c>
      <c r="F116" t="s">
        <v>96</v>
      </c>
      <c r="G116" t="s">
        <v>756</v>
      </c>
      <c r="H116" t="s">
        <v>318</v>
      </c>
      <c r="I116">
        <v>257040</v>
      </c>
      <c r="J116">
        <v>330000</v>
      </c>
      <c r="K116">
        <v>0.77890909100000005</v>
      </c>
      <c r="L116">
        <v>1.2838468720821663</v>
      </c>
      <c r="M116" t="s">
        <v>16</v>
      </c>
      <c r="N116" t="s">
        <v>446</v>
      </c>
    </row>
    <row r="117" spans="1:14" x14ac:dyDescent="0.35">
      <c r="A117">
        <v>200494</v>
      </c>
      <c r="B117" s="3">
        <v>44246</v>
      </c>
      <c r="C117" t="s">
        <v>460</v>
      </c>
      <c r="D117">
        <v>2021</v>
      </c>
      <c r="E117" s="14">
        <v>44228</v>
      </c>
      <c r="F117" t="s">
        <v>192</v>
      </c>
      <c r="G117" t="s">
        <v>759</v>
      </c>
      <c r="H117" t="s">
        <v>275</v>
      </c>
      <c r="I117">
        <v>181720</v>
      </c>
      <c r="J117">
        <v>327900</v>
      </c>
      <c r="K117">
        <v>0.55410000000000004</v>
      </c>
      <c r="L117">
        <v>1.8044243891701519</v>
      </c>
      <c r="M117" t="s">
        <v>13</v>
      </c>
      <c r="N117" t="s">
        <v>446</v>
      </c>
    </row>
    <row r="118" spans="1:14" x14ac:dyDescent="0.35">
      <c r="A118">
        <v>2020348</v>
      </c>
      <c r="B118" s="3">
        <v>44452</v>
      </c>
      <c r="C118" t="s">
        <v>473</v>
      </c>
      <c r="D118">
        <v>2021</v>
      </c>
      <c r="E118" s="14">
        <v>44440</v>
      </c>
      <c r="F118" t="s">
        <v>8</v>
      </c>
      <c r="G118" t="s">
        <v>761</v>
      </c>
      <c r="H118" t="s">
        <v>9</v>
      </c>
      <c r="I118">
        <v>150500</v>
      </c>
      <c r="J118">
        <v>325000</v>
      </c>
      <c r="K118">
        <v>0.46300000000000002</v>
      </c>
      <c r="L118">
        <v>2.1594684385382061</v>
      </c>
      <c r="M118" t="s">
        <v>10</v>
      </c>
      <c r="N118" t="s">
        <v>445</v>
      </c>
    </row>
    <row r="119" spans="1:14" x14ac:dyDescent="0.35">
      <c r="A119">
        <v>201443</v>
      </c>
      <c r="B119" s="3">
        <v>44440</v>
      </c>
      <c r="C119" t="s">
        <v>473</v>
      </c>
      <c r="D119">
        <v>2021</v>
      </c>
      <c r="E119" s="14">
        <v>44440</v>
      </c>
      <c r="F119" t="s">
        <v>56</v>
      </c>
      <c r="G119" t="s">
        <v>758</v>
      </c>
      <c r="H119" t="s">
        <v>61</v>
      </c>
      <c r="I119">
        <v>158700</v>
      </c>
      <c r="J119">
        <v>325000</v>
      </c>
      <c r="K119">
        <v>0.48830000000000001</v>
      </c>
      <c r="L119">
        <v>2.0478890989287963</v>
      </c>
      <c r="M119" t="s">
        <v>13</v>
      </c>
      <c r="N119" t="s">
        <v>445</v>
      </c>
    </row>
    <row r="120" spans="1:14" x14ac:dyDescent="0.35">
      <c r="A120">
        <v>200175</v>
      </c>
      <c r="B120" s="3">
        <v>44133</v>
      </c>
      <c r="C120" t="s">
        <v>469</v>
      </c>
      <c r="D120">
        <v>2020</v>
      </c>
      <c r="E120" s="14">
        <v>44105</v>
      </c>
      <c r="F120" t="s">
        <v>108</v>
      </c>
      <c r="G120" t="s">
        <v>765</v>
      </c>
      <c r="H120" t="s">
        <v>134</v>
      </c>
      <c r="I120">
        <v>180950</v>
      </c>
      <c r="J120">
        <v>325000</v>
      </c>
      <c r="K120">
        <v>0.55669999999999997</v>
      </c>
      <c r="L120">
        <v>1.7960762641613706</v>
      </c>
      <c r="M120" t="s">
        <v>13</v>
      </c>
      <c r="N120" t="s">
        <v>446</v>
      </c>
    </row>
    <row r="121" spans="1:14" x14ac:dyDescent="0.35">
      <c r="A121">
        <v>160717</v>
      </c>
      <c r="B121" s="3">
        <v>42979</v>
      </c>
      <c r="C121" t="s">
        <v>473</v>
      </c>
      <c r="D121">
        <v>2017</v>
      </c>
      <c r="E121" s="14">
        <v>42979</v>
      </c>
      <c r="F121" t="s">
        <v>283</v>
      </c>
      <c r="G121" t="s">
        <v>759</v>
      </c>
      <c r="H121" t="s">
        <v>391</v>
      </c>
      <c r="I121">
        <v>199400</v>
      </c>
      <c r="J121">
        <v>320000</v>
      </c>
      <c r="K121">
        <v>0.62312500000000004</v>
      </c>
      <c r="L121">
        <v>1.60481444332999</v>
      </c>
      <c r="M121" t="s">
        <v>16</v>
      </c>
      <c r="N121" t="s">
        <v>446</v>
      </c>
    </row>
    <row r="122" spans="1:14" x14ac:dyDescent="0.35">
      <c r="A122">
        <v>2000448</v>
      </c>
      <c r="B122" s="3">
        <v>44364</v>
      </c>
      <c r="C122" t="s">
        <v>454</v>
      </c>
      <c r="D122">
        <v>2021</v>
      </c>
      <c r="E122" s="14">
        <v>44348</v>
      </c>
      <c r="F122" t="s">
        <v>277</v>
      </c>
      <c r="G122" t="s">
        <v>759</v>
      </c>
      <c r="H122" t="s">
        <v>278</v>
      </c>
      <c r="I122">
        <v>158870</v>
      </c>
      <c r="J122">
        <v>315000</v>
      </c>
      <c r="K122">
        <v>0.50429999999999997</v>
      </c>
      <c r="L122">
        <v>1.9827531944357022</v>
      </c>
      <c r="M122" t="s">
        <v>13</v>
      </c>
      <c r="N122" t="s">
        <v>446</v>
      </c>
    </row>
    <row r="123" spans="1:14" x14ac:dyDescent="0.35">
      <c r="A123">
        <v>160943</v>
      </c>
      <c r="B123" s="3">
        <v>42874</v>
      </c>
      <c r="C123" t="s">
        <v>456</v>
      </c>
      <c r="D123">
        <v>2017</v>
      </c>
      <c r="E123" s="14">
        <v>42856</v>
      </c>
      <c r="F123" t="s">
        <v>122</v>
      </c>
      <c r="G123" t="s">
        <v>757</v>
      </c>
      <c r="H123" t="s">
        <v>375</v>
      </c>
      <c r="I123">
        <v>189500</v>
      </c>
      <c r="J123">
        <v>313000</v>
      </c>
      <c r="K123">
        <v>0.60543130999999994</v>
      </c>
      <c r="L123">
        <v>1.6517150395778364</v>
      </c>
      <c r="M123" t="s">
        <v>16</v>
      </c>
      <c r="N123" t="s">
        <v>446</v>
      </c>
    </row>
    <row r="124" spans="1:14" x14ac:dyDescent="0.35">
      <c r="A124">
        <v>20492</v>
      </c>
      <c r="B124" s="3">
        <v>44427</v>
      </c>
      <c r="C124" t="s">
        <v>462</v>
      </c>
      <c r="D124">
        <v>2021</v>
      </c>
      <c r="E124" s="14">
        <v>44409</v>
      </c>
      <c r="F124" t="s">
        <v>184</v>
      </c>
      <c r="G124" t="s">
        <v>764</v>
      </c>
      <c r="H124" t="s">
        <v>188</v>
      </c>
      <c r="I124">
        <v>142910</v>
      </c>
      <c r="J124">
        <v>310000</v>
      </c>
      <c r="K124">
        <v>0.46100000000000002</v>
      </c>
      <c r="L124">
        <v>2.1691973969631237</v>
      </c>
      <c r="M124" t="s">
        <v>13</v>
      </c>
      <c r="N124" t="s">
        <v>445</v>
      </c>
    </row>
    <row r="125" spans="1:14" x14ac:dyDescent="0.35">
      <c r="A125">
        <v>200700</v>
      </c>
      <c r="B125" s="3">
        <v>44390</v>
      </c>
      <c r="C125" t="s">
        <v>458</v>
      </c>
      <c r="D125">
        <v>2021</v>
      </c>
      <c r="E125" s="14">
        <v>44378</v>
      </c>
      <c r="F125" t="s">
        <v>73</v>
      </c>
      <c r="G125" t="s">
        <v>760</v>
      </c>
      <c r="H125" t="s">
        <v>420</v>
      </c>
      <c r="I125">
        <v>161590</v>
      </c>
      <c r="J125">
        <v>310000</v>
      </c>
      <c r="K125">
        <v>0.5212</v>
      </c>
      <c r="L125">
        <v>1.9184355467541307</v>
      </c>
      <c r="M125" t="s">
        <v>13</v>
      </c>
      <c r="N125" t="s">
        <v>446</v>
      </c>
    </row>
    <row r="126" spans="1:14" x14ac:dyDescent="0.35">
      <c r="A126">
        <v>200038</v>
      </c>
      <c r="B126" s="3">
        <v>44113</v>
      </c>
      <c r="C126" t="s">
        <v>469</v>
      </c>
      <c r="D126">
        <v>2020</v>
      </c>
      <c r="E126" s="14">
        <v>44105</v>
      </c>
      <c r="F126" t="s">
        <v>125</v>
      </c>
      <c r="G126" t="s">
        <v>765</v>
      </c>
      <c r="H126" t="s">
        <v>132</v>
      </c>
      <c r="I126">
        <v>209440</v>
      </c>
      <c r="J126">
        <v>307000</v>
      </c>
      <c r="K126">
        <v>0.68220000000000003</v>
      </c>
      <c r="L126">
        <v>1.4658135981665394</v>
      </c>
      <c r="M126" t="s">
        <v>13</v>
      </c>
      <c r="N126" t="s">
        <v>446</v>
      </c>
    </row>
    <row r="127" spans="1:14" x14ac:dyDescent="0.35">
      <c r="A127">
        <v>200961</v>
      </c>
      <c r="B127" s="3">
        <v>44378</v>
      </c>
      <c r="C127" t="s">
        <v>458</v>
      </c>
      <c r="D127">
        <v>2021</v>
      </c>
      <c r="E127" s="14">
        <v>44378</v>
      </c>
      <c r="F127" t="s">
        <v>125</v>
      </c>
      <c r="G127" t="s">
        <v>765</v>
      </c>
      <c r="H127" t="s">
        <v>128</v>
      </c>
      <c r="I127">
        <v>130340</v>
      </c>
      <c r="J127">
        <v>305000</v>
      </c>
      <c r="K127">
        <v>0.42730000000000001</v>
      </c>
      <c r="L127">
        <v>2.340033757864048</v>
      </c>
      <c r="M127" t="s">
        <v>13</v>
      </c>
      <c r="N127" t="s">
        <v>445</v>
      </c>
    </row>
    <row r="128" spans="1:14" x14ac:dyDescent="0.35">
      <c r="A128">
        <v>200557</v>
      </c>
      <c r="B128" s="3">
        <v>44267</v>
      </c>
      <c r="C128" t="s">
        <v>471</v>
      </c>
      <c r="D128">
        <v>2021</v>
      </c>
      <c r="E128" s="14">
        <v>44256</v>
      </c>
      <c r="F128" t="s">
        <v>192</v>
      </c>
      <c r="G128" t="s">
        <v>759</v>
      </c>
      <c r="H128" t="s">
        <v>276</v>
      </c>
      <c r="I128">
        <v>166670</v>
      </c>
      <c r="J128">
        <v>305000</v>
      </c>
      <c r="K128">
        <v>0.5464</v>
      </c>
      <c r="L128">
        <v>1.8299634007319854</v>
      </c>
      <c r="M128" t="s">
        <v>13</v>
      </c>
      <c r="N128" t="s">
        <v>446</v>
      </c>
    </row>
    <row r="129" spans="1:14" x14ac:dyDescent="0.35">
      <c r="A129">
        <v>20014</v>
      </c>
      <c r="B129" s="3">
        <v>44110</v>
      </c>
      <c r="C129" t="s">
        <v>469</v>
      </c>
      <c r="D129">
        <v>2020</v>
      </c>
      <c r="E129" s="14">
        <v>44105</v>
      </c>
      <c r="F129" t="s">
        <v>136</v>
      </c>
      <c r="G129" t="s">
        <v>765</v>
      </c>
      <c r="H129" t="s">
        <v>137</v>
      </c>
      <c r="I129">
        <v>189100</v>
      </c>
      <c r="J129">
        <v>305000</v>
      </c>
      <c r="K129">
        <v>0.62</v>
      </c>
      <c r="L129">
        <v>1.6129032258064515</v>
      </c>
      <c r="M129" t="s">
        <v>13</v>
      </c>
      <c r="N129" t="s">
        <v>446</v>
      </c>
    </row>
    <row r="130" spans="1:14" x14ac:dyDescent="0.35">
      <c r="A130">
        <v>200376</v>
      </c>
      <c r="B130" s="3">
        <v>44200</v>
      </c>
      <c r="C130" t="s">
        <v>464</v>
      </c>
      <c r="D130">
        <v>2021</v>
      </c>
      <c r="E130" s="14">
        <v>44197</v>
      </c>
      <c r="F130" t="s">
        <v>192</v>
      </c>
      <c r="G130" t="s">
        <v>759</v>
      </c>
      <c r="H130" t="s">
        <v>274</v>
      </c>
      <c r="I130">
        <v>216580</v>
      </c>
      <c r="J130">
        <v>305000</v>
      </c>
      <c r="K130">
        <v>0.71</v>
      </c>
      <c r="L130">
        <v>1.4082556099362822</v>
      </c>
      <c r="M130" t="s">
        <v>13</v>
      </c>
      <c r="N130" t="s">
        <v>446</v>
      </c>
    </row>
    <row r="131" spans="1:14" x14ac:dyDescent="0.35">
      <c r="A131">
        <v>201078</v>
      </c>
      <c r="B131" s="3">
        <v>44186</v>
      </c>
      <c r="C131" t="s">
        <v>450</v>
      </c>
      <c r="D131">
        <v>2020</v>
      </c>
      <c r="E131" s="14">
        <v>44166</v>
      </c>
      <c r="F131" t="s">
        <v>90</v>
      </c>
      <c r="G131" t="s">
        <v>756</v>
      </c>
      <c r="H131" t="s">
        <v>91</v>
      </c>
      <c r="I131">
        <v>173040</v>
      </c>
      <c r="J131">
        <v>302000</v>
      </c>
      <c r="K131">
        <v>0.57289999999999996</v>
      </c>
      <c r="L131">
        <v>1.7452612112806287</v>
      </c>
      <c r="M131" t="s">
        <v>13</v>
      </c>
      <c r="N131" t="s">
        <v>446</v>
      </c>
    </row>
    <row r="132" spans="1:14" x14ac:dyDescent="0.35">
      <c r="A132">
        <v>200484</v>
      </c>
      <c r="B132" s="3">
        <v>44389</v>
      </c>
      <c r="C132" t="s">
        <v>458</v>
      </c>
      <c r="D132">
        <v>2021</v>
      </c>
      <c r="E132" s="14">
        <v>44378</v>
      </c>
      <c r="F132" t="s">
        <v>187</v>
      </c>
      <c r="G132" t="s">
        <v>771</v>
      </c>
      <c r="H132" t="s">
        <v>259</v>
      </c>
      <c r="I132">
        <v>126800</v>
      </c>
      <c r="J132">
        <v>300000</v>
      </c>
      <c r="K132">
        <v>0.42259999999999998</v>
      </c>
      <c r="L132">
        <v>2.3659305993690851</v>
      </c>
      <c r="M132" t="s">
        <v>13</v>
      </c>
      <c r="N132" t="s">
        <v>445</v>
      </c>
    </row>
    <row r="133" spans="1:14" x14ac:dyDescent="0.35">
      <c r="A133">
        <v>200354</v>
      </c>
      <c r="B133" s="3">
        <v>44194</v>
      </c>
      <c r="C133" t="s">
        <v>450</v>
      </c>
      <c r="D133">
        <v>2020</v>
      </c>
      <c r="E133" s="14">
        <v>44166</v>
      </c>
      <c r="F133" t="s">
        <v>32</v>
      </c>
      <c r="G133" t="s">
        <v>766</v>
      </c>
      <c r="H133" t="s">
        <v>34</v>
      </c>
      <c r="I133">
        <v>173740</v>
      </c>
      <c r="J133">
        <v>299000</v>
      </c>
      <c r="K133">
        <v>0.58099999999999996</v>
      </c>
      <c r="L133">
        <v>1.720962357545758</v>
      </c>
      <c r="M133" t="s">
        <v>13</v>
      </c>
      <c r="N133" t="s">
        <v>446</v>
      </c>
    </row>
    <row r="134" spans="1:14" x14ac:dyDescent="0.35">
      <c r="A134">
        <v>161101</v>
      </c>
      <c r="B134" s="3">
        <v>42864</v>
      </c>
      <c r="C134" t="s">
        <v>456</v>
      </c>
      <c r="D134">
        <v>2017</v>
      </c>
      <c r="E134" s="14">
        <v>42856</v>
      </c>
      <c r="F134" t="s">
        <v>181</v>
      </c>
      <c r="G134" t="s">
        <v>762</v>
      </c>
      <c r="H134" t="s">
        <v>399</v>
      </c>
      <c r="I134">
        <v>180350</v>
      </c>
      <c r="J134">
        <v>299000</v>
      </c>
      <c r="K134">
        <v>0.60317725799999999</v>
      </c>
      <c r="L134">
        <v>1.6578874410867757</v>
      </c>
      <c r="M134" t="s">
        <v>16</v>
      </c>
      <c r="N134" t="s">
        <v>446</v>
      </c>
    </row>
    <row r="135" spans="1:14" x14ac:dyDescent="0.35">
      <c r="A135">
        <v>80097</v>
      </c>
      <c r="B135" s="3">
        <v>39897</v>
      </c>
      <c r="C135" t="s">
        <v>471</v>
      </c>
      <c r="D135">
        <v>2009</v>
      </c>
      <c r="E135" s="14">
        <v>39873</v>
      </c>
      <c r="F135" t="s">
        <v>308</v>
      </c>
      <c r="G135" t="s">
        <v>760</v>
      </c>
      <c r="H135" t="s">
        <v>309</v>
      </c>
      <c r="I135">
        <v>210600</v>
      </c>
      <c r="J135">
        <v>299000</v>
      </c>
      <c r="K135">
        <v>0.70434782600000001</v>
      </c>
      <c r="L135">
        <v>1.4197530864197532</v>
      </c>
      <c r="M135" t="s">
        <v>16</v>
      </c>
      <c r="N135" t="s">
        <v>446</v>
      </c>
    </row>
    <row r="136" spans="1:14" x14ac:dyDescent="0.35">
      <c r="A136">
        <v>70355</v>
      </c>
      <c r="B136" s="3">
        <v>39587</v>
      </c>
      <c r="C136" t="s">
        <v>456</v>
      </c>
      <c r="D136">
        <v>2008</v>
      </c>
      <c r="E136" s="14">
        <v>39569</v>
      </c>
      <c r="F136" t="s">
        <v>283</v>
      </c>
      <c r="G136" t="s">
        <v>759</v>
      </c>
      <c r="H136" t="s">
        <v>299</v>
      </c>
      <c r="I136">
        <v>179830</v>
      </c>
      <c r="J136">
        <v>292500</v>
      </c>
      <c r="K136">
        <v>0.61480341900000002</v>
      </c>
      <c r="L136">
        <v>1.6265361730523271</v>
      </c>
      <c r="M136" t="s">
        <v>16</v>
      </c>
      <c r="N136" t="s">
        <v>446</v>
      </c>
    </row>
    <row r="137" spans="1:14" x14ac:dyDescent="0.35">
      <c r="A137">
        <v>200046</v>
      </c>
      <c r="B137" s="3">
        <v>44179</v>
      </c>
      <c r="C137" t="s">
        <v>450</v>
      </c>
      <c r="D137">
        <v>2020</v>
      </c>
      <c r="E137" s="14">
        <v>44166</v>
      </c>
      <c r="F137" t="s">
        <v>244</v>
      </c>
      <c r="G137" t="s">
        <v>763</v>
      </c>
      <c r="H137" t="s">
        <v>246</v>
      </c>
      <c r="I137">
        <v>133210</v>
      </c>
      <c r="J137">
        <v>289900</v>
      </c>
      <c r="K137">
        <v>0.45950000000000002</v>
      </c>
      <c r="L137">
        <v>2.1762630433150663</v>
      </c>
      <c r="M137" t="s">
        <v>13</v>
      </c>
      <c r="N137" t="s">
        <v>445</v>
      </c>
    </row>
    <row r="138" spans="1:14" x14ac:dyDescent="0.35">
      <c r="A138">
        <v>20200070</v>
      </c>
      <c r="B138" s="3">
        <v>44294</v>
      </c>
      <c r="C138" t="s">
        <v>452</v>
      </c>
      <c r="D138">
        <v>2021</v>
      </c>
      <c r="E138" s="14">
        <v>44287</v>
      </c>
      <c r="F138" t="s">
        <v>135</v>
      </c>
      <c r="G138" t="s">
        <v>762</v>
      </c>
      <c r="H138" t="s">
        <v>204</v>
      </c>
      <c r="I138">
        <v>170200</v>
      </c>
      <c r="J138">
        <v>287000</v>
      </c>
      <c r="K138">
        <v>0.59299999999999997</v>
      </c>
      <c r="L138">
        <v>1.6862514688601644</v>
      </c>
      <c r="M138" t="s">
        <v>13</v>
      </c>
      <c r="N138" t="s">
        <v>446</v>
      </c>
    </row>
    <row r="139" spans="1:14" x14ac:dyDescent="0.35">
      <c r="A139">
        <v>200709</v>
      </c>
      <c r="B139" s="3">
        <v>44302</v>
      </c>
      <c r="C139" t="s">
        <v>452</v>
      </c>
      <c r="D139">
        <v>2021</v>
      </c>
      <c r="E139" s="14">
        <v>44287</v>
      </c>
      <c r="F139" t="s">
        <v>117</v>
      </c>
      <c r="G139" t="s">
        <v>765</v>
      </c>
      <c r="H139" t="s">
        <v>118</v>
      </c>
      <c r="I139">
        <v>138100</v>
      </c>
      <c r="J139">
        <v>282500</v>
      </c>
      <c r="K139">
        <v>0.48884955800000002</v>
      </c>
      <c r="L139">
        <v>2.0456191165821869</v>
      </c>
      <c r="M139" t="s">
        <v>13</v>
      </c>
      <c r="N139" t="s">
        <v>445</v>
      </c>
    </row>
    <row r="140" spans="1:14" x14ac:dyDescent="0.35">
      <c r="A140">
        <v>200117</v>
      </c>
      <c r="B140" s="3">
        <v>44298</v>
      </c>
      <c r="C140" t="s">
        <v>452</v>
      </c>
      <c r="D140">
        <v>2021</v>
      </c>
      <c r="E140" s="14">
        <v>44287</v>
      </c>
      <c r="F140" t="s">
        <v>41</v>
      </c>
      <c r="G140" t="s">
        <v>755</v>
      </c>
      <c r="H140" t="s">
        <v>42</v>
      </c>
      <c r="I140">
        <v>160850</v>
      </c>
      <c r="J140">
        <v>280000</v>
      </c>
      <c r="K140">
        <v>0.57440000000000002</v>
      </c>
      <c r="L140">
        <v>1.7407522536524713</v>
      </c>
      <c r="M140" t="s">
        <v>13</v>
      </c>
      <c r="N140" t="s">
        <v>446</v>
      </c>
    </row>
    <row r="141" spans="1:14" x14ac:dyDescent="0.35">
      <c r="A141">
        <v>90472</v>
      </c>
      <c r="B141" s="3">
        <v>40331</v>
      </c>
      <c r="C141" t="s">
        <v>454</v>
      </c>
      <c r="D141">
        <v>2010</v>
      </c>
      <c r="E141" s="14">
        <v>40330</v>
      </c>
      <c r="F141" t="s">
        <v>260</v>
      </c>
      <c r="G141" t="s">
        <v>769</v>
      </c>
      <c r="H141" t="s">
        <v>313</v>
      </c>
      <c r="I141">
        <v>220920</v>
      </c>
      <c r="J141">
        <v>280000</v>
      </c>
      <c r="K141">
        <v>0.78900000000000003</v>
      </c>
      <c r="L141">
        <v>1.267427122940431</v>
      </c>
      <c r="M141" t="s">
        <v>16</v>
      </c>
      <c r="N141" t="s">
        <v>446</v>
      </c>
    </row>
    <row r="142" spans="1:14" x14ac:dyDescent="0.35">
      <c r="A142">
        <v>20899</v>
      </c>
      <c r="B142" s="3">
        <v>44368</v>
      </c>
      <c r="C142" t="s">
        <v>454</v>
      </c>
      <c r="D142">
        <v>2021</v>
      </c>
      <c r="E142" s="14">
        <v>44348</v>
      </c>
      <c r="F142" t="s">
        <v>98</v>
      </c>
      <c r="G142" t="s">
        <v>770</v>
      </c>
      <c r="H142" t="s">
        <v>427</v>
      </c>
      <c r="I142">
        <v>137270</v>
      </c>
      <c r="J142">
        <v>278500</v>
      </c>
      <c r="K142">
        <v>0.49280000000000002</v>
      </c>
      <c r="L142">
        <v>2.0288482552633496</v>
      </c>
      <c r="M142" t="s">
        <v>103</v>
      </c>
      <c r="N142" t="s">
        <v>445</v>
      </c>
    </row>
    <row r="143" spans="1:14" x14ac:dyDescent="0.35">
      <c r="A143">
        <v>160197</v>
      </c>
      <c r="B143" s="3">
        <v>42675</v>
      </c>
      <c r="C143" t="s">
        <v>475</v>
      </c>
      <c r="D143">
        <v>2016</v>
      </c>
      <c r="E143" s="14">
        <v>42675</v>
      </c>
      <c r="F143" t="s">
        <v>181</v>
      </c>
      <c r="G143" t="s">
        <v>762</v>
      </c>
      <c r="H143" t="s">
        <v>368</v>
      </c>
      <c r="I143">
        <v>143650</v>
      </c>
      <c r="J143">
        <v>278000</v>
      </c>
      <c r="K143">
        <v>0.51672661900000005</v>
      </c>
      <c r="L143">
        <v>1.9352593108249216</v>
      </c>
      <c r="M143" t="s">
        <v>16</v>
      </c>
      <c r="N143" t="s">
        <v>446</v>
      </c>
    </row>
    <row r="144" spans="1:14" x14ac:dyDescent="0.35">
      <c r="A144">
        <v>2000327</v>
      </c>
      <c r="B144" s="3">
        <v>44258</v>
      </c>
      <c r="C144" t="s">
        <v>471</v>
      </c>
      <c r="D144">
        <v>2021</v>
      </c>
      <c r="E144" s="14">
        <v>44256</v>
      </c>
      <c r="F144" t="s">
        <v>140</v>
      </c>
      <c r="G144" t="s">
        <v>757</v>
      </c>
      <c r="H144" t="s">
        <v>428</v>
      </c>
      <c r="I144">
        <v>157810</v>
      </c>
      <c r="J144">
        <v>276500</v>
      </c>
      <c r="K144">
        <v>0.57069999999999999</v>
      </c>
      <c r="L144">
        <v>1.7521069640707179</v>
      </c>
      <c r="M144" t="s">
        <v>13</v>
      </c>
      <c r="N144" t="s">
        <v>446</v>
      </c>
    </row>
    <row r="145" spans="1:14" x14ac:dyDescent="0.35">
      <c r="A145">
        <v>20200059</v>
      </c>
      <c r="B145" s="3">
        <v>44117</v>
      </c>
      <c r="C145" t="s">
        <v>469</v>
      </c>
      <c r="D145">
        <v>2020</v>
      </c>
      <c r="E145" s="14">
        <v>44105</v>
      </c>
      <c r="F145" t="s">
        <v>129</v>
      </c>
      <c r="G145" t="s">
        <v>762</v>
      </c>
      <c r="H145" t="s">
        <v>240</v>
      </c>
      <c r="I145">
        <v>156380</v>
      </c>
      <c r="J145">
        <v>276000</v>
      </c>
      <c r="K145">
        <v>0.5665</v>
      </c>
      <c r="L145">
        <v>1.7649315769279958</v>
      </c>
      <c r="M145" t="s">
        <v>13</v>
      </c>
      <c r="N145" t="s">
        <v>446</v>
      </c>
    </row>
    <row r="146" spans="1:14" x14ac:dyDescent="0.35">
      <c r="A146">
        <v>90042</v>
      </c>
      <c r="B146" s="3">
        <v>40106</v>
      </c>
      <c r="C146" t="s">
        <v>469</v>
      </c>
      <c r="D146">
        <v>2009</v>
      </c>
      <c r="E146" s="14">
        <v>40087</v>
      </c>
      <c r="F146" t="s">
        <v>84</v>
      </c>
      <c r="G146" t="s">
        <v>770</v>
      </c>
      <c r="H146" t="s">
        <v>323</v>
      </c>
      <c r="I146">
        <v>219870</v>
      </c>
      <c r="J146">
        <v>275000</v>
      </c>
      <c r="K146">
        <v>0.79952727300000004</v>
      </c>
      <c r="L146">
        <v>1.2507390730886432</v>
      </c>
      <c r="M146" t="s">
        <v>16</v>
      </c>
      <c r="N146" t="s">
        <v>446</v>
      </c>
    </row>
    <row r="147" spans="1:14" x14ac:dyDescent="0.35">
      <c r="A147">
        <v>90113</v>
      </c>
      <c r="B147" s="3">
        <v>40150</v>
      </c>
      <c r="C147" t="s">
        <v>450</v>
      </c>
      <c r="D147">
        <v>2009</v>
      </c>
      <c r="E147" s="14">
        <v>40148</v>
      </c>
      <c r="F147" t="s">
        <v>187</v>
      </c>
      <c r="G147" t="s">
        <v>771</v>
      </c>
      <c r="H147" t="s">
        <v>349</v>
      </c>
      <c r="I147">
        <v>176220</v>
      </c>
      <c r="J147">
        <v>270000</v>
      </c>
      <c r="K147">
        <v>0.65266666699999998</v>
      </c>
      <c r="L147">
        <v>1.5321756894790604</v>
      </c>
      <c r="M147" t="s">
        <v>16</v>
      </c>
      <c r="N147" t="s">
        <v>446</v>
      </c>
    </row>
    <row r="148" spans="1:14" x14ac:dyDescent="0.35">
      <c r="A148">
        <v>200025</v>
      </c>
      <c r="B148" s="3">
        <v>44124</v>
      </c>
      <c r="C148" t="s">
        <v>469</v>
      </c>
      <c r="D148">
        <v>2020</v>
      </c>
      <c r="E148" s="14">
        <v>44105</v>
      </c>
      <c r="F148" t="s">
        <v>241</v>
      </c>
      <c r="G148" t="s">
        <v>762</v>
      </c>
      <c r="H148" t="s">
        <v>243</v>
      </c>
      <c r="I148">
        <v>159180</v>
      </c>
      <c r="J148">
        <v>261000</v>
      </c>
      <c r="K148">
        <v>0.60980000000000001</v>
      </c>
      <c r="L148">
        <v>1.6396532227666791</v>
      </c>
      <c r="M148" t="s">
        <v>13</v>
      </c>
      <c r="N148" t="s">
        <v>446</v>
      </c>
    </row>
    <row r="149" spans="1:14" x14ac:dyDescent="0.35">
      <c r="A149">
        <v>201245</v>
      </c>
      <c r="B149" s="3">
        <v>44453</v>
      </c>
      <c r="C149" t="s">
        <v>473</v>
      </c>
      <c r="D149">
        <v>2021</v>
      </c>
      <c r="E149" s="14">
        <v>44440</v>
      </c>
      <c r="F149" t="s">
        <v>125</v>
      </c>
      <c r="G149" t="s">
        <v>765</v>
      </c>
      <c r="H149" t="s">
        <v>131</v>
      </c>
      <c r="I149">
        <v>128170</v>
      </c>
      <c r="J149">
        <v>260000</v>
      </c>
      <c r="K149">
        <v>0.4929</v>
      </c>
      <c r="L149">
        <v>2.0285558242958572</v>
      </c>
      <c r="M149" t="s">
        <v>13</v>
      </c>
      <c r="N149" t="s">
        <v>445</v>
      </c>
    </row>
    <row r="150" spans="1:14" x14ac:dyDescent="0.35">
      <c r="A150">
        <v>200408</v>
      </c>
      <c r="B150" s="3">
        <v>44189</v>
      </c>
      <c r="C150" t="s">
        <v>450</v>
      </c>
      <c r="D150">
        <v>2020</v>
      </c>
      <c r="E150" s="14">
        <v>44166</v>
      </c>
      <c r="F150" t="s">
        <v>56</v>
      </c>
      <c r="G150" t="s">
        <v>758</v>
      </c>
      <c r="H150" t="s">
        <v>63</v>
      </c>
      <c r="I150">
        <v>130800</v>
      </c>
      <c r="J150">
        <v>260000</v>
      </c>
      <c r="K150">
        <v>0.503</v>
      </c>
      <c r="L150">
        <v>1.9877675840978593</v>
      </c>
      <c r="M150" t="s">
        <v>13</v>
      </c>
      <c r="N150" t="s">
        <v>446</v>
      </c>
    </row>
    <row r="151" spans="1:14" x14ac:dyDescent="0.35">
      <c r="A151">
        <v>10037</v>
      </c>
      <c r="B151" s="3">
        <v>40500</v>
      </c>
      <c r="C151" t="s">
        <v>475</v>
      </c>
      <c r="D151">
        <v>2010</v>
      </c>
      <c r="E151" s="14">
        <v>40483</v>
      </c>
      <c r="F151" t="s">
        <v>286</v>
      </c>
      <c r="G151" t="s">
        <v>765</v>
      </c>
      <c r="H151" t="s">
        <v>347</v>
      </c>
      <c r="I151">
        <v>203600</v>
      </c>
      <c r="J151">
        <v>260000</v>
      </c>
      <c r="K151">
        <v>0.78307692299999998</v>
      </c>
      <c r="L151">
        <v>1.2770137524557956</v>
      </c>
      <c r="M151" t="s">
        <v>16</v>
      </c>
      <c r="N151" t="s">
        <v>446</v>
      </c>
    </row>
    <row r="152" spans="1:14" x14ac:dyDescent="0.35">
      <c r="A152">
        <v>2000513</v>
      </c>
      <c r="B152" s="3">
        <v>44397</v>
      </c>
      <c r="C152" t="s">
        <v>458</v>
      </c>
      <c r="D152">
        <v>2021</v>
      </c>
      <c r="E152" s="14">
        <v>44378</v>
      </c>
      <c r="F152" t="s">
        <v>277</v>
      </c>
      <c r="G152" t="s">
        <v>759</v>
      </c>
      <c r="H152" t="s">
        <v>279</v>
      </c>
      <c r="I152">
        <v>144050</v>
      </c>
      <c r="J152">
        <v>257500</v>
      </c>
      <c r="K152">
        <v>0.55940000000000001</v>
      </c>
      <c r="L152">
        <v>1.7875737591114196</v>
      </c>
      <c r="M152" t="s">
        <v>13</v>
      </c>
      <c r="N152" t="s">
        <v>446</v>
      </c>
    </row>
    <row r="153" spans="1:14" x14ac:dyDescent="0.35">
      <c r="A153">
        <v>20118</v>
      </c>
      <c r="B153" s="3">
        <v>44469</v>
      </c>
      <c r="C153" t="s">
        <v>473</v>
      </c>
      <c r="D153">
        <v>2021</v>
      </c>
      <c r="E153" s="14">
        <v>44440</v>
      </c>
      <c r="F153" t="s">
        <v>235</v>
      </c>
      <c r="G153" t="s">
        <v>762</v>
      </c>
      <c r="H153" t="s">
        <v>236</v>
      </c>
      <c r="I153">
        <v>92890</v>
      </c>
      <c r="J153">
        <v>255000</v>
      </c>
      <c r="K153">
        <v>0.36420000000000002</v>
      </c>
      <c r="L153">
        <v>2.7451824738938528</v>
      </c>
      <c r="M153" t="s">
        <v>13</v>
      </c>
      <c r="N153" t="s">
        <v>445</v>
      </c>
    </row>
    <row r="154" spans="1:14" x14ac:dyDescent="0.35">
      <c r="A154">
        <v>170178</v>
      </c>
      <c r="B154" s="3">
        <v>43089</v>
      </c>
      <c r="C154" t="s">
        <v>450</v>
      </c>
      <c r="D154">
        <v>2017</v>
      </c>
      <c r="E154" s="14">
        <v>43070</v>
      </c>
      <c r="F154" t="s">
        <v>159</v>
      </c>
      <c r="G154" t="s">
        <v>757</v>
      </c>
      <c r="H154" t="s">
        <v>381</v>
      </c>
      <c r="I154">
        <v>169400</v>
      </c>
      <c r="J154">
        <v>252500</v>
      </c>
      <c r="K154">
        <v>0.67089108900000005</v>
      </c>
      <c r="L154">
        <v>1.4905548996458087</v>
      </c>
      <c r="M154" t="s">
        <v>16</v>
      </c>
      <c r="N154" t="s">
        <v>446</v>
      </c>
    </row>
    <row r="155" spans="1:14" x14ac:dyDescent="0.35">
      <c r="A155">
        <v>200002</v>
      </c>
      <c r="B155" s="3">
        <v>44105</v>
      </c>
      <c r="C155" t="s">
        <v>469</v>
      </c>
      <c r="D155">
        <v>2020</v>
      </c>
      <c r="E155" s="14">
        <v>44105</v>
      </c>
      <c r="F155" t="s">
        <v>210</v>
      </c>
      <c r="G155" t="s">
        <v>762</v>
      </c>
      <c r="H155" t="s">
        <v>213</v>
      </c>
      <c r="I155">
        <v>186610</v>
      </c>
      <c r="J155">
        <v>252000</v>
      </c>
      <c r="K155">
        <v>0.74050000000000005</v>
      </c>
      <c r="L155">
        <v>1.3504099458764267</v>
      </c>
      <c r="M155" t="s">
        <v>13</v>
      </c>
      <c r="N155" t="s">
        <v>446</v>
      </c>
    </row>
    <row r="156" spans="1:14" x14ac:dyDescent="0.35">
      <c r="A156">
        <v>2000381</v>
      </c>
      <c r="B156" s="3">
        <v>44452</v>
      </c>
      <c r="C156" t="s">
        <v>473</v>
      </c>
      <c r="D156">
        <v>2021</v>
      </c>
      <c r="E156" s="14">
        <v>44440</v>
      </c>
      <c r="F156" t="s">
        <v>27</v>
      </c>
      <c r="G156" t="s">
        <v>766</v>
      </c>
      <c r="H156" t="s">
        <v>28</v>
      </c>
      <c r="I156">
        <v>163730</v>
      </c>
      <c r="J156">
        <v>250000</v>
      </c>
      <c r="K156">
        <v>0.65490000000000004</v>
      </c>
      <c r="L156">
        <v>1.5269040493495389</v>
      </c>
      <c r="M156" t="s">
        <v>13</v>
      </c>
      <c r="N156" t="s">
        <v>446</v>
      </c>
    </row>
    <row r="157" spans="1:14" x14ac:dyDescent="0.35">
      <c r="A157">
        <v>201295</v>
      </c>
      <c r="B157" s="3">
        <v>44448</v>
      </c>
      <c r="C157" t="s">
        <v>473</v>
      </c>
      <c r="D157">
        <v>2021</v>
      </c>
      <c r="E157" s="14">
        <v>44440</v>
      </c>
      <c r="F157" t="s">
        <v>32</v>
      </c>
      <c r="G157" t="s">
        <v>766</v>
      </c>
      <c r="H157" t="s">
        <v>412</v>
      </c>
      <c r="I157">
        <v>144340</v>
      </c>
      <c r="J157">
        <v>249900</v>
      </c>
      <c r="K157">
        <v>0.57750000000000001</v>
      </c>
      <c r="L157">
        <v>1.7313288069835111</v>
      </c>
      <c r="M157" t="s">
        <v>13</v>
      </c>
      <c r="N157" t="s">
        <v>446</v>
      </c>
    </row>
    <row r="158" spans="1:14" x14ac:dyDescent="0.35">
      <c r="A158">
        <v>20565</v>
      </c>
      <c r="B158" s="3">
        <v>44284</v>
      </c>
      <c r="C158" t="s">
        <v>471</v>
      </c>
      <c r="D158">
        <v>2021</v>
      </c>
      <c r="E158" s="14">
        <v>44256</v>
      </c>
      <c r="F158" t="s">
        <v>98</v>
      </c>
      <c r="G158" t="s">
        <v>770</v>
      </c>
      <c r="H158" t="s">
        <v>426</v>
      </c>
      <c r="I158">
        <v>61915</v>
      </c>
      <c r="J158">
        <v>249000</v>
      </c>
      <c r="K158">
        <v>0.24859999999999999</v>
      </c>
      <c r="L158">
        <v>4.021642574497295</v>
      </c>
      <c r="M158" t="s">
        <v>13</v>
      </c>
      <c r="N158" t="s">
        <v>445</v>
      </c>
    </row>
    <row r="159" spans="1:14" x14ac:dyDescent="0.35">
      <c r="A159">
        <v>70113</v>
      </c>
      <c r="B159" s="3">
        <v>39426</v>
      </c>
      <c r="C159" t="s">
        <v>450</v>
      </c>
      <c r="D159">
        <v>2007</v>
      </c>
      <c r="E159" s="14">
        <v>39417</v>
      </c>
      <c r="F159" t="s">
        <v>182</v>
      </c>
      <c r="G159" t="s">
        <v>757</v>
      </c>
      <c r="H159" t="s">
        <v>298</v>
      </c>
      <c r="I159">
        <v>175770</v>
      </c>
      <c r="J159">
        <v>248000</v>
      </c>
      <c r="K159">
        <v>0.70874999999999999</v>
      </c>
      <c r="L159">
        <v>1.4109347442680775</v>
      </c>
      <c r="M159" t="s">
        <v>16</v>
      </c>
      <c r="N159" t="s">
        <v>446</v>
      </c>
    </row>
    <row r="160" spans="1:14" x14ac:dyDescent="0.35">
      <c r="A160">
        <v>200537</v>
      </c>
      <c r="B160" s="3">
        <v>44337</v>
      </c>
      <c r="C160" t="s">
        <v>456</v>
      </c>
      <c r="D160">
        <v>2021</v>
      </c>
      <c r="E160" s="14">
        <v>44317</v>
      </c>
      <c r="F160" t="s">
        <v>73</v>
      </c>
      <c r="G160" t="s">
        <v>760</v>
      </c>
      <c r="H160" t="s">
        <v>74</v>
      </c>
      <c r="I160">
        <v>117380</v>
      </c>
      <c r="J160">
        <v>245000</v>
      </c>
      <c r="K160">
        <v>0.47910000000000003</v>
      </c>
      <c r="L160">
        <v>2.0872380303288467</v>
      </c>
      <c r="M160" t="s">
        <v>13</v>
      </c>
      <c r="N160" t="s">
        <v>445</v>
      </c>
    </row>
    <row r="161" spans="1:14" x14ac:dyDescent="0.35">
      <c r="A161">
        <v>200101</v>
      </c>
      <c r="B161" s="3">
        <v>44203</v>
      </c>
      <c r="C161" t="s">
        <v>464</v>
      </c>
      <c r="D161">
        <v>2021</v>
      </c>
      <c r="E161" s="14">
        <v>44197</v>
      </c>
      <c r="F161" t="s">
        <v>52</v>
      </c>
      <c r="G161" t="s">
        <v>755</v>
      </c>
      <c r="H161" t="s">
        <v>53</v>
      </c>
      <c r="I161">
        <v>142800</v>
      </c>
      <c r="J161">
        <v>245000</v>
      </c>
      <c r="K161">
        <v>0.58279999999999998</v>
      </c>
      <c r="L161">
        <v>1.7156862745098038</v>
      </c>
      <c r="M161" t="s">
        <v>13</v>
      </c>
      <c r="N161" t="s">
        <v>446</v>
      </c>
    </row>
    <row r="162" spans="1:14" x14ac:dyDescent="0.35">
      <c r="A162">
        <v>70258</v>
      </c>
      <c r="B162" s="3">
        <v>39447</v>
      </c>
      <c r="C162" t="s">
        <v>450</v>
      </c>
      <c r="D162">
        <v>2007</v>
      </c>
      <c r="E162" s="14">
        <v>39417</v>
      </c>
      <c r="F162" t="s">
        <v>409</v>
      </c>
      <c r="G162" t="s">
        <v>759</v>
      </c>
      <c r="H162" t="s">
        <v>295</v>
      </c>
      <c r="I162">
        <v>171700</v>
      </c>
      <c r="J162">
        <v>244000</v>
      </c>
      <c r="K162">
        <v>0.70368852500000001</v>
      </c>
      <c r="L162">
        <v>1.4210832847990682</v>
      </c>
      <c r="M162" t="s">
        <v>16</v>
      </c>
      <c r="N162" t="s">
        <v>446</v>
      </c>
    </row>
    <row r="163" spans="1:14" x14ac:dyDescent="0.35">
      <c r="A163">
        <v>17128</v>
      </c>
      <c r="B163" s="3">
        <v>43203</v>
      </c>
      <c r="C163" t="s">
        <v>452</v>
      </c>
      <c r="D163">
        <v>2018</v>
      </c>
      <c r="E163" s="14">
        <v>43191</v>
      </c>
      <c r="F163" t="s">
        <v>284</v>
      </c>
      <c r="G163" t="s">
        <v>758</v>
      </c>
      <c r="H163" t="s">
        <v>377</v>
      </c>
      <c r="I163">
        <v>132650</v>
      </c>
      <c r="J163">
        <v>241368</v>
      </c>
      <c r="K163">
        <v>0.54949999999999999</v>
      </c>
      <c r="L163">
        <v>1.8195853750471165</v>
      </c>
      <c r="M163" t="s">
        <v>16</v>
      </c>
      <c r="N163" t="s">
        <v>446</v>
      </c>
    </row>
    <row r="164" spans="1:14" x14ac:dyDescent="0.35">
      <c r="A164">
        <v>200264</v>
      </c>
      <c r="B164" s="3">
        <v>44357</v>
      </c>
      <c r="C164" t="s">
        <v>454</v>
      </c>
      <c r="D164">
        <v>2021</v>
      </c>
      <c r="E164" s="14">
        <v>44348</v>
      </c>
      <c r="F164" t="s">
        <v>155</v>
      </c>
      <c r="G164" t="s">
        <v>757</v>
      </c>
      <c r="H164" t="s">
        <v>156</v>
      </c>
      <c r="I164">
        <v>107500</v>
      </c>
      <c r="J164">
        <v>240000</v>
      </c>
      <c r="K164">
        <v>0.44790000000000002</v>
      </c>
      <c r="L164">
        <v>2.2325581395348837</v>
      </c>
      <c r="M164" t="s">
        <v>13</v>
      </c>
      <c r="N164" t="s">
        <v>445</v>
      </c>
    </row>
    <row r="165" spans="1:14" x14ac:dyDescent="0.35">
      <c r="A165">
        <v>200226</v>
      </c>
      <c r="B165" s="3">
        <v>44183</v>
      </c>
      <c r="C165" t="s">
        <v>450</v>
      </c>
      <c r="D165">
        <v>2020</v>
      </c>
      <c r="E165" s="14">
        <v>44166</v>
      </c>
      <c r="F165" t="s">
        <v>73</v>
      </c>
      <c r="G165" t="s">
        <v>760</v>
      </c>
      <c r="H165" t="s">
        <v>76</v>
      </c>
      <c r="I165">
        <v>145570</v>
      </c>
      <c r="J165">
        <v>240000</v>
      </c>
      <c r="K165">
        <v>0.60650000000000004</v>
      </c>
      <c r="L165">
        <v>1.6486913512399533</v>
      </c>
      <c r="M165" t="s">
        <v>13</v>
      </c>
      <c r="N165" t="s">
        <v>446</v>
      </c>
    </row>
    <row r="166" spans="1:14" x14ac:dyDescent="0.35">
      <c r="A166">
        <v>200886</v>
      </c>
      <c r="B166" s="3">
        <v>44319</v>
      </c>
      <c r="C166" t="s">
        <v>456</v>
      </c>
      <c r="D166">
        <v>2021</v>
      </c>
      <c r="E166" s="14">
        <v>44317</v>
      </c>
      <c r="F166" t="s">
        <v>56</v>
      </c>
      <c r="G166" t="s">
        <v>758</v>
      </c>
      <c r="H166" t="s">
        <v>58</v>
      </c>
      <c r="I166">
        <v>189800</v>
      </c>
      <c r="J166">
        <v>240000</v>
      </c>
      <c r="K166">
        <v>0.79079999999999995</v>
      </c>
      <c r="L166">
        <v>1.2644889357218125</v>
      </c>
      <c r="M166" t="s">
        <v>13</v>
      </c>
      <c r="N166" t="s">
        <v>446</v>
      </c>
    </row>
    <row r="167" spans="1:14" x14ac:dyDescent="0.35">
      <c r="A167">
        <v>90695</v>
      </c>
      <c r="B167" s="3">
        <v>40359</v>
      </c>
      <c r="C167" t="s">
        <v>454</v>
      </c>
      <c r="D167">
        <v>2010</v>
      </c>
      <c r="E167" s="14">
        <v>40330</v>
      </c>
      <c r="F167" t="s">
        <v>122</v>
      </c>
      <c r="G167" t="s">
        <v>757</v>
      </c>
      <c r="H167" t="s">
        <v>336</v>
      </c>
      <c r="I167">
        <v>45757</v>
      </c>
      <c r="J167">
        <v>239900</v>
      </c>
      <c r="K167">
        <v>0.19073363900000001</v>
      </c>
      <c r="L167">
        <v>5.2429136525558935</v>
      </c>
      <c r="M167" t="s">
        <v>16</v>
      </c>
      <c r="N167" t="s">
        <v>445</v>
      </c>
    </row>
    <row r="168" spans="1:14" x14ac:dyDescent="0.35">
      <c r="A168">
        <v>90073</v>
      </c>
      <c r="B168" s="3">
        <v>40142</v>
      </c>
      <c r="C168" t="s">
        <v>475</v>
      </c>
      <c r="D168">
        <v>2009</v>
      </c>
      <c r="E168" s="14">
        <v>40118</v>
      </c>
      <c r="F168" t="s">
        <v>215</v>
      </c>
      <c r="G168" t="s">
        <v>759</v>
      </c>
      <c r="H168" t="s">
        <v>335</v>
      </c>
      <c r="I168">
        <v>111300</v>
      </c>
      <c r="J168">
        <v>238521</v>
      </c>
      <c r="K168">
        <v>0.46662557999999998</v>
      </c>
      <c r="L168">
        <v>2.143045822102426</v>
      </c>
      <c r="M168" t="s">
        <v>16</v>
      </c>
      <c r="N168" t="s">
        <v>445</v>
      </c>
    </row>
    <row r="169" spans="1:14" x14ac:dyDescent="0.35">
      <c r="A169">
        <v>201133</v>
      </c>
      <c r="B169" s="3">
        <v>44441</v>
      </c>
      <c r="C169" t="s">
        <v>473</v>
      </c>
      <c r="D169">
        <v>2021</v>
      </c>
      <c r="E169" s="14">
        <v>44440</v>
      </c>
      <c r="F169" t="s">
        <v>146</v>
      </c>
      <c r="G169" t="s">
        <v>757</v>
      </c>
      <c r="H169" t="s">
        <v>150</v>
      </c>
      <c r="I169">
        <v>123480</v>
      </c>
      <c r="J169">
        <v>235000</v>
      </c>
      <c r="K169">
        <v>0.52539999999999998</v>
      </c>
      <c r="L169">
        <v>1.9031422092646582</v>
      </c>
      <c r="M169" t="s">
        <v>13</v>
      </c>
      <c r="N169" t="s">
        <v>446</v>
      </c>
    </row>
    <row r="170" spans="1:14" x14ac:dyDescent="0.35">
      <c r="A170">
        <v>200207</v>
      </c>
      <c r="B170" s="3">
        <v>44357</v>
      </c>
      <c r="C170" t="s">
        <v>454</v>
      </c>
      <c r="D170">
        <v>2021</v>
      </c>
      <c r="E170" s="14">
        <v>44348</v>
      </c>
      <c r="F170" t="s">
        <v>200</v>
      </c>
      <c r="G170" t="s">
        <v>754</v>
      </c>
      <c r="H170" t="s">
        <v>201</v>
      </c>
      <c r="I170">
        <v>120890</v>
      </c>
      <c r="J170">
        <v>234900</v>
      </c>
      <c r="K170">
        <v>0.51459999999999995</v>
      </c>
      <c r="L170">
        <v>1.9430887583753826</v>
      </c>
      <c r="M170" t="s">
        <v>13</v>
      </c>
      <c r="N170" t="s">
        <v>446</v>
      </c>
    </row>
    <row r="171" spans="1:14" x14ac:dyDescent="0.35">
      <c r="A171">
        <v>200938</v>
      </c>
      <c r="B171" s="3">
        <v>44329</v>
      </c>
      <c r="C171" t="s">
        <v>456</v>
      </c>
      <c r="D171">
        <v>2021</v>
      </c>
      <c r="E171" s="14">
        <v>44317</v>
      </c>
      <c r="F171" t="s">
        <v>56</v>
      </c>
      <c r="G171" t="s">
        <v>758</v>
      </c>
      <c r="H171" t="s">
        <v>59</v>
      </c>
      <c r="I171">
        <v>118900</v>
      </c>
      <c r="J171">
        <v>230000</v>
      </c>
      <c r="K171">
        <v>0.51690000000000003</v>
      </c>
      <c r="L171">
        <v>1.9343986543313709</v>
      </c>
      <c r="M171" t="s">
        <v>13</v>
      </c>
      <c r="N171" t="s">
        <v>446</v>
      </c>
    </row>
    <row r="172" spans="1:14" x14ac:dyDescent="0.35">
      <c r="A172">
        <v>100002</v>
      </c>
      <c r="B172" s="3">
        <v>40455</v>
      </c>
      <c r="C172" t="s">
        <v>469</v>
      </c>
      <c r="D172">
        <v>2010</v>
      </c>
      <c r="E172" s="14">
        <v>40452</v>
      </c>
      <c r="F172" t="s">
        <v>29</v>
      </c>
      <c r="G172" t="s">
        <v>766</v>
      </c>
      <c r="H172" t="s">
        <v>333</v>
      </c>
      <c r="I172">
        <v>184500</v>
      </c>
      <c r="J172">
        <v>230000</v>
      </c>
      <c r="K172">
        <v>0.80217391299999996</v>
      </c>
      <c r="L172">
        <v>1.2466124661246611</v>
      </c>
      <c r="M172" t="s">
        <v>16</v>
      </c>
      <c r="N172" t="s">
        <v>446</v>
      </c>
    </row>
    <row r="173" spans="1:14" x14ac:dyDescent="0.35">
      <c r="A173">
        <v>20059</v>
      </c>
      <c r="B173" s="3">
        <v>44245</v>
      </c>
      <c r="C173" t="s">
        <v>460</v>
      </c>
      <c r="D173">
        <v>2021</v>
      </c>
      <c r="E173" s="14">
        <v>44228</v>
      </c>
      <c r="F173" t="s">
        <v>113</v>
      </c>
      <c r="G173" t="s">
        <v>772</v>
      </c>
      <c r="H173" t="s">
        <v>114</v>
      </c>
      <c r="I173">
        <v>121510</v>
      </c>
      <c r="J173">
        <v>229900</v>
      </c>
      <c r="K173">
        <v>0.52849999999999997</v>
      </c>
      <c r="L173">
        <v>1.8920253477080076</v>
      </c>
      <c r="M173" t="s">
        <v>13</v>
      </c>
      <c r="N173" t="s">
        <v>446</v>
      </c>
    </row>
    <row r="174" spans="1:14" x14ac:dyDescent="0.35">
      <c r="A174">
        <v>70052</v>
      </c>
      <c r="B174" s="3">
        <v>39367</v>
      </c>
      <c r="C174" t="s">
        <v>469</v>
      </c>
      <c r="D174">
        <v>2007</v>
      </c>
      <c r="E174" s="14">
        <v>39356</v>
      </c>
      <c r="F174" t="s">
        <v>159</v>
      </c>
      <c r="G174" t="s">
        <v>757</v>
      </c>
      <c r="H174" t="s">
        <v>292</v>
      </c>
      <c r="I174">
        <v>161700</v>
      </c>
      <c r="J174">
        <v>227000</v>
      </c>
      <c r="K174">
        <v>0.71233480199999999</v>
      </c>
      <c r="L174">
        <v>1.4038342609771182</v>
      </c>
      <c r="M174" t="s">
        <v>16</v>
      </c>
      <c r="N174" t="s">
        <v>446</v>
      </c>
    </row>
    <row r="175" spans="1:14" x14ac:dyDescent="0.35">
      <c r="A175">
        <v>200374</v>
      </c>
      <c r="B175" s="3">
        <v>44334</v>
      </c>
      <c r="C175" t="s">
        <v>456</v>
      </c>
      <c r="D175">
        <v>2021</v>
      </c>
      <c r="E175" s="14">
        <v>44317</v>
      </c>
      <c r="F175" t="s">
        <v>187</v>
      </c>
      <c r="G175" t="s">
        <v>771</v>
      </c>
      <c r="H175" t="s">
        <v>258</v>
      </c>
      <c r="I175">
        <v>129190</v>
      </c>
      <c r="J175">
        <v>226800</v>
      </c>
      <c r="K175">
        <v>0.5696</v>
      </c>
      <c r="L175">
        <v>1.7555538354361793</v>
      </c>
      <c r="M175" t="s">
        <v>13</v>
      </c>
      <c r="N175" t="s">
        <v>446</v>
      </c>
    </row>
    <row r="176" spans="1:14" x14ac:dyDescent="0.35">
      <c r="A176">
        <v>200106</v>
      </c>
      <c r="B176" s="3">
        <v>44137</v>
      </c>
      <c r="C176" t="s">
        <v>475</v>
      </c>
      <c r="D176">
        <v>2020</v>
      </c>
      <c r="E176" s="14">
        <v>44136</v>
      </c>
      <c r="F176" t="s">
        <v>139</v>
      </c>
      <c r="G176" t="s">
        <v>763</v>
      </c>
      <c r="H176" t="s">
        <v>250</v>
      </c>
      <c r="I176">
        <v>126570</v>
      </c>
      <c r="J176">
        <v>225005</v>
      </c>
      <c r="K176">
        <v>0.5625</v>
      </c>
      <c r="L176">
        <v>1.7777119380579915</v>
      </c>
      <c r="M176" t="s">
        <v>13</v>
      </c>
      <c r="N176" t="s">
        <v>446</v>
      </c>
    </row>
    <row r="177" spans="1:14" x14ac:dyDescent="0.35">
      <c r="A177">
        <v>160452</v>
      </c>
      <c r="B177" s="3">
        <v>42989</v>
      </c>
      <c r="C177" t="s">
        <v>473</v>
      </c>
      <c r="D177">
        <v>2017</v>
      </c>
      <c r="E177" s="14">
        <v>42979</v>
      </c>
      <c r="F177" t="s">
        <v>200</v>
      </c>
      <c r="G177" t="s">
        <v>754</v>
      </c>
      <c r="H177" t="s">
        <v>400</v>
      </c>
      <c r="I177">
        <v>145950</v>
      </c>
      <c r="J177">
        <v>225000</v>
      </c>
      <c r="K177">
        <v>0.64866666699999997</v>
      </c>
      <c r="L177">
        <v>1.5416238437821173</v>
      </c>
      <c r="M177" t="s">
        <v>16</v>
      </c>
      <c r="N177" t="s">
        <v>446</v>
      </c>
    </row>
    <row r="178" spans="1:14" x14ac:dyDescent="0.35">
      <c r="A178">
        <v>20086</v>
      </c>
      <c r="B178" s="3">
        <v>44126</v>
      </c>
      <c r="C178" t="s">
        <v>469</v>
      </c>
      <c r="D178">
        <v>2020</v>
      </c>
      <c r="E178" s="14">
        <v>44105</v>
      </c>
      <c r="F178" t="s">
        <v>146</v>
      </c>
      <c r="G178" t="s">
        <v>757</v>
      </c>
      <c r="H178" t="s">
        <v>429</v>
      </c>
      <c r="I178">
        <v>122220</v>
      </c>
      <c r="J178">
        <v>223000</v>
      </c>
      <c r="K178">
        <v>0.54800000000000004</v>
      </c>
      <c r="L178">
        <v>1.82457862870234</v>
      </c>
      <c r="M178" t="s">
        <v>13</v>
      </c>
      <c r="N178" t="s">
        <v>446</v>
      </c>
    </row>
    <row r="179" spans="1:14" x14ac:dyDescent="0.35">
      <c r="A179">
        <v>20102</v>
      </c>
      <c r="B179" s="3">
        <v>44174</v>
      </c>
      <c r="C179" t="s">
        <v>450</v>
      </c>
      <c r="D179">
        <v>2020</v>
      </c>
      <c r="E179" s="14">
        <v>44166</v>
      </c>
      <c r="F179" t="s">
        <v>191</v>
      </c>
      <c r="G179" t="s">
        <v>759</v>
      </c>
      <c r="H179" t="s">
        <v>270</v>
      </c>
      <c r="I179">
        <v>127000</v>
      </c>
      <c r="J179">
        <v>223000</v>
      </c>
      <c r="K179">
        <v>0.56950000000000001</v>
      </c>
      <c r="L179">
        <v>1.7559055118110236</v>
      </c>
      <c r="M179" t="s">
        <v>13</v>
      </c>
      <c r="N179" t="s">
        <v>446</v>
      </c>
    </row>
    <row r="180" spans="1:14" x14ac:dyDescent="0.35">
      <c r="A180">
        <v>20614</v>
      </c>
      <c r="B180" s="3">
        <v>44294</v>
      </c>
      <c r="C180" t="s">
        <v>452</v>
      </c>
      <c r="D180">
        <v>2021</v>
      </c>
      <c r="E180" s="14">
        <v>44287</v>
      </c>
      <c r="F180" t="s">
        <v>98</v>
      </c>
      <c r="G180" t="s">
        <v>770</v>
      </c>
      <c r="H180" t="s">
        <v>101</v>
      </c>
      <c r="I180">
        <v>52500</v>
      </c>
      <c r="J180">
        <v>220000</v>
      </c>
      <c r="K180">
        <v>0.23860000000000001</v>
      </c>
      <c r="L180">
        <v>4.1904761904761907</v>
      </c>
      <c r="M180" t="s">
        <v>13</v>
      </c>
      <c r="N180" t="s">
        <v>445</v>
      </c>
    </row>
    <row r="181" spans="1:14" x14ac:dyDescent="0.35">
      <c r="A181">
        <v>200179</v>
      </c>
      <c r="B181" s="3">
        <v>44369</v>
      </c>
      <c r="C181" t="s">
        <v>454</v>
      </c>
      <c r="D181">
        <v>2021</v>
      </c>
      <c r="E181" s="14">
        <v>44348</v>
      </c>
      <c r="F181" t="s">
        <v>195</v>
      </c>
      <c r="G181" t="s">
        <v>764</v>
      </c>
      <c r="H181" t="s">
        <v>196</v>
      </c>
      <c r="I181">
        <v>134750</v>
      </c>
      <c r="J181">
        <v>220000</v>
      </c>
      <c r="K181">
        <v>0.61250000000000004</v>
      </c>
      <c r="L181">
        <v>1.6326530612244898</v>
      </c>
      <c r="M181" t="s">
        <v>13</v>
      </c>
      <c r="N181" t="s">
        <v>446</v>
      </c>
    </row>
    <row r="182" spans="1:14" x14ac:dyDescent="0.35">
      <c r="A182">
        <v>70073</v>
      </c>
      <c r="B182" s="3">
        <v>39521</v>
      </c>
      <c r="C182" t="s">
        <v>471</v>
      </c>
      <c r="D182">
        <v>2008</v>
      </c>
      <c r="E182" s="14">
        <v>39508</v>
      </c>
      <c r="F182" t="s">
        <v>41</v>
      </c>
      <c r="G182" t="s">
        <v>755</v>
      </c>
      <c r="H182" t="s">
        <v>301</v>
      </c>
      <c r="I182">
        <v>126000</v>
      </c>
      <c r="J182">
        <v>217500</v>
      </c>
      <c r="K182">
        <v>0.579310345</v>
      </c>
      <c r="L182">
        <v>1.7261904761904763</v>
      </c>
      <c r="M182" t="s">
        <v>16</v>
      </c>
      <c r="N182" t="s">
        <v>446</v>
      </c>
    </row>
    <row r="183" spans="1:14" x14ac:dyDescent="0.35">
      <c r="A183">
        <v>202611</v>
      </c>
      <c r="B183" s="3">
        <v>44383</v>
      </c>
      <c r="C183" t="s">
        <v>458</v>
      </c>
      <c r="D183">
        <v>2021</v>
      </c>
      <c r="E183" s="14">
        <v>44378</v>
      </c>
      <c r="F183" t="s">
        <v>122</v>
      </c>
      <c r="G183" t="s">
        <v>757</v>
      </c>
      <c r="H183" t="s">
        <v>173</v>
      </c>
      <c r="I183">
        <v>144380</v>
      </c>
      <c r="J183">
        <v>217500</v>
      </c>
      <c r="K183">
        <v>0.66379999999999995</v>
      </c>
      <c r="L183">
        <v>1.506441335365009</v>
      </c>
      <c r="M183" t="s">
        <v>13</v>
      </c>
      <c r="N183" t="s">
        <v>446</v>
      </c>
    </row>
    <row r="184" spans="1:14" x14ac:dyDescent="0.35">
      <c r="A184">
        <v>160773</v>
      </c>
      <c r="B184" s="3">
        <v>42905</v>
      </c>
      <c r="C184" t="s">
        <v>454</v>
      </c>
      <c r="D184">
        <v>2017</v>
      </c>
      <c r="E184" s="14">
        <v>42887</v>
      </c>
      <c r="F184" t="s">
        <v>129</v>
      </c>
      <c r="G184" t="s">
        <v>762</v>
      </c>
      <c r="H184" t="s">
        <v>396</v>
      </c>
      <c r="I184">
        <v>153230</v>
      </c>
      <c r="J184">
        <v>215000</v>
      </c>
      <c r="K184">
        <v>0.71269767399999995</v>
      </c>
      <c r="L184">
        <v>1.4031194935717548</v>
      </c>
      <c r="M184" t="s">
        <v>16</v>
      </c>
      <c r="N184" t="s">
        <v>446</v>
      </c>
    </row>
    <row r="185" spans="1:14" x14ac:dyDescent="0.35">
      <c r="A185">
        <v>201440</v>
      </c>
      <c r="B185" s="3">
        <v>44454</v>
      </c>
      <c r="C185" t="s">
        <v>473</v>
      </c>
      <c r="D185">
        <v>2021</v>
      </c>
      <c r="E185" s="14">
        <v>44440</v>
      </c>
      <c r="F185" t="s">
        <v>159</v>
      </c>
      <c r="G185" t="s">
        <v>757</v>
      </c>
      <c r="H185" t="s">
        <v>163</v>
      </c>
      <c r="I185">
        <v>80150</v>
      </c>
      <c r="J185">
        <v>214000</v>
      </c>
      <c r="K185">
        <v>0.3745</v>
      </c>
      <c r="L185">
        <v>2.6699937616968183</v>
      </c>
      <c r="M185" t="s">
        <v>13</v>
      </c>
      <c r="N185" t="s">
        <v>445</v>
      </c>
    </row>
    <row r="186" spans="1:14" x14ac:dyDescent="0.35">
      <c r="A186">
        <v>90002</v>
      </c>
      <c r="B186" s="3">
        <v>40087</v>
      </c>
      <c r="C186" t="s">
        <v>469</v>
      </c>
      <c r="D186">
        <v>2009</v>
      </c>
      <c r="E186" s="14">
        <v>40087</v>
      </c>
      <c r="F186" t="s">
        <v>139</v>
      </c>
      <c r="G186" t="s">
        <v>763</v>
      </c>
      <c r="H186" t="s">
        <v>343</v>
      </c>
      <c r="I186">
        <v>150710</v>
      </c>
      <c r="J186">
        <v>210000</v>
      </c>
      <c r="K186">
        <v>0.71766666700000004</v>
      </c>
      <c r="L186">
        <v>1.3934045517882026</v>
      </c>
      <c r="M186" t="s">
        <v>16</v>
      </c>
      <c r="N186" t="s">
        <v>446</v>
      </c>
    </row>
    <row r="187" spans="1:14" x14ac:dyDescent="0.35">
      <c r="A187">
        <v>20064</v>
      </c>
      <c r="B187" s="3">
        <v>44439</v>
      </c>
      <c r="C187" t="s">
        <v>462</v>
      </c>
      <c r="D187">
        <v>2021</v>
      </c>
      <c r="E187" s="14">
        <v>44409</v>
      </c>
      <c r="F187" t="s">
        <v>81</v>
      </c>
      <c r="G187" t="s">
        <v>769</v>
      </c>
      <c r="H187" t="s">
        <v>82</v>
      </c>
      <c r="I187">
        <v>186770</v>
      </c>
      <c r="J187">
        <v>209000</v>
      </c>
      <c r="K187">
        <v>0.89359999999999995</v>
      </c>
      <c r="L187">
        <v>1.1190233977619533</v>
      </c>
      <c r="M187" t="s">
        <v>10</v>
      </c>
      <c r="N187" t="s">
        <v>446</v>
      </c>
    </row>
    <row r="188" spans="1:14" x14ac:dyDescent="0.35">
      <c r="A188">
        <v>70280</v>
      </c>
      <c r="B188" s="3">
        <v>39650</v>
      </c>
      <c r="C188" t="s">
        <v>458</v>
      </c>
      <c r="D188">
        <v>2008</v>
      </c>
      <c r="E188" s="14">
        <v>39630</v>
      </c>
      <c r="F188" t="s">
        <v>43</v>
      </c>
      <c r="G188" t="s">
        <v>755</v>
      </c>
      <c r="H188" t="s">
        <v>302</v>
      </c>
      <c r="I188">
        <v>98180</v>
      </c>
      <c r="J188">
        <v>204900</v>
      </c>
      <c r="K188">
        <v>0.47916056600000001</v>
      </c>
      <c r="L188">
        <v>2.0869830922794868</v>
      </c>
      <c r="M188" t="s">
        <v>16</v>
      </c>
      <c r="N188" t="s">
        <v>445</v>
      </c>
    </row>
    <row r="189" spans="1:14" x14ac:dyDescent="0.35">
      <c r="A189">
        <v>2000330</v>
      </c>
      <c r="B189" s="3">
        <v>44336</v>
      </c>
      <c r="C189" t="s">
        <v>456</v>
      </c>
      <c r="D189">
        <v>2021</v>
      </c>
      <c r="E189" s="14">
        <v>44317</v>
      </c>
      <c r="F189" t="s">
        <v>43</v>
      </c>
      <c r="G189" t="s">
        <v>755</v>
      </c>
      <c r="H189" t="s">
        <v>45</v>
      </c>
      <c r="I189">
        <v>144220</v>
      </c>
      <c r="J189">
        <v>204000</v>
      </c>
      <c r="K189">
        <v>0.70689999999999997</v>
      </c>
      <c r="L189">
        <v>1.4145056164193592</v>
      </c>
      <c r="M189" t="s">
        <v>13</v>
      </c>
      <c r="N189" t="s">
        <v>446</v>
      </c>
    </row>
    <row r="190" spans="1:14" x14ac:dyDescent="0.35">
      <c r="A190">
        <v>20135</v>
      </c>
      <c r="B190" s="3">
        <v>44217</v>
      </c>
      <c r="C190" t="s">
        <v>464</v>
      </c>
      <c r="D190">
        <v>2021</v>
      </c>
      <c r="E190" s="14">
        <v>44197</v>
      </c>
      <c r="F190" t="s">
        <v>184</v>
      </c>
      <c r="G190" t="s">
        <v>764</v>
      </c>
      <c r="H190" t="s">
        <v>185</v>
      </c>
      <c r="I190">
        <v>98580</v>
      </c>
      <c r="J190">
        <v>200000</v>
      </c>
      <c r="K190">
        <v>0.4929</v>
      </c>
      <c r="L190">
        <v>2.028809089064719</v>
      </c>
      <c r="M190" t="s">
        <v>13</v>
      </c>
      <c r="N190" t="s">
        <v>445</v>
      </c>
    </row>
    <row r="191" spans="1:14" x14ac:dyDescent="0.35">
      <c r="A191">
        <v>161187</v>
      </c>
      <c r="B191" s="3">
        <v>42930</v>
      </c>
      <c r="C191" t="s">
        <v>458</v>
      </c>
      <c r="D191">
        <v>2017</v>
      </c>
      <c r="E191" s="14">
        <v>42917</v>
      </c>
      <c r="F191" t="s">
        <v>122</v>
      </c>
      <c r="G191" t="s">
        <v>757</v>
      </c>
      <c r="H191" t="s">
        <v>378</v>
      </c>
      <c r="I191">
        <v>143240</v>
      </c>
      <c r="J191">
        <v>200000</v>
      </c>
      <c r="K191">
        <v>0.71619999999999995</v>
      </c>
      <c r="L191">
        <v>1.3962580284836639</v>
      </c>
      <c r="M191" t="s">
        <v>16</v>
      </c>
      <c r="N191" t="s">
        <v>446</v>
      </c>
    </row>
    <row r="192" spans="1:14" x14ac:dyDescent="0.35">
      <c r="A192">
        <v>200052</v>
      </c>
      <c r="B192" s="3">
        <v>44151</v>
      </c>
      <c r="C192" t="s">
        <v>475</v>
      </c>
      <c r="D192">
        <v>2020</v>
      </c>
      <c r="E192" s="14">
        <v>44136</v>
      </c>
      <c r="F192" t="s">
        <v>115</v>
      </c>
      <c r="G192" t="s">
        <v>772</v>
      </c>
      <c r="H192" t="s">
        <v>116</v>
      </c>
      <c r="I192">
        <v>149570</v>
      </c>
      <c r="J192">
        <v>200000</v>
      </c>
      <c r="K192">
        <v>0.74780000000000002</v>
      </c>
      <c r="L192">
        <v>1.3371665440930669</v>
      </c>
      <c r="M192" t="s">
        <v>13</v>
      </c>
      <c r="N192" t="s">
        <v>446</v>
      </c>
    </row>
    <row r="193" spans="1:14" x14ac:dyDescent="0.35">
      <c r="A193">
        <v>170327</v>
      </c>
      <c r="B193" s="3">
        <v>43208</v>
      </c>
      <c r="C193" t="s">
        <v>452</v>
      </c>
      <c r="D193">
        <v>2018</v>
      </c>
      <c r="E193" s="14">
        <v>43191</v>
      </c>
      <c r="F193" t="s">
        <v>73</v>
      </c>
      <c r="G193" t="s">
        <v>760</v>
      </c>
      <c r="H193" t="s">
        <v>389</v>
      </c>
      <c r="I193">
        <v>124660</v>
      </c>
      <c r="J193">
        <v>196000</v>
      </c>
      <c r="K193">
        <v>0.63600000000000001</v>
      </c>
      <c r="L193">
        <v>1.5722765923311408</v>
      </c>
      <c r="M193" t="s">
        <v>16</v>
      </c>
      <c r="N193" t="s">
        <v>446</v>
      </c>
    </row>
    <row r="194" spans="1:14" x14ac:dyDescent="0.35">
      <c r="A194">
        <v>2000857</v>
      </c>
      <c r="B194" s="3">
        <v>44217</v>
      </c>
      <c r="C194" t="s">
        <v>464</v>
      </c>
      <c r="D194">
        <v>2021</v>
      </c>
      <c r="E194" s="14">
        <v>44197</v>
      </c>
      <c r="F194" t="s">
        <v>181</v>
      </c>
      <c r="G194" t="s">
        <v>762</v>
      </c>
      <c r="H194" t="s">
        <v>222</v>
      </c>
      <c r="I194">
        <v>109420</v>
      </c>
      <c r="J194">
        <v>195000</v>
      </c>
      <c r="K194">
        <v>0.56110000000000004</v>
      </c>
      <c r="L194">
        <v>1.7821239261560957</v>
      </c>
      <c r="M194" t="s">
        <v>13</v>
      </c>
      <c r="N194" t="s">
        <v>446</v>
      </c>
    </row>
    <row r="195" spans="1:14" x14ac:dyDescent="0.35">
      <c r="A195">
        <v>2000296</v>
      </c>
      <c r="B195" s="3">
        <v>44239</v>
      </c>
      <c r="C195" t="s">
        <v>460</v>
      </c>
      <c r="D195">
        <v>2021</v>
      </c>
      <c r="E195" s="14">
        <v>44228</v>
      </c>
      <c r="F195" t="s">
        <v>140</v>
      </c>
      <c r="G195" t="s">
        <v>757</v>
      </c>
      <c r="H195" t="s">
        <v>141</v>
      </c>
      <c r="I195">
        <v>114660</v>
      </c>
      <c r="J195">
        <v>195000</v>
      </c>
      <c r="K195">
        <v>0.58799999999999997</v>
      </c>
      <c r="L195">
        <v>1.7006802721088434</v>
      </c>
      <c r="M195" t="s">
        <v>13</v>
      </c>
      <c r="N195" t="s">
        <v>446</v>
      </c>
    </row>
    <row r="196" spans="1:14" x14ac:dyDescent="0.35">
      <c r="A196">
        <v>900039</v>
      </c>
      <c r="B196" s="3">
        <v>40136</v>
      </c>
      <c r="C196" t="s">
        <v>475</v>
      </c>
      <c r="D196">
        <v>2009</v>
      </c>
      <c r="E196" s="14">
        <v>40118</v>
      </c>
      <c r="F196" t="s">
        <v>200</v>
      </c>
      <c r="G196" t="s">
        <v>754</v>
      </c>
      <c r="H196" t="s">
        <v>319</v>
      </c>
      <c r="I196">
        <v>138950</v>
      </c>
      <c r="J196">
        <v>195000</v>
      </c>
      <c r="K196">
        <v>0.71256410299999995</v>
      </c>
      <c r="L196">
        <v>1.4033825116948542</v>
      </c>
      <c r="M196" t="s">
        <v>16</v>
      </c>
      <c r="N196" t="s">
        <v>446</v>
      </c>
    </row>
    <row r="197" spans="1:14" x14ac:dyDescent="0.35">
      <c r="A197">
        <v>2000022</v>
      </c>
      <c r="B197" s="3">
        <v>44117</v>
      </c>
      <c r="C197" t="s">
        <v>469</v>
      </c>
      <c r="D197">
        <v>2020</v>
      </c>
      <c r="E197" s="14">
        <v>44105</v>
      </c>
      <c r="F197" t="s">
        <v>140</v>
      </c>
      <c r="G197" t="s">
        <v>757</v>
      </c>
      <c r="H197" t="s">
        <v>145</v>
      </c>
      <c r="I197">
        <v>108070</v>
      </c>
      <c r="J197">
        <v>193500</v>
      </c>
      <c r="K197">
        <v>0.5585</v>
      </c>
      <c r="L197">
        <v>1.7905061534190803</v>
      </c>
      <c r="M197" t="s">
        <v>13</v>
      </c>
      <c r="N197" t="s">
        <v>446</v>
      </c>
    </row>
    <row r="198" spans="1:14" x14ac:dyDescent="0.35">
      <c r="A198">
        <v>200010</v>
      </c>
      <c r="B198" s="3">
        <v>44126</v>
      </c>
      <c r="C198" t="s">
        <v>469</v>
      </c>
      <c r="D198">
        <v>2020</v>
      </c>
      <c r="E198" s="14">
        <v>44105</v>
      </c>
      <c r="F198" t="s">
        <v>200</v>
      </c>
      <c r="G198" t="s">
        <v>754</v>
      </c>
      <c r="H198" t="s">
        <v>202</v>
      </c>
      <c r="I198">
        <v>128870</v>
      </c>
      <c r="J198">
        <v>193000</v>
      </c>
      <c r="K198">
        <v>0.66769999999999996</v>
      </c>
      <c r="L198">
        <v>1.4976332738418561</v>
      </c>
      <c r="M198" t="s">
        <v>13</v>
      </c>
      <c r="N198" t="s">
        <v>446</v>
      </c>
    </row>
    <row r="199" spans="1:14" x14ac:dyDescent="0.35">
      <c r="A199">
        <v>201176</v>
      </c>
      <c r="B199" s="3">
        <v>44264</v>
      </c>
      <c r="C199" t="s">
        <v>471</v>
      </c>
      <c r="D199">
        <v>2021</v>
      </c>
      <c r="E199" s="14">
        <v>44256</v>
      </c>
      <c r="F199" t="s">
        <v>144</v>
      </c>
      <c r="G199" t="s">
        <v>757</v>
      </c>
      <c r="H199" t="s">
        <v>165</v>
      </c>
      <c r="I199">
        <v>165550</v>
      </c>
      <c r="J199">
        <v>191000</v>
      </c>
      <c r="K199">
        <v>0.86670000000000003</v>
      </c>
      <c r="L199">
        <v>1.1537299909392933</v>
      </c>
      <c r="M199" t="s">
        <v>13</v>
      </c>
      <c r="N199" t="s">
        <v>446</v>
      </c>
    </row>
    <row r="200" spans="1:14" x14ac:dyDescent="0.35">
      <c r="A200">
        <v>200419</v>
      </c>
      <c r="B200" s="3">
        <v>44231</v>
      </c>
      <c r="C200" t="s">
        <v>460</v>
      </c>
      <c r="D200">
        <v>2021</v>
      </c>
      <c r="E200" s="14">
        <v>44228</v>
      </c>
      <c r="F200" t="s">
        <v>159</v>
      </c>
      <c r="G200" t="s">
        <v>757</v>
      </c>
      <c r="H200" t="s">
        <v>160</v>
      </c>
      <c r="I200">
        <v>74200</v>
      </c>
      <c r="J200">
        <v>190000</v>
      </c>
      <c r="K200">
        <v>0.39050000000000001</v>
      </c>
      <c r="L200">
        <v>2.5606469002695418</v>
      </c>
      <c r="M200" t="s">
        <v>13</v>
      </c>
      <c r="N200" t="s">
        <v>445</v>
      </c>
    </row>
    <row r="201" spans="1:14" x14ac:dyDescent="0.35">
      <c r="A201">
        <v>70149</v>
      </c>
      <c r="B201" s="3">
        <v>39504</v>
      </c>
      <c r="C201" t="s">
        <v>460</v>
      </c>
      <c r="D201">
        <v>2008</v>
      </c>
      <c r="E201" s="14">
        <v>39479</v>
      </c>
      <c r="F201" t="s">
        <v>66</v>
      </c>
      <c r="G201" t="s">
        <v>760</v>
      </c>
      <c r="H201" t="s">
        <v>296</v>
      </c>
      <c r="I201">
        <v>125300</v>
      </c>
      <c r="J201">
        <v>190000</v>
      </c>
      <c r="K201">
        <v>0.65947368399999995</v>
      </c>
      <c r="L201">
        <v>1.5163607342378291</v>
      </c>
      <c r="M201" t="s">
        <v>16</v>
      </c>
      <c r="N201" t="s">
        <v>446</v>
      </c>
    </row>
    <row r="202" spans="1:14" x14ac:dyDescent="0.35">
      <c r="A202">
        <v>20486</v>
      </c>
      <c r="B202" s="3">
        <v>44362</v>
      </c>
      <c r="C202" t="s">
        <v>454</v>
      </c>
      <c r="D202">
        <v>2021</v>
      </c>
      <c r="E202" s="14">
        <v>44348</v>
      </c>
      <c r="F202" t="s">
        <v>216</v>
      </c>
      <c r="G202" t="s">
        <v>762</v>
      </c>
      <c r="H202" t="s">
        <v>217</v>
      </c>
      <c r="I202">
        <v>92080</v>
      </c>
      <c r="J202">
        <v>185000</v>
      </c>
      <c r="K202">
        <v>0.49769999999999998</v>
      </c>
      <c r="L202">
        <v>2.0091225021720245</v>
      </c>
      <c r="M202" t="s">
        <v>13</v>
      </c>
      <c r="N202" t="s">
        <v>445</v>
      </c>
    </row>
    <row r="203" spans="1:14" x14ac:dyDescent="0.35">
      <c r="A203">
        <v>200759</v>
      </c>
      <c r="B203" s="3">
        <v>44398</v>
      </c>
      <c r="C203" t="s">
        <v>458</v>
      </c>
      <c r="D203">
        <v>2021</v>
      </c>
      <c r="E203" s="14">
        <v>44378</v>
      </c>
      <c r="F203" t="s">
        <v>206</v>
      </c>
      <c r="G203" t="s">
        <v>762</v>
      </c>
      <c r="H203" t="s">
        <v>207</v>
      </c>
      <c r="I203">
        <v>144410</v>
      </c>
      <c r="J203">
        <v>185000</v>
      </c>
      <c r="K203">
        <v>0.78049999999999997</v>
      </c>
      <c r="L203">
        <v>1.2810747178173256</v>
      </c>
      <c r="M203" t="s">
        <v>13</v>
      </c>
      <c r="N203" t="s">
        <v>446</v>
      </c>
    </row>
    <row r="204" spans="1:14" x14ac:dyDescent="0.35">
      <c r="A204">
        <v>2000473</v>
      </c>
      <c r="B204" s="3">
        <v>44334</v>
      </c>
      <c r="C204" t="s">
        <v>456</v>
      </c>
      <c r="D204">
        <v>2021</v>
      </c>
      <c r="E204" s="14">
        <v>44317</v>
      </c>
      <c r="F204" t="s">
        <v>140</v>
      </c>
      <c r="G204" t="s">
        <v>757</v>
      </c>
      <c r="H204" t="s">
        <v>143</v>
      </c>
      <c r="I204">
        <v>98900</v>
      </c>
      <c r="J204">
        <v>184500</v>
      </c>
      <c r="K204">
        <v>0.53600000000000003</v>
      </c>
      <c r="L204">
        <v>1.865520728008089</v>
      </c>
      <c r="M204" t="s">
        <v>13</v>
      </c>
      <c r="N204" t="s">
        <v>446</v>
      </c>
    </row>
    <row r="205" spans="1:14" x14ac:dyDescent="0.35">
      <c r="A205">
        <v>200527</v>
      </c>
      <c r="B205" s="3">
        <v>44256</v>
      </c>
      <c r="C205" t="s">
        <v>471</v>
      </c>
      <c r="D205">
        <v>2021</v>
      </c>
      <c r="E205" s="14">
        <v>44256</v>
      </c>
      <c r="F205" t="s">
        <v>32</v>
      </c>
      <c r="G205" t="s">
        <v>766</v>
      </c>
      <c r="H205" t="s">
        <v>35</v>
      </c>
      <c r="I205">
        <v>85680</v>
      </c>
      <c r="J205">
        <v>183000</v>
      </c>
      <c r="K205">
        <v>0.46810000000000002</v>
      </c>
      <c r="L205">
        <v>2.1358543417366946</v>
      </c>
      <c r="M205" t="s">
        <v>13</v>
      </c>
      <c r="N205" t="s">
        <v>445</v>
      </c>
    </row>
    <row r="206" spans="1:14" x14ac:dyDescent="0.35">
      <c r="A206">
        <v>161740</v>
      </c>
      <c r="B206" s="3">
        <v>42951</v>
      </c>
      <c r="C206" t="s">
        <v>462</v>
      </c>
      <c r="D206">
        <v>2017</v>
      </c>
      <c r="E206" s="14">
        <v>42948</v>
      </c>
      <c r="F206" t="s">
        <v>181</v>
      </c>
      <c r="G206" t="s">
        <v>762</v>
      </c>
      <c r="H206" t="s">
        <v>392</v>
      </c>
      <c r="I206">
        <v>102440</v>
      </c>
      <c r="J206">
        <v>180450</v>
      </c>
      <c r="K206">
        <v>0.56769188100000001</v>
      </c>
      <c r="L206">
        <v>1.761518937914877</v>
      </c>
      <c r="M206" t="s">
        <v>16</v>
      </c>
      <c r="N206" t="s">
        <v>446</v>
      </c>
    </row>
    <row r="207" spans="1:14" x14ac:dyDescent="0.35">
      <c r="A207">
        <v>200362</v>
      </c>
      <c r="B207" s="3">
        <v>44340</v>
      </c>
      <c r="C207" t="s">
        <v>456</v>
      </c>
      <c r="D207">
        <v>2021</v>
      </c>
      <c r="E207" s="14">
        <v>44317</v>
      </c>
      <c r="F207" t="s">
        <v>210</v>
      </c>
      <c r="G207" t="s">
        <v>762</v>
      </c>
      <c r="H207" t="s">
        <v>211</v>
      </c>
      <c r="I207">
        <v>99660</v>
      </c>
      <c r="J207">
        <v>180000</v>
      </c>
      <c r="K207">
        <v>0.55359999999999998</v>
      </c>
      <c r="L207">
        <v>1.8061408789885611</v>
      </c>
      <c r="M207" t="s">
        <v>13</v>
      </c>
      <c r="N207" t="s">
        <v>446</v>
      </c>
    </row>
    <row r="208" spans="1:14" x14ac:dyDescent="0.35">
      <c r="A208">
        <v>20750</v>
      </c>
      <c r="B208" s="3">
        <v>44322</v>
      </c>
      <c r="C208" t="s">
        <v>456</v>
      </c>
      <c r="D208">
        <v>2021</v>
      </c>
      <c r="E208" s="14">
        <v>44317</v>
      </c>
      <c r="F208" t="s">
        <v>98</v>
      </c>
      <c r="G208" t="s">
        <v>770</v>
      </c>
      <c r="H208" t="s">
        <v>102</v>
      </c>
      <c r="I208">
        <v>126560</v>
      </c>
      <c r="J208">
        <v>180000</v>
      </c>
      <c r="K208">
        <v>0.70309999999999995</v>
      </c>
      <c r="L208">
        <v>1.4222503160556257</v>
      </c>
      <c r="M208" t="s">
        <v>10</v>
      </c>
      <c r="N208" t="s">
        <v>446</v>
      </c>
    </row>
    <row r="209" spans="1:14" x14ac:dyDescent="0.35">
      <c r="A209">
        <v>200212</v>
      </c>
      <c r="B209" s="3">
        <v>44264</v>
      </c>
      <c r="C209" t="s">
        <v>471</v>
      </c>
      <c r="D209">
        <v>2021</v>
      </c>
      <c r="E209" s="14">
        <v>44256</v>
      </c>
      <c r="F209" t="s">
        <v>14</v>
      </c>
      <c r="G209" t="s">
        <v>761</v>
      </c>
      <c r="H209" t="s">
        <v>15</v>
      </c>
      <c r="I209">
        <v>130400</v>
      </c>
      <c r="J209">
        <v>179900</v>
      </c>
      <c r="K209">
        <v>0.7248</v>
      </c>
      <c r="L209">
        <v>1.3796012269938651</v>
      </c>
      <c r="M209" t="s">
        <v>13</v>
      </c>
      <c r="N209" t="s">
        <v>446</v>
      </c>
    </row>
    <row r="210" spans="1:14" x14ac:dyDescent="0.35">
      <c r="A210">
        <v>160539</v>
      </c>
      <c r="B210" s="3">
        <v>42741</v>
      </c>
      <c r="C210" t="s">
        <v>464</v>
      </c>
      <c r="D210">
        <v>2017</v>
      </c>
      <c r="E210" s="14">
        <v>42736</v>
      </c>
      <c r="F210" t="s">
        <v>181</v>
      </c>
      <c r="G210" t="s">
        <v>762</v>
      </c>
      <c r="H210" t="s">
        <v>397</v>
      </c>
      <c r="I210">
        <v>74670</v>
      </c>
      <c r="J210">
        <v>176500</v>
      </c>
      <c r="K210">
        <v>0.42305948999999998</v>
      </c>
      <c r="L210">
        <v>2.36373376188563</v>
      </c>
      <c r="M210" t="s">
        <v>16</v>
      </c>
      <c r="N210" t="s">
        <v>445</v>
      </c>
    </row>
    <row r="211" spans="1:14" x14ac:dyDescent="0.35">
      <c r="A211">
        <v>900251</v>
      </c>
      <c r="B211" s="3">
        <v>40301</v>
      </c>
      <c r="C211" t="s">
        <v>456</v>
      </c>
      <c r="D211">
        <v>2010</v>
      </c>
      <c r="E211" s="14">
        <v>40299</v>
      </c>
      <c r="F211" t="s">
        <v>68</v>
      </c>
      <c r="G211" t="s">
        <v>769</v>
      </c>
      <c r="H211" t="s">
        <v>330</v>
      </c>
      <c r="I211">
        <v>118860</v>
      </c>
      <c r="J211">
        <v>175000</v>
      </c>
      <c r="K211">
        <v>0.67920000000000003</v>
      </c>
      <c r="L211">
        <v>1.4723203769140165</v>
      </c>
      <c r="M211" t="s">
        <v>16</v>
      </c>
      <c r="N211" t="s">
        <v>446</v>
      </c>
    </row>
    <row r="212" spans="1:14" x14ac:dyDescent="0.35">
      <c r="A212">
        <v>60610</v>
      </c>
      <c r="B212" s="3">
        <v>39252</v>
      </c>
      <c r="C212" t="s">
        <v>454</v>
      </c>
      <c r="D212">
        <v>2007</v>
      </c>
      <c r="E212" s="14">
        <v>39234</v>
      </c>
      <c r="F212" t="s">
        <v>174</v>
      </c>
      <c r="G212" t="s">
        <v>759</v>
      </c>
      <c r="H212" t="s">
        <v>290</v>
      </c>
      <c r="I212">
        <v>124250</v>
      </c>
      <c r="J212">
        <v>175000</v>
      </c>
      <c r="K212">
        <v>0.71</v>
      </c>
      <c r="L212">
        <v>1.408450704225352</v>
      </c>
      <c r="M212" t="s">
        <v>16</v>
      </c>
      <c r="N212" t="s">
        <v>446</v>
      </c>
    </row>
    <row r="213" spans="1:14" x14ac:dyDescent="0.35">
      <c r="A213">
        <v>100052</v>
      </c>
      <c r="B213" s="3">
        <v>40596</v>
      </c>
      <c r="C213" t="s">
        <v>460</v>
      </c>
      <c r="D213">
        <v>2011</v>
      </c>
      <c r="E213" s="14">
        <v>40575</v>
      </c>
      <c r="F213" t="s">
        <v>8</v>
      </c>
      <c r="G213" t="s">
        <v>761</v>
      </c>
      <c r="H213" t="s">
        <v>326</v>
      </c>
      <c r="I213">
        <v>137300</v>
      </c>
      <c r="J213">
        <v>175000</v>
      </c>
      <c r="K213">
        <v>0.78457142899999999</v>
      </c>
      <c r="L213">
        <v>1.2745812090313182</v>
      </c>
      <c r="M213" t="s">
        <v>16</v>
      </c>
      <c r="N213" t="s">
        <v>446</v>
      </c>
    </row>
    <row r="214" spans="1:14" x14ac:dyDescent="0.35">
      <c r="A214">
        <v>70125</v>
      </c>
      <c r="B214" s="3">
        <v>39472</v>
      </c>
      <c r="C214" t="s">
        <v>464</v>
      </c>
      <c r="D214">
        <v>2008</v>
      </c>
      <c r="E214" s="14">
        <v>39448</v>
      </c>
      <c r="F214" t="s">
        <v>277</v>
      </c>
      <c r="G214" t="s">
        <v>759</v>
      </c>
      <c r="H214" t="s">
        <v>307</v>
      </c>
      <c r="I214">
        <v>87500</v>
      </c>
      <c r="J214">
        <v>173700</v>
      </c>
      <c r="K214">
        <v>0.50374208399999998</v>
      </c>
      <c r="L214">
        <v>1.9851428571428571</v>
      </c>
      <c r="M214" t="s">
        <v>16</v>
      </c>
      <c r="N214" t="s">
        <v>446</v>
      </c>
    </row>
    <row r="215" spans="1:14" x14ac:dyDescent="0.35">
      <c r="A215">
        <v>130311</v>
      </c>
      <c r="B215" s="3">
        <v>41795</v>
      </c>
      <c r="C215" t="s">
        <v>454</v>
      </c>
      <c r="D215">
        <v>2014</v>
      </c>
      <c r="E215" s="14">
        <v>41791</v>
      </c>
      <c r="F215" t="s">
        <v>73</v>
      </c>
      <c r="G215" t="s">
        <v>760</v>
      </c>
      <c r="H215" t="s">
        <v>358</v>
      </c>
      <c r="I215">
        <v>125840</v>
      </c>
      <c r="J215">
        <v>173000</v>
      </c>
      <c r="K215">
        <v>0.72739884399999999</v>
      </c>
      <c r="L215">
        <v>1.3747616020343294</v>
      </c>
      <c r="M215" t="s">
        <v>16</v>
      </c>
      <c r="N215" t="s">
        <v>446</v>
      </c>
    </row>
    <row r="216" spans="1:14" x14ac:dyDescent="0.35">
      <c r="A216">
        <v>200192</v>
      </c>
      <c r="B216" s="3">
        <v>44155</v>
      </c>
      <c r="C216" t="s">
        <v>475</v>
      </c>
      <c r="D216">
        <v>2020</v>
      </c>
      <c r="E216" s="14">
        <v>44136</v>
      </c>
      <c r="F216" t="s">
        <v>159</v>
      </c>
      <c r="G216" t="s">
        <v>757</v>
      </c>
      <c r="H216" t="s">
        <v>164</v>
      </c>
      <c r="I216">
        <v>71150</v>
      </c>
      <c r="J216">
        <v>170000</v>
      </c>
      <c r="K216">
        <v>0.41849999999999998</v>
      </c>
      <c r="L216">
        <v>2.3893183415319745</v>
      </c>
      <c r="M216" t="s">
        <v>13</v>
      </c>
      <c r="N216" t="s">
        <v>445</v>
      </c>
    </row>
    <row r="217" spans="1:14" x14ac:dyDescent="0.35">
      <c r="A217">
        <v>20000179</v>
      </c>
      <c r="B217" s="3">
        <v>44249</v>
      </c>
      <c r="C217" t="s">
        <v>460</v>
      </c>
      <c r="D217">
        <v>2021</v>
      </c>
      <c r="E217" s="14">
        <v>44228</v>
      </c>
      <c r="F217" t="s">
        <v>37</v>
      </c>
      <c r="G217" t="s">
        <v>766</v>
      </c>
      <c r="H217" t="s">
        <v>39</v>
      </c>
      <c r="I217">
        <v>94770</v>
      </c>
      <c r="J217">
        <v>170000</v>
      </c>
      <c r="K217">
        <v>0.55740000000000001</v>
      </c>
      <c r="L217">
        <v>1.7938166086314233</v>
      </c>
      <c r="M217" t="s">
        <v>13</v>
      </c>
      <c r="N217" t="s">
        <v>446</v>
      </c>
    </row>
    <row r="218" spans="1:14" x14ac:dyDescent="0.35">
      <c r="A218">
        <v>200468</v>
      </c>
      <c r="B218" s="3">
        <v>44239</v>
      </c>
      <c r="C218" t="s">
        <v>460</v>
      </c>
      <c r="D218">
        <v>2021</v>
      </c>
      <c r="E218" s="14">
        <v>44228</v>
      </c>
      <c r="F218" t="s">
        <v>125</v>
      </c>
      <c r="G218" t="s">
        <v>765</v>
      </c>
      <c r="H218" t="s">
        <v>126</v>
      </c>
      <c r="I218">
        <v>100520</v>
      </c>
      <c r="J218">
        <v>170000</v>
      </c>
      <c r="K218">
        <v>0.59119999999999995</v>
      </c>
      <c r="L218">
        <v>1.6912057302029446</v>
      </c>
      <c r="M218" t="s">
        <v>13</v>
      </c>
      <c r="N218" t="s">
        <v>446</v>
      </c>
    </row>
    <row r="219" spans="1:14" x14ac:dyDescent="0.35">
      <c r="A219">
        <v>160293</v>
      </c>
      <c r="B219" s="3">
        <v>42845</v>
      </c>
      <c r="C219" t="s">
        <v>452</v>
      </c>
      <c r="D219">
        <v>2017</v>
      </c>
      <c r="E219" s="14">
        <v>42826</v>
      </c>
      <c r="F219" t="s">
        <v>216</v>
      </c>
      <c r="G219" t="s">
        <v>762</v>
      </c>
      <c r="H219" t="s">
        <v>383</v>
      </c>
      <c r="I219">
        <v>102830</v>
      </c>
      <c r="J219">
        <v>170000</v>
      </c>
      <c r="K219">
        <v>0.60488235300000004</v>
      </c>
      <c r="L219">
        <v>1.6532140425945736</v>
      </c>
      <c r="M219" t="s">
        <v>16</v>
      </c>
      <c r="N219" t="s">
        <v>446</v>
      </c>
    </row>
    <row r="220" spans="1:14" x14ac:dyDescent="0.35">
      <c r="A220">
        <v>200113</v>
      </c>
      <c r="B220" s="3">
        <v>44210</v>
      </c>
      <c r="C220" t="s">
        <v>464</v>
      </c>
      <c r="D220">
        <v>2021</v>
      </c>
      <c r="E220" s="14">
        <v>44197</v>
      </c>
      <c r="F220" t="s">
        <v>241</v>
      </c>
      <c r="G220" t="s">
        <v>762</v>
      </c>
      <c r="H220" t="s">
        <v>242</v>
      </c>
      <c r="I220">
        <v>98280</v>
      </c>
      <c r="J220">
        <v>169900</v>
      </c>
      <c r="K220">
        <v>0.57840000000000003</v>
      </c>
      <c r="L220">
        <v>1.7287342287342287</v>
      </c>
      <c r="M220" t="s">
        <v>13</v>
      </c>
      <c r="N220" t="s">
        <v>446</v>
      </c>
    </row>
    <row r="221" spans="1:14" x14ac:dyDescent="0.35">
      <c r="A221">
        <v>70491</v>
      </c>
      <c r="B221" s="3">
        <v>39596</v>
      </c>
      <c r="C221" t="s">
        <v>456</v>
      </c>
      <c r="D221">
        <v>2008</v>
      </c>
      <c r="E221" s="14">
        <v>39569</v>
      </c>
      <c r="F221" t="s">
        <v>84</v>
      </c>
      <c r="G221" t="s">
        <v>770</v>
      </c>
      <c r="H221" t="s">
        <v>294</v>
      </c>
      <c r="I221">
        <v>101990</v>
      </c>
      <c r="J221">
        <v>169000</v>
      </c>
      <c r="K221">
        <v>0.60349112400000005</v>
      </c>
      <c r="L221">
        <v>1.6570251985488773</v>
      </c>
      <c r="M221" t="s">
        <v>16</v>
      </c>
      <c r="N221" t="s">
        <v>446</v>
      </c>
    </row>
    <row r="222" spans="1:14" x14ac:dyDescent="0.35">
      <c r="A222">
        <v>160427</v>
      </c>
      <c r="B222" s="3">
        <v>42976</v>
      </c>
      <c r="C222" t="s">
        <v>462</v>
      </c>
      <c r="D222">
        <v>2017</v>
      </c>
      <c r="E222" s="14">
        <v>42948</v>
      </c>
      <c r="F222" t="s">
        <v>277</v>
      </c>
      <c r="G222" t="s">
        <v>759</v>
      </c>
      <c r="H222" t="s">
        <v>394</v>
      </c>
      <c r="I222">
        <v>113800</v>
      </c>
      <c r="J222">
        <v>169000</v>
      </c>
      <c r="K222">
        <v>0.67337278099999998</v>
      </c>
      <c r="L222">
        <v>1.4850615114235501</v>
      </c>
      <c r="M222" t="s">
        <v>16</v>
      </c>
      <c r="N222" t="s">
        <v>446</v>
      </c>
    </row>
    <row r="223" spans="1:14" x14ac:dyDescent="0.35">
      <c r="A223">
        <v>170091</v>
      </c>
      <c r="B223" s="3">
        <v>43066</v>
      </c>
      <c r="C223" t="s">
        <v>475</v>
      </c>
      <c r="D223">
        <v>2017</v>
      </c>
      <c r="E223" s="14">
        <v>43040</v>
      </c>
      <c r="F223" t="s">
        <v>29</v>
      </c>
      <c r="G223" t="s">
        <v>766</v>
      </c>
      <c r="H223" t="s">
        <v>372</v>
      </c>
      <c r="I223">
        <v>112800</v>
      </c>
      <c r="J223">
        <v>167450</v>
      </c>
      <c r="K223">
        <v>0.67363392099999997</v>
      </c>
      <c r="L223">
        <v>1.4844858156028369</v>
      </c>
      <c r="M223" t="s">
        <v>16</v>
      </c>
      <c r="N223" t="s">
        <v>446</v>
      </c>
    </row>
    <row r="224" spans="1:14" x14ac:dyDescent="0.35">
      <c r="A224">
        <v>20522</v>
      </c>
      <c r="B224" s="3">
        <v>44266</v>
      </c>
      <c r="C224" t="s">
        <v>471</v>
      </c>
      <c r="D224">
        <v>2021</v>
      </c>
      <c r="E224" s="14">
        <v>44256</v>
      </c>
      <c r="F224" t="s">
        <v>98</v>
      </c>
      <c r="G224" t="s">
        <v>770</v>
      </c>
      <c r="H224" t="s">
        <v>100</v>
      </c>
      <c r="I224">
        <v>35875</v>
      </c>
      <c r="J224">
        <v>165000</v>
      </c>
      <c r="K224">
        <v>0.21740000000000001</v>
      </c>
      <c r="L224">
        <v>4.5993031358885021</v>
      </c>
      <c r="M224" t="s">
        <v>13</v>
      </c>
      <c r="N224" t="s">
        <v>445</v>
      </c>
    </row>
    <row r="225" spans="1:14" x14ac:dyDescent="0.35">
      <c r="A225">
        <v>20513</v>
      </c>
      <c r="B225" s="3">
        <v>44266</v>
      </c>
      <c r="C225" t="s">
        <v>471</v>
      </c>
      <c r="D225">
        <v>2021</v>
      </c>
      <c r="E225" s="14">
        <v>44256</v>
      </c>
      <c r="F225" t="s">
        <v>146</v>
      </c>
      <c r="G225" t="s">
        <v>757</v>
      </c>
      <c r="H225" t="s">
        <v>147</v>
      </c>
      <c r="I225">
        <v>97580</v>
      </c>
      <c r="J225">
        <v>163300</v>
      </c>
      <c r="K225">
        <v>0.59750000000000003</v>
      </c>
      <c r="L225">
        <v>1.673498667759787</v>
      </c>
      <c r="M225" t="s">
        <v>13</v>
      </c>
      <c r="N225" t="s">
        <v>446</v>
      </c>
    </row>
    <row r="226" spans="1:14" x14ac:dyDescent="0.35">
      <c r="A226">
        <v>100533</v>
      </c>
      <c r="B226" s="3">
        <v>40723</v>
      </c>
      <c r="C226" t="s">
        <v>454</v>
      </c>
      <c r="D226">
        <v>2011</v>
      </c>
      <c r="E226" s="14">
        <v>40695</v>
      </c>
      <c r="F226" t="s">
        <v>56</v>
      </c>
      <c r="G226" t="s">
        <v>758</v>
      </c>
      <c r="H226" t="s">
        <v>316</v>
      </c>
      <c r="I226">
        <v>146800</v>
      </c>
      <c r="J226">
        <v>162800</v>
      </c>
      <c r="K226">
        <v>0.90171990199999996</v>
      </c>
      <c r="L226">
        <v>1.1089918256130791</v>
      </c>
      <c r="M226" t="s">
        <v>16</v>
      </c>
      <c r="N226" t="s">
        <v>446</v>
      </c>
    </row>
    <row r="227" spans="1:14" x14ac:dyDescent="0.35">
      <c r="A227">
        <v>90163</v>
      </c>
      <c r="B227" s="3">
        <v>40141</v>
      </c>
      <c r="C227" t="s">
        <v>475</v>
      </c>
      <c r="D227">
        <v>2009</v>
      </c>
      <c r="E227" s="14">
        <v>40118</v>
      </c>
      <c r="F227" t="s">
        <v>192</v>
      </c>
      <c r="G227" t="s">
        <v>759</v>
      </c>
      <c r="H227" t="s">
        <v>338</v>
      </c>
      <c r="I227">
        <v>105000</v>
      </c>
      <c r="J227">
        <v>161000</v>
      </c>
      <c r="K227">
        <v>0.65217391300000005</v>
      </c>
      <c r="L227">
        <v>1.5333333333333334</v>
      </c>
      <c r="M227" t="s">
        <v>16</v>
      </c>
      <c r="N227" t="s">
        <v>446</v>
      </c>
    </row>
    <row r="228" spans="1:14" x14ac:dyDescent="0.35">
      <c r="A228">
        <v>10113</v>
      </c>
      <c r="B228" s="3">
        <v>40534</v>
      </c>
      <c r="C228" t="s">
        <v>450</v>
      </c>
      <c r="D228">
        <v>2010</v>
      </c>
      <c r="E228" s="14">
        <v>40513</v>
      </c>
      <c r="F228" t="s">
        <v>83</v>
      </c>
      <c r="G228" t="s">
        <v>756</v>
      </c>
      <c r="H228" t="s">
        <v>310</v>
      </c>
      <c r="I228">
        <v>119400</v>
      </c>
      <c r="J228">
        <v>161000</v>
      </c>
      <c r="K228">
        <v>0.74161490699999999</v>
      </c>
      <c r="L228">
        <v>1.3484087102177555</v>
      </c>
      <c r="M228" t="s">
        <v>16</v>
      </c>
      <c r="N228" t="s">
        <v>446</v>
      </c>
    </row>
    <row r="229" spans="1:14" x14ac:dyDescent="0.35">
      <c r="A229">
        <v>200991</v>
      </c>
      <c r="B229" s="3">
        <v>44385</v>
      </c>
      <c r="C229" t="s">
        <v>458</v>
      </c>
      <c r="D229">
        <v>2021</v>
      </c>
      <c r="E229" s="14">
        <v>44378</v>
      </c>
      <c r="F229" t="s">
        <v>117</v>
      </c>
      <c r="G229" t="s">
        <v>765</v>
      </c>
      <c r="H229" t="s">
        <v>120</v>
      </c>
      <c r="I229">
        <v>104300</v>
      </c>
      <c r="J229">
        <v>160000</v>
      </c>
      <c r="K229">
        <v>0.65180000000000005</v>
      </c>
      <c r="L229">
        <v>1.5340364333652925</v>
      </c>
      <c r="M229" t="s">
        <v>13</v>
      </c>
      <c r="N229" t="s">
        <v>446</v>
      </c>
    </row>
    <row r="230" spans="1:14" x14ac:dyDescent="0.35">
      <c r="A230">
        <v>20000050</v>
      </c>
      <c r="B230" s="3">
        <v>44140</v>
      </c>
      <c r="C230" t="s">
        <v>475</v>
      </c>
      <c r="D230">
        <v>2020</v>
      </c>
      <c r="E230" s="14">
        <v>44136</v>
      </c>
      <c r="F230" t="s">
        <v>37</v>
      </c>
      <c r="G230" t="s">
        <v>766</v>
      </c>
      <c r="H230" t="s">
        <v>38</v>
      </c>
      <c r="I230">
        <v>105110</v>
      </c>
      <c r="J230">
        <v>160000</v>
      </c>
      <c r="K230">
        <v>0.65693749999999995</v>
      </c>
      <c r="L230">
        <v>1.5222148225668348</v>
      </c>
      <c r="M230" t="s">
        <v>13</v>
      </c>
      <c r="N230" t="s">
        <v>446</v>
      </c>
    </row>
    <row r="231" spans="1:14" x14ac:dyDescent="0.35">
      <c r="A231">
        <v>80588</v>
      </c>
      <c r="B231" s="3">
        <v>40015</v>
      </c>
      <c r="C231" t="s">
        <v>458</v>
      </c>
      <c r="D231">
        <v>2009</v>
      </c>
      <c r="E231" s="14">
        <v>39995</v>
      </c>
      <c r="F231" t="s">
        <v>56</v>
      </c>
      <c r="G231" t="s">
        <v>758</v>
      </c>
      <c r="H231" t="s">
        <v>293</v>
      </c>
      <c r="I231">
        <v>125900</v>
      </c>
      <c r="J231">
        <v>160000</v>
      </c>
      <c r="K231">
        <v>0.78687499999999999</v>
      </c>
      <c r="L231">
        <v>1.2708498808578237</v>
      </c>
      <c r="M231" t="s">
        <v>16</v>
      </c>
      <c r="N231" t="s">
        <v>446</v>
      </c>
    </row>
    <row r="232" spans="1:14" x14ac:dyDescent="0.35">
      <c r="A232">
        <v>70130</v>
      </c>
      <c r="B232" s="3">
        <v>39689</v>
      </c>
      <c r="C232" t="s">
        <v>462</v>
      </c>
      <c r="D232">
        <v>2008</v>
      </c>
      <c r="E232" s="14">
        <v>39661</v>
      </c>
      <c r="F232" t="s">
        <v>119</v>
      </c>
      <c r="G232" t="s">
        <v>764</v>
      </c>
      <c r="H232" t="s">
        <v>430</v>
      </c>
      <c r="I232">
        <v>91700</v>
      </c>
      <c r="J232">
        <v>157000</v>
      </c>
      <c r="K232">
        <v>0.58407643300000001</v>
      </c>
      <c r="L232">
        <v>1.7121046892039258</v>
      </c>
      <c r="M232" t="s">
        <v>16</v>
      </c>
      <c r="N232" t="s">
        <v>446</v>
      </c>
    </row>
    <row r="233" spans="1:14" x14ac:dyDescent="0.35">
      <c r="A233">
        <v>180207</v>
      </c>
      <c r="B233" s="3">
        <v>43523</v>
      </c>
      <c r="C233" t="s">
        <v>460</v>
      </c>
      <c r="D233">
        <v>2019</v>
      </c>
      <c r="E233" s="14">
        <v>43497</v>
      </c>
      <c r="F233" t="s">
        <v>29</v>
      </c>
      <c r="G233" t="s">
        <v>766</v>
      </c>
      <c r="H233" t="s">
        <v>405</v>
      </c>
      <c r="I233">
        <v>100800</v>
      </c>
      <c r="J233">
        <v>156000</v>
      </c>
      <c r="K233">
        <v>0.64615384600000003</v>
      </c>
      <c r="L233">
        <v>1.5476190476190477</v>
      </c>
      <c r="M233" t="s">
        <v>16</v>
      </c>
      <c r="N233" t="s">
        <v>446</v>
      </c>
    </row>
    <row r="234" spans="1:14" x14ac:dyDescent="0.35">
      <c r="A234">
        <v>200032</v>
      </c>
      <c r="B234" s="3">
        <v>44112</v>
      </c>
      <c r="C234" t="s">
        <v>469</v>
      </c>
      <c r="D234">
        <v>2020</v>
      </c>
      <c r="E234" s="14">
        <v>44105</v>
      </c>
      <c r="F234" t="s">
        <v>32</v>
      </c>
      <c r="G234" t="s">
        <v>766</v>
      </c>
      <c r="H234" t="s">
        <v>33</v>
      </c>
      <c r="I234">
        <v>94920</v>
      </c>
      <c r="J234">
        <v>155000</v>
      </c>
      <c r="K234">
        <v>0.61229999999999996</v>
      </c>
      <c r="L234">
        <v>1.6329540665823852</v>
      </c>
      <c r="M234" t="s">
        <v>13</v>
      </c>
      <c r="N234" t="s">
        <v>446</v>
      </c>
    </row>
    <row r="235" spans="1:14" x14ac:dyDescent="0.35">
      <c r="A235">
        <v>161240</v>
      </c>
      <c r="B235" s="3">
        <v>42942</v>
      </c>
      <c r="C235" t="s">
        <v>458</v>
      </c>
      <c r="D235">
        <v>2017</v>
      </c>
      <c r="E235" s="14">
        <v>42917</v>
      </c>
      <c r="F235" t="s">
        <v>122</v>
      </c>
      <c r="G235" t="s">
        <v>757</v>
      </c>
      <c r="H235" t="s">
        <v>374</v>
      </c>
      <c r="I235">
        <v>95050</v>
      </c>
      <c r="J235">
        <v>155000</v>
      </c>
      <c r="K235">
        <v>0.61322580599999998</v>
      </c>
      <c r="L235">
        <v>1.6307206733298265</v>
      </c>
      <c r="M235" t="s">
        <v>16</v>
      </c>
      <c r="N235" t="s">
        <v>446</v>
      </c>
    </row>
    <row r="236" spans="1:14" x14ac:dyDescent="0.35">
      <c r="A236">
        <v>62389</v>
      </c>
      <c r="B236" s="3">
        <v>39318</v>
      </c>
      <c r="C236" t="s">
        <v>462</v>
      </c>
      <c r="D236">
        <v>2007</v>
      </c>
      <c r="E236" s="14">
        <v>39295</v>
      </c>
      <c r="F236" t="s">
        <v>282</v>
      </c>
      <c r="G236" t="s">
        <v>766</v>
      </c>
      <c r="H236" t="s">
        <v>289</v>
      </c>
      <c r="I236">
        <v>80521</v>
      </c>
      <c r="J236">
        <v>154500</v>
      </c>
      <c r="K236">
        <v>0.52117152099999997</v>
      </c>
      <c r="L236">
        <v>1.9187541138336583</v>
      </c>
      <c r="M236" t="s">
        <v>16</v>
      </c>
      <c r="N236" t="s">
        <v>446</v>
      </c>
    </row>
    <row r="237" spans="1:14" x14ac:dyDescent="0.35">
      <c r="A237">
        <v>12323</v>
      </c>
      <c r="B237" s="3">
        <v>41463</v>
      </c>
      <c r="C237" t="s">
        <v>458</v>
      </c>
      <c r="D237">
        <v>2013</v>
      </c>
      <c r="E237" s="14">
        <v>41456</v>
      </c>
      <c r="F237" t="s">
        <v>174</v>
      </c>
      <c r="G237" t="s">
        <v>759</v>
      </c>
      <c r="H237" t="s">
        <v>357</v>
      </c>
      <c r="I237">
        <v>126280</v>
      </c>
      <c r="J237">
        <v>153500</v>
      </c>
      <c r="K237">
        <v>0.82267100999999998</v>
      </c>
      <c r="L237">
        <v>1.2155527399429837</v>
      </c>
      <c r="M237" t="s">
        <v>16</v>
      </c>
      <c r="N237" t="s">
        <v>446</v>
      </c>
    </row>
    <row r="238" spans="1:14" x14ac:dyDescent="0.35">
      <c r="A238">
        <v>190443</v>
      </c>
      <c r="B238" s="3">
        <v>43950</v>
      </c>
      <c r="C238" t="s">
        <v>452</v>
      </c>
      <c r="D238">
        <v>2020</v>
      </c>
      <c r="E238" s="14">
        <v>43922</v>
      </c>
      <c r="F238" t="s">
        <v>281</v>
      </c>
      <c r="G238" t="s">
        <v>765</v>
      </c>
      <c r="H238" t="s">
        <v>401</v>
      </c>
      <c r="I238">
        <v>92280</v>
      </c>
      <c r="J238">
        <v>153000</v>
      </c>
      <c r="K238">
        <v>0.60309999999999997</v>
      </c>
      <c r="L238">
        <v>1.6579973992197659</v>
      </c>
      <c r="M238" t="s">
        <v>16</v>
      </c>
      <c r="N238" t="s">
        <v>446</v>
      </c>
    </row>
    <row r="239" spans="1:14" x14ac:dyDescent="0.35">
      <c r="A239">
        <v>90035</v>
      </c>
      <c r="B239" s="3">
        <v>40148</v>
      </c>
      <c r="C239" t="s">
        <v>450</v>
      </c>
      <c r="D239">
        <v>2009</v>
      </c>
      <c r="E239" s="14">
        <v>40148</v>
      </c>
      <c r="F239" t="s">
        <v>321</v>
      </c>
      <c r="G239" t="s">
        <v>759</v>
      </c>
      <c r="H239" t="s">
        <v>331</v>
      </c>
      <c r="I239">
        <v>110700</v>
      </c>
      <c r="J239">
        <v>151000</v>
      </c>
      <c r="K239">
        <v>0.73311258300000004</v>
      </c>
      <c r="L239">
        <v>1.3640469738030714</v>
      </c>
      <c r="M239" t="s">
        <v>16</v>
      </c>
      <c r="N239" t="s">
        <v>446</v>
      </c>
    </row>
    <row r="240" spans="1:14" x14ac:dyDescent="0.35">
      <c r="A240">
        <v>201777</v>
      </c>
      <c r="B240" s="3">
        <v>44355</v>
      </c>
      <c r="C240" t="s">
        <v>454</v>
      </c>
      <c r="D240">
        <v>2021</v>
      </c>
      <c r="E240" s="14">
        <v>44348</v>
      </c>
      <c r="F240" t="s">
        <v>264</v>
      </c>
      <c r="G240" t="s">
        <v>759</v>
      </c>
      <c r="H240" t="s">
        <v>266</v>
      </c>
      <c r="I240">
        <v>36770</v>
      </c>
      <c r="J240">
        <v>150000</v>
      </c>
      <c r="K240">
        <v>0.24510000000000001</v>
      </c>
      <c r="L240">
        <v>4.0794125645906991</v>
      </c>
      <c r="M240" t="s">
        <v>13</v>
      </c>
      <c r="N240" t="s">
        <v>445</v>
      </c>
    </row>
    <row r="241" spans="1:14" x14ac:dyDescent="0.35">
      <c r="A241">
        <v>200285</v>
      </c>
      <c r="B241" s="3">
        <v>44298</v>
      </c>
      <c r="C241" t="s">
        <v>452</v>
      </c>
      <c r="D241">
        <v>2021</v>
      </c>
      <c r="E241" s="14">
        <v>44287</v>
      </c>
      <c r="F241" t="s">
        <v>96</v>
      </c>
      <c r="G241" t="s">
        <v>756</v>
      </c>
      <c r="H241" t="s">
        <v>97</v>
      </c>
      <c r="I241">
        <v>77840</v>
      </c>
      <c r="J241">
        <v>150000</v>
      </c>
      <c r="K241">
        <v>0.51890000000000003</v>
      </c>
      <c r="L241">
        <v>1.9270298047276464</v>
      </c>
      <c r="M241" t="s">
        <v>13</v>
      </c>
      <c r="N241" t="s">
        <v>446</v>
      </c>
    </row>
    <row r="242" spans="1:14" x14ac:dyDescent="0.35">
      <c r="A242">
        <v>201018</v>
      </c>
      <c r="B242" s="3">
        <v>44350</v>
      </c>
      <c r="C242" t="s">
        <v>454</v>
      </c>
      <c r="D242">
        <v>2021</v>
      </c>
      <c r="E242" s="14">
        <v>44348</v>
      </c>
      <c r="F242" t="s">
        <v>56</v>
      </c>
      <c r="G242" t="s">
        <v>758</v>
      </c>
      <c r="H242" t="s">
        <v>416</v>
      </c>
      <c r="I242">
        <v>136900</v>
      </c>
      <c r="J242">
        <v>150000</v>
      </c>
      <c r="K242">
        <v>0.91259999999999997</v>
      </c>
      <c r="L242">
        <v>1.0956902848794741</v>
      </c>
      <c r="M242" t="s">
        <v>13</v>
      </c>
      <c r="N242" t="s">
        <v>446</v>
      </c>
    </row>
    <row r="243" spans="1:14" x14ac:dyDescent="0.35">
      <c r="A243">
        <v>200230</v>
      </c>
      <c r="B243" s="3">
        <v>44312</v>
      </c>
      <c r="C243" t="s">
        <v>452</v>
      </c>
      <c r="D243">
        <v>2021</v>
      </c>
      <c r="E243" s="14">
        <v>44287</v>
      </c>
      <c r="F243" t="s">
        <v>109</v>
      </c>
      <c r="G243" t="s">
        <v>767</v>
      </c>
      <c r="H243" t="s">
        <v>110</v>
      </c>
      <c r="I243">
        <v>143220</v>
      </c>
      <c r="J243">
        <v>150000</v>
      </c>
      <c r="K243">
        <v>0.95479999999999998</v>
      </c>
      <c r="L243">
        <v>1.0473397570171763</v>
      </c>
      <c r="M243" t="s">
        <v>103</v>
      </c>
      <c r="N243" t="s">
        <v>446</v>
      </c>
    </row>
    <row r="244" spans="1:14" x14ac:dyDescent="0.35">
      <c r="A244">
        <v>90347</v>
      </c>
      <c r="B244" s="3">
        <v>40177</v>
      </c>
      <c r="C244" t="s">
        <v>450</v>
      </c>
      <c r="D244">
        <v>2009</v>
      </c>
      <c r="E244" s="14">
        <v>40148</v>
      </c>
      <c r="F244" t="s">
        <v>264</v>
      </c>
      <c r="G244" t="s">
        <v>759</v>
      </c>
      <c r="H244" t="s">
        <v>348</v>
      </c>
      <c r="I244">
        <v>87700</v>
      </c>
      <c r="J244">
        <v>149850</v>
      </c>
      <c r="K244">
        <v>0.58525191899999995</v>
      </c>
      <c r="L244">
        <v>1.7086659064994298</v>
      </c>
      <c r="M244" t="s">
        <v>16</v>
      </c>
      <c r="N244" t="s">
        <v>446</v>
      </c>
    </row>
    <row r="245" spans="1:14" x14ac:dyDescent="0.35">
      <c r="A245">
        <v>90832</v>
      </c>
      <c r="B245" s="3">
        <v>40359</v>
      </c>
      <c r="C245" t="s">
        <v>454</v>
      </c>
      <c r="D245">
        <v>2010</v>
      </c>
      <c r="E245" s="14">
        <v>40330</v>
      </c>
      <c r="F245" t="s">
        <v>159</v>
      </c>
      <c r="G245" t="s">
        <v>757</v>
      </c>
      <c r="H245" t="s">
        <v>332</v>
      </c>
      <c r="I245">
        <v>99960</v>
      </c>
      <c r="J245">
        <v>146000</v>
      </c>
      <c r="K245">
        <v>0.68465753399999996</v>
      </c>
      <c r="L245">
        <v>1.4605842336934773</v>
      </c>
      <c r="M245" t="s">
        <v>16</v>
      </c>
      <c r="N245" t="s">
        <v>446</v>
      </c>
    </row>
    <row r="246" spans="1:14" x14ac:dyDescent="0.35">
      <c r="A246">
        <v>150007</v>
      </c>
      <c r="B246" s="3">
        <v>42305</v>
      </c>
      <c r="C246" t="s">
        <v>469</v>
      </c>
      <c r="D246">
        <v>2015</v>
      </c>
      <c r="E246" s="14">
        <v>42278</v>
      </c>
      <c r="F246" t="s">
        <v>285</v>
      </c>
      <c r="G246" t="s">
        <v>760</v>
      </c>
      <c r="H246" t="s">
        <v>362</v>
      </c>
      <c r="I246">
        <v>100900</v>
      </c>
      <c r="J246">
        <v>144900</v>
      </c>
      <c r="K246">
        <v>0.69634230500000005</v>
      </c>
      <c r="L246">
        <v>1.4360753221010902</v>
      </c>
      <c r="M246" t="s">
        <v>16</v>
      </c>
      <c r="N246" t="s">
        <v>446</v>
      </c>
    </row>
    <row r="247" spans="1:14" x14ac:dyDescent="0.35">
      <c r="A247">
        <v>100020</v>
      </c>
      <c r="B247" s="3">
        <v>40473</v>
      </c>
      <c r="C247" t="s">
        <v>469</v>
      </c>
      <c r="D247">
        <v>2010</v>
      </c>
      <c r="E247" s="14">
        <v>40452</v>
      </c>
      <c r="F247" t="s">
        <v>29</v>
      </c>
      <c r="G247" t="s">
        <v>766</v>
      </c>
      <c r="H247" t="s">
        <v>342</v>
      </c>
      <c r="I247">
        <v>123700</v>
      </c>
      <c r="J247">
        <v>143800</v>
      </c>
      <c r="K247">
        <v>0.86022253100000001</v>
      </c>
      <c r="L247">
        <v>1.1624898949070332</v>
      </c>
      <c r="M247" t="s">
        <v>16</v>
      </c>
      <c r="N247" t="s">
        <v>446</v>
      </c>
    </row>
    <row r="248" spans="1:14" x14ac:dyDescent="0.35">
      <c r="A248">
        <v>60190</v>
      </c>
      <c r="B248" s="3">
        <v>39062</v>
      </c>
      <c r="C248" t="s">
        <v>450</v>
      </c>
      <c r="D248">
        <v>2006</v>
      </c>
      <c r="E248" s="14">
        <v>39052</v>
      </c>
      <c r="F248" t="s">
        <v>283</v>
      </c>
      <c r="G248" t="s">
        <v>759</v>
      </c>
      <c r="H248" t="s">
        <v>288</v>
      </c>
      <c r="I248">
        <v>78260</v>
      </c>
      <c r="J248">
        <v>143000</v>
      </c>
      <c r="K248">
        <v>0.54727272699999996</v>
      </c>
      <c r="L248">
        <v>1.8272425249169435</v>
      </c>
      <c r="M248" t="s">
        <v>16</v>
      </c>
      <c r="N248" t="s">
        <v>446</v>
      </c>
    </row>
    <row r="249" spans="1:14" x14ac:dyDescent="0.35">
      <c r="A249">
        <v>9347</v>
      </c>
      <c r="B249" s="3">
        <v>40232</v>
      </c>
      <c r="C249" t="s">
        <v>460</v>
      </c>
      <c r="D249">
        <v>2010</v>
      </c>
      <c r="E249" s="14">
        <v>40210</v>
      </c>
      <c r="F249" t="s">
        <v>125</v>
      </c>
      <c r="G249" t="s">
        <v>765</v>
      </c>
      <c r="H249" t="s">
        <v>344</v>
      </c>
      <c r="I249">
        <v>93050</v>
      </c>
      <c r="J249">
        <v>143000</v>
      </c>
      <c r="K249">
        <v>0.65069930099999995</v>
      </c>
      <c r="L249">
        <v>1.5368081676518002</v>
      </c>
      <c r="M249" t="s">
        <v>16</v>
      </c>
      <c r="N249" t="s">
        <v>446</v>
      </c>
    </row>
    <row r="250" spans="1:14" x14ac:dyDescent="0.35">
      <c r="A250">
        <v>17141</v>
      </c>
      <c r="B250" s="3">
        <v>43069</v>
      </c>
      <c r="C250" t="s">
        <v>475</v>
      </c>
      <c r="D250">
        <v>2017</v>
      </c>
      <c r="E250" s="14">
        <v>43040</v>
      </c>
      <c r="F250" t="s">
        <v>174</v>
      </c>
      <c r="G250" t="s">
        <v>759</v>
      </c>
      <c r="H250" t="s">
        <v>407</v>
      </c>
      <c r="I250">
        <v>119630</v>
      </c>
      <c r="J250">
        <v>142650</v>
      </c>
      <c r="K250">
        <v>0.83860000000000001</v>
      </c>
      <c r="L250">
        <v>1.1924266488339046</v>
      </c>
      <c r="M250" t="s">
        <v>16</v>
      </c>
      <c r="N250" t="s">
        <v>446</v>
      </c>
    </row>
    <row r="251" spans="1:14" x14ac:dyDescent="0.35">
      <c r="A251">
        <v>200375</v>
      </c>
      <c r="B251" s="3">
        <v>44292</v>
      </c>
      <c r="C251" t="s">
        <v>452</v>
      </c>
      <c r="D251">
        <v>2021</v>
      </c>
      <c r="E251" s="14">
        <v>44287</v>
      </c>
      <c r="F251" t="s">
        <v>66</v>
      </c>
      <c r="G251" t="s">
        <v>760</v>
      </c>
      <c r="H251" t="s">
        <v>417</v>
      </c>
      <c r="I251">
        <v>76960</v>
      </c>
      <c r="J251">
        <v>140000</v>
      </c>
      <c r="K251">
        <v>0.54969999999999997</v>
      </c>
      <c r="L251">
        <v>1.8191268191268191</v>
      </c>
      <c r="M251" t="s">
        <v>13</v>
      </c>
      <c r="N251" t="s">
        <v>446</v>
      </c>
    </row>
    <row r="252" spans="1:14" x14ac:dyDescent="0.35">
      <c r="A252">
        <v>14332</v>
      </c>
      <c r="B252" s="3">
        <v>42179</v>
      </c>
      <c r="C252" t="s">
        <v>454</v>
      </c>
      <c r="D252">
        <v>2015</v>
      </c>
      <c r="E252" s="14">
        <v>42156</v>
      </c>
      <c r="F252" t="s">
        <v>182</v>
      </c>
      <c r="G252" t="s">
        <v>757</v>
      </c>
      <c r="H252" t="s">
        <v>360</v>
      </c>
      <c r="I252">
        <v>107520</v>
      </c>
      <c r="J252">
        <v>140000</v>
      </c>
      <c r="K252">
        <v>0.76800000000000002</v>
      </c>
      <c r="L252">
        <v>1.3020833333333333</v>
      </c>
      <c r="M252" t="s">
        <v>16</v>
      </c>
      <c r="N252" t="s">
        <v>446</v>
      </c>
    </row>
    <row r="253" spans="1:14" x14ac:dyDescent="0.35">
      <c r="A253">
        <v>202250</v>
      </c>
      <c r="B253" s="3">
        <v>44417</v>
      </c>
      <c r="C253" t="s">
        <v>462</v>
      </c>
      <c r="D253">
        <v>2021</v>
      </c>
      <c r="E253" s="14">
        <v>44409</v>
      </c>
      <c r="F253" t="s">
        <v>264</v>
      </c>
      <c r="G253" t="s">
        <v>759</v>
      </c>
      <c r="H253" t="s">
        <v>267</v>
      </c>
      <c r="I253">
        <v>63100</v>
      </c>
      <c r="J253">
        <v>139900</v>
      </c>
      <c r="K253">
        <v>0.45100000000000001</v>
      </c>
      <c r="L253">
        <v>2.2171156893819335</v>
      </c>
      <c r="M253" t="s">
        <v>13</v>
      </c>
      <c r="N253" t="s">
        <v>445</v>
      </c>
    </row>
    <row r="254" spans="1:14" x14ac:dyDescent="0.35">
      <c r="A254">
        <v>150498</v>
      </c>
      <c r="B254" s="3">
        <v>42492</v>
      </c>
      <c r="C254" t="s">
        <v>456</v>
      </c>
      <c r="D254">
        <v>2016</v>
      </c>
      <c r="E254" s="14">
        <v>42491</v>
      </c>
      <c r="F254" t="s">
        <v>125</v>
      </c>
      <c r="G254" t="s">
        <v>765</v>
      </c>
      <c r="H254" t="s">
        <v>363</v>
      </c>
      <c r="I254">
        <v>94570</v>
      </c>
      <c r="J254">
        <v>135000</v>
      </c>
      <c r="K254">
        <v>0.70051851899999995</v>
      </c>
      <c r="L254">
        <v>1.4275140107856614</v>
      </c>
      <c r="M254" t="s">
        <v>16</v>
      </c>
      <c r="N254" t="s">
        <v>446</v>
      </c>
    </row>
    <row r="255" spans="1:14" x14ac:dyDescent="0.35">
      <c r="A255">
        <v>13105</v>
      </c>
      <c r="B255" s="3">
        <v>41709</v>
      </c>
      <c r="C255" t="s">
        <v>471</v>
      </c>
      <c r="D255">
        <v>2014</v>
      </c>
      <c r="E255" s="14">
        <v>41699</v>
      </c>
      <c r="F255" t="s">
        <v>27</v>
      </c>
      <c r="G255" t="s">
        <v>766</v>
      </c>
      <c r="H255" t="s">
        <v>353</v>
      </c>
      <c r="I255">
        <v>124460</v>
      </c>
      <c r="J255">
        <v>133000</v>
      </c>
      <c r="K255">
        <v>0.93578947400000001</v>
      </c>
      <c r="L255">
        <v>1.0686164229471316</v>
      </c>
      <c r="M255" t="s">
        <v>16</v>
      </c>
      <c r="N255" t="s">
        <v>446</v>
      </c>
    </row>
    <row r="256" spans="1:14" x14ac:dyDescent="0.35">
      <c r="A256">
        <v>200436</v>
      </c>
      <c r="B256" s="3">
        <v>44320</v>
      </c>
      <c r="C256" t="s">
        <v>456</v>
      </c>
      <c r="D256">
        <v>2021</v>
      </c>
      <c r="E256" s="14">
        <v>44317</v>
      </c>
      <c r="F256" t="s">
        <v>92</v>
      </c>
      <c r="G256" t="s">
        <v>756</v>
      </c>
      <c r="H256" t="s">
        <v>93</v>
      </c>
      <c r="I256">
        <v>71960</v>
      </c>
      <c r="J256">
        <v>130000</v>
      </c>
      <c r="K256">
        <v>0.55349999999999999</v>
      </c>
      <c r="L256">
        <v>1.8065591995553085</v>
      </c>
      <c r="M256" t="s">
        <v>13</v>
      </c>
      <c r="N256" t="s">
        <v>446</v>
      </c>
    </row>
    <row r="257" spans="1:14" x14ac:dyDescent="0.35">
      <c r="A257">
        <v>200377</v>
      </c>
      <c r="B257" s="3">
        <v>44344</v>
      </c>
      <c r="C257" t="s">
        <v>456</v>
      </c>
      <c r="D257">
        <v>2021</v>
      </c>
      <c r="E257" s="14">
        <v>44317</v>
      </c>
      <c r="F257" t="s">
        <v>210</v>
      </c>
      <c r="G257" t="s">
        <v>762</v>
      </c>
      <c r="H257" t="s">
        <v>212</v>
      </c>
      <c r="I257">
        <v>80010</v>
      </c>
      <c r="J257">
        <v>130000</v>
      </c>
      <c r="K257">
        <v>0.61539999999999995</v>
      </c>
      <c r="L257">
        <v>1.6247969003874516</v>
      </c>
      <c r="M257" t="s">
        <v>13</v>
      </c>
      <c r="N257" t="s">
        <v>446</v>
      </c>
    </row>
    <row r="258" spans="1:14" x14ac:dyDescent="0.35">
      <c r="A258">
        <v>90097</v>
      </c>
      <c r="B258" s="3">
        <v>40332</v>
      </c>
      <c r="C258" t="s">
        <v>454</v>
      </c>
      <c r="D258">
        <v>2010</v>
      </c>
      <c r="E258" s="14">
        <v>40330</v>
      </c>
      <c r="F258" t="s">
        <v>321</v>
      </c>
      <c r="G258" t="s">
        <v>759</v>
      </c>
      <c r="H258" t="s">
        <v>322</v>
      </c>
      <c r="I258">
        <v>126200</v>
      </c>
      <c r="J258">
        <v>130000</v>
      </c>
      <c r="K258">
        <v>0.97076923100000001</v>
      </c>
      <c r="L258">
        <v>1.0301109350237718</v>
      </c>
      <c r="M258" t="s">
        <v>16</v>
      </c>
      <c r="N258" t="s">
        <v>446</v>
      </c>
    </row>
    <row r="259" spans="1:14" x14ac:dyDescent="0.35">
      <c r="A259">
        <v>140129</v>
      </c>
      <c r="B259" s="3">
        <v>42198</v>
      </c>
      <c r="C259" t="s">
        <v>458</v>
      </c>
      <c r="D259">
        <v>2015</v>
      </c>
      <c r="E259" s="14">
        <v>42186</v>
      </c>
      <c r="F259" t="s">
        <v>306</v>
      </c>
      <c r="G259" t="s">
        <v>757</v>
      </c>
      <c r="H259" t="s">
        <v>361</v>
      </c>
      <c r="I259">
        <v>88000</v>
      </c>
      <c r="J259">
        <v>128866</v>
      </c>
      <c r="K259">
        <v>0.68287989100000002</v>
      </c>
      <c r="L259">
        <v>1.4643863636363637</v>
      </c>
      <c r="M259" t="s">
        <v>16</v>
      </c>
      <c r="N259" t="s">
        <v>446</v>
      </c>
    </row>
    <row r="260" spans="1:14" x14ac:dyDescent="0.35">
      <c r="A260">
        <v>20273</v>
      </c>
      <c r="B260" s="3">
        <v>44207</v>
      </c>
      <c r="C260" t="s">
        <v>464</v>
      </c>
      <c r="D260">
        <v>2021</v>
      </c>
      <c r="E260" s="14">
        <v>44197</v>
      </c>
      <c r="F260" t="s">
        <v>142</v>
      </c>
      <c r="G260" t="s">
        <v>754</v>
      </c>
      <c r="H260" t="s">
        <v>199</v>
      </c>
      <c r="I260">
        <v>89810</v>
      </c>
      <c r="J260">
        <v>128300</v>
      </c>
      <c r="K260">
        <v>0.7</v>
      </c>
      <c r="L260">
        <v>1.4285714285714286</v>
      </c>
      <c r="M260" t="s">
        <v>13</v>
      </c>
      <c r="N260" t="s">
        <v>446</v>
      </c>
    </row>
    <row r="261" spans="1:14" x14ac:dyDescent="0.35">
      <c r="A261">
        <v>900152</v>
      </c>
      <c r="B261" s="3">
        <v>40301</v>
      </c>
      <c r="C261" t="s">
        <v>456</v>
      </c>
      <c r="D261">
        <v>2010</v>
      </c>
      <c r="E261" s="14">
        <v>40299</v>
      </c>
      <c r="F261" t="s">
        <v>200</v>
      </c>
      <c r="G261" t="s">
        <v>754</v>
      </c>
      <c r="H261" t="s">
        <v>314</v>
      </c>
      <c r="I261">
        <v>88620</v>
      </c>
      <c r="J261">
        <v>127000</v>
      </c>
      <c r="K261">
        <v>0.69779527600000002</v>
      </c>
      <c r="L261">
        <v>1.4330850823741819</v>
      </c>
      <c r="M261" t="s">
        <v>16</v>
      </c>
      <c r="N261" t="s">
        <v>446</v>
      </c>
    </row>
    <row r="262" spans="1:14" x14ac:dyDescent="0.35">
      <c r="A262">
        <v>160624</v>
      </c>
      <c r="B262" s="3">
        <v>42964</v>
      </c>
      <c r="C262" t="s">
        <v>462</v>
      </c>
      <c r="D262">
        <v>2017</v>
      </c>
      <c r="E262" s="14">
        <v>42948</v>
      </c>
      <c r="F262" t="s">
        <v>133</v>
      </c>
      <c r="G262" t="s">
        <v>757</v>
      </c>
      <c r="H262" t="s">
        <v>367</v>
      </c>
      <c r="I262">
        <v>96100</v>
      </c>
      <c r="J262">
        <v>125500</v>
      </c>
      <c r="K262">
        <v>0.76573705199999997</v>
      </c>
      <c r="L262">
        <v>1.3059313215400625</v>
      </c>
      <c r="M262" t="s">
        <v>16</v>
      </c>
      <c r="N262" t="s">
        <v>446</v>
      </c>
    </row>
    <row r="263" spans="1:14" x14ac:dyDescent="0.35">
      <c r="A263">
        <v>160521</v>
      </c>
      <c r="B263" s="3">
        <v>42916</v>
      </c>
      <c r="C263" t="s">
        <v>454</v>
      </c>
      <c r="D263">
        <v>2017</v>
      </c>
      <c r="E263" s="14">
        <v>42887</v>
      </c>
      <c r="F263" t="s">
        <v>139</v>
      </c>
      <c r="G263" t="s">
        <v>763</v>
      </c>
      <c r="H263" t="s">
        <v>369</v>
      </c>
      <c r="I263">
        <v>88000</v>
      </c>
      <c r="J263">
        <v>125000</v>
      </c>
      <c r="K263">
        <v>0.70399999999999996</v>
      </c>
      <c r="L263">
        <v>1.4204545454545454</v>
      </c>
      <c r="M263" t="s">
        <v>16</v>
      </c>
      <c r="N263" t="s">
        <v>446</v>
      </c>
    </row>
    <row r="264" spans="1:14" x14ac:dyDescent="0.35">
      <c r="A264">
        <v>130523</v>
      </c>
      <c r="B264" s="3">
        <v>41908</v>
      </c>
      <c r="C264" t="s">
        <v>473</v>
      </c>
      <c r="D264">
        <v>2014</v>
      </c>
      <c r="E264" s="14">
        <v>41883</v>
      </c>
      <c r="F264" t="s">
        <v>73</v>
      </c>
      <c r="G264" t="s">
        <v>760</v>
      </c>
      <c r="H264" t="s">
        <v>354</v>
      </c>
      <c r="I264">
        <v>97940</v>
      </c>
      <c r="J264">
        <v>125000</v>
      </c>
      <c r="K264">
        <v>0.78351999999999999</v>
      </c>
      <c r="L264">
        <v>1.2762916071063917</v>
      </c>
      <c r="M264" t="s">
        <v>16</v>
      </c>
      <c r="N264" t="s">
        <v>446</v>
      </c>
    </row>
    <row r="265" spans="1:14" x14ac:dyDescent="0.35">
      <c r="A265">
        <v>160010</v>
      </c>
      <c r="B265" s="3">
        <v>42656</v>
      </c>
      <c r="C265" t="s">
        <v>469</v>
      </c>
      <c r="D265">
        <v>2016</v>
      </c>
      <c r="E265" s="14">
        <v>42644</v>
      </c>
      <c r="F265" t="s">
        <v>200</v>
      </c>
      <c r="G265" t="s">
        <v>754</v>
      </c>
      <c r="H265" t="s">
        <v>370</v>
      </c>
      <c r="I265">
        <v>76930</v>
      </c>
      <c r="J265">
        <v>124500</v>
      </c>
      <c r="K265">
        <v>0.61791164700000001</v>
      </c>
      <c r="L265">
        <v>1.6183543481086702</v>
      </c>
      <c r="M265" t="s">
        <v>16</v>
      </c>
      <c r="N265" t="s">
        <v>446</v>
      </c>
    </row>
    <row r="266" spans="1:14" x14ac:dyDescent="0.35">
      <c r="A266">
        <v>70133</v>
      </c>
      <c r="B266" s="3">
        <v>39527</v>
      </c>
      <c r="C266" t="s">
        <v>471</v>
      </c>
      <c r="D266">
        <v>2008</v>
      </c>
      <c r="E266" s="14">
        <v>39508</v>
      </c>
      <c r="F266" t="s">
        <v>261</v>
      </c>
      <c r="G266" t="s">
        <v>772</v>
      </c>
      <c r="H266" t="s">
        <v>297</v>
      </c>
      <c r="I266">
        <v>92820</v>
      </c>
      <c r="J266">
        <v>124000</v>
      </c>
      <c r="K266">
        <v>0.74854838700000004</v>
      </c>
      <c r="L266">
        <v>1.3359189829778064</v>
      </c>
      <c r="M266" t="s">
        <v>16</v>
      </c>
      <c r="N266" t="s">
        <v>446</v>
      </c>
    </row>
    <row r="267" spans="1:14" x14ac:dyDescent="0.35">
      <c r="A267">
        <v>200174</v>
      </c>
      <c r="B267" s="3">
        <v>44155</v>
      </c>
      <c r="C267" t="s">
        <v>475</v>
      </c>
      <c r="D267">
        <v>2020</v>
      </c>
      <c r="E267" s="14">
        <v>44136</v>
      </c>
      <c r="F267" t="s">
        <v>139</v>
      </c>
      <c r="G267" t="s">
        <v>763</v>
      </c>
      <c r="H267" t="s">
        <v>251</v>
      </c>
      <c r="I267">
        <v>58020</v>
      </c>
      <c r="J267">
        <v>122500</v>
      </c>
      <c r="K267">
        <v>0.47360000000000002</v>
      </c>
      <c r="L267">
        <v>2.1113409169251982</v>
      </c>
      <c r="M267" t="s">
        <v>13</v>
      </c>
      <c r="N267" t="s">
        <v>445</v>
      </c>
    </row>
    <row r="268" spans="1:14" x14ac:dyDescent="0.35">
      <c r="A268">
        <v>160065</v>
      </c>
      <c r="B268" s="3">
        <v>42709</v>
      </c>
      <c r="C268" t="s">
        <v>450</v>
      </c>
      <c r="D268">
        <v>2016</v>
      </c>
      <c r="E268" s="14">
        <v>42705</v>
      </c>
      <c r="F268" t="s">
        <v>200</v>
      </c>
      <c r="G268" t="s">
        <v>754</v>
      </c>
      <c r="H268" t="s">
        <v>387</v>
      </c>
      <c r="I268">
        <v>89950</v>
      </c>
      <c r="J268">
        <v>122500</v>
      </c>
      <c r="K268">
        <v>0.73428571399999998</v>
      </c>
      <c r="L268">
        <v>1.3618677042801557</v>
      </c>
      <c r="M268" t="s">
        <v>16</v>
      </c>
      <c r="N268" t="s">
        <v>446</v>
      </c>
    </row>
    <row r="269" spans="1:14" x14ac:dyDescent="0.35">
      <c r="A269">
        <v>201592</v>
      </c>
      <c r="B269" s="3">
        <v>44328</v>
      </c>
      <c r="C269" t="s">
        <v>456</v>
      </c>
      <c r="D269">
        <v>2021</v>
      </c>
      <c r="E269" s="14">
        <v>44317</v>
      </c>
      <c r="F269" t="s">
        <v>264</v>
      </c>
      <c r="G269" t="s">
        <v>759</v>
      </c>
      <c r="H269" t="s">
        <v>265</v>
      </c>
      <c r="I269">
        <v>73860</v>
      </c>
      <c r="J269">
        <v>122000</v>
      </c>
      <c r="K269">
        <v>0.60540000000000005</v>
      </c>
      <c r="L269">
        <v>1.6517736257784998</v>
      </c>
      <c r="M269" t="s">
        <v>13</v>
      </c>
      <c r="N269" t="s">
        <v>446</v>
      </c>
    </row>
    <row r="270" spans="1:14" x14ac:dyDescent="0.35">
      <c r="A270">
        <v>100226</v>
      </c>
      <c r="B270" s="3">
        <v>40599</v>
      </c>
      <c r="C270" t="s">
        <v>460</v>
      </c>
      <c r="D270">
        <v>2011</v>
      </c>
      <c r="E270" s="14">
        <v>40575</v>
      </c>
      <c r="F270" t="s">
        <v>32</v>
      </c>
      <c r="G270" t="s">
        <v>766</v>
      </c>
      <c r="H270" t="s">
        <v>340</v>
      </c>
      <c r="I270">
        <v>93450</v>
      </c>
      <c r="J270">
        <v>120000</v>
      </c>
      <c r="K270">
        <v>0.77875000000000005</v>
      </c>
      <c r="L270">
        <v>1.2841091492776886</v>
      </c>
      <c r="M270" t="s">
        <v>16</v>
      </c>
      <c r="N270" t="s">
        <v>446</v>
      </c>
    </row>
    <row r="271" spans="1:14" x14ac:dyDescent="0.35">
      <c r="A271">
        <v>100254</v>
      </c>
      <c r="B271" s="3">
        <v>40731</v>
      </c>
      <c r="C271" t="s">
        <v>458</v>
      </c>
      <c r="D271">
        <v>2011</v>
      </c>
      <c r="E271" s="14">
        <v>40725</v>
      </c>
      <c r="F271" t="s">
        <v>68</v>
      </c>
      <c r="G271" t="s">
        <v>769</v>
      </c>
      <c r="H271" t="s">
        <v>312</v>
      </c>
      <c r="I271">
        <v>91000</v>
      </c>
      <c r="J271">
        <v>115000</v>
      </c>
      <c r="K271">
        <v>0.79130434800000005</v>
      </c>
      <c r="L271">
        <v>1.2637362637362637</v>
      </c>
      <c r="M271" t="s">
        <v>16</v>
      </c>
      <c r="N271" t="s">
        <v>446</v>
      </c>
    </row>
    <row r="272" spans="1:14" x14ac:dyDescent="0.35">
      <c r="A272">
        <v>90010</v>
      </c>
      <c r="B272" s="3">
        <v>40105</v>
      </c>
      <c r="C272" t="s">
        <v>469</v>
      </c>
      <c r="D272">
        <v>2009</v>
      </c>
      <c r="E272" s="14">
        <v>40087</v>
      </c>
      <c r="F272" t="s">
        <v>193</v>
      </c>
      <c r="G272" t="s">
        <v>764</v>
      </c>
      <c r="H272" t="s">
        <v>317</v>
      </c>
      <c r="I272">
        <v>94260</v>
      </c>
      <c r="J272">
        <v>115000</v>
      </c>
      <c r="K272">
        <v>0.81965217400000001</v>
      </c>
      <c r="L272">
        <v>1.22002970507108</v>
      </c>
      <c r="M272" t="s">
        <v>16</v>
      </c>
      <c r="N272" t="s">
        <v>446</v>
      </c>
    </row>
    <row r="273" spans="1:14" x14ac:dyDescent="0.35">
      <c r="A273">
        <v>800234</v>
      </c>
      <c r="B273" s="3">
        <v>39967</v>
      </c>
      <c r="C273" t="s">
        <v>454</v>
      </c>
      <c r="D273">
        <v>2009</v>
      </c>
      <c r="E273" s="14">
        <v>39965</v>
      </c>
      <c r="F273" t="s">
        <v>68</v>
      </c>
      <c r="G273" t="s">
        <v>769</v>
      </c>
      <c r="H273" t="s">
        <v>304</v>
      </c>
      <c r="I273">
        <v>82250</v>
      </c>
      <c r="J273">
        <v>112500</v>
      </c>
      <c r="K273">
        <v>0.73111111100000004</v>
      </c>
      <c r="L273">
        <v>1.3677811550151975</v>
      </c>
      <c r="M273" t="s">
        <v>16</v>
      </c>
      <c r="N273" t="s">
        <v>446</v>
      </c>
    </row>
    <row r="274" spans="1:14" x14ac:dyDescent="0.35">
      <c r="A274">
        <v>160444</v>
      </c>
      <c r="B274" s="3">
        <v>42926</v>
      </c>
      <c r="C274" t="s">
        <v>458</v>
      </c>
      <c r="D274">
        <v>2017</v>
      </c>
      <c r="E274" s="14">
        <v>42917</v>
      </c>
      <c r="F274" t="s">
        <v>216</v>
      </c>
      <c r="G274" t="s">
        <v>762</v>
      </c>
      <c r="H274" t="s">
        <v>386</v>
      </c>
      <c r="I274">
        <v>58510</v>
      </c>
      <c r="J274">
        <v>110000</v>
      </c>
      <c r="K274">
        <v>0.53190909099999995</v>
      </c>
      <c r="L274">
        <v>1.8800205093146471</v>
      </c>
      <c r="M274" t="s">
        <v>16</v>
      </c>
      <c r="N274" t="s">
        <v>446</v>
      </c>
    </row>
    <row r="275" spans="1:14" x14ac:dyDescent="0.35">
      <c r="A275">
        <v>180650</v>
      </c>
      <c r="B275" s="3">
        <v>43489</v>
      </c>
      <c r="C275" t="s">
        <v>464</v>
      </c>
      <c r="D275">
        <v>2019</v>
      </c>
      <c r="E275" s="14">
        <v>43466</v>
      </c>
      <c r="F275" t="s">
        <v>282</v>
      </c>
      <c r="G275" t="s">
        <v>766</v>
      </c>
      <c r="H275" t="s">
        <v>408</v>
      </c>
      <c r="I275">
        <v>64720</v>
      </c>
      <c r="J275">
        <v>108000</v>
      </c>
      <c r="K275">
        <v>0.59919999999999995</v>
      </c>
      <c r="L275">
        <v>1.6687268232385661</v>
      </c>
      <c r="M275" t="s">
        <v>16</v>
      </c>
      <c r="N275" t="s">
        <v>446</v>
      </c>
    </row>
    <row r="276" spans="1:14" x14ac:dyDescent="0.35">
      <c r="A276">
        <v>908206</v>
      </c>
      <c r="B276" s="3">
        <v>40431</v>
      </c>
      <c r="C276" t="s">
        <v>473</v>
      </c>
      <c r="D276">
        <v>2010</v>
      </c>
      <c r="E276" s="14">
        <v>40422</v>
      </c>
      <c r="F276" t="s">
        <v>174</v>
      </c>
      <c r="G276" t="s">
        <v>759</v>
      </c>
      <c r="H276" t="s">
        <v>350</v>
      </c>
      <c r="I276">
        <v>69020</v>
      </c>
      <c r="J276">
        <v>107500</v>
      </c>
      <c r="K276">
        <v>0.64204651199999996</v>
      </c>
      <c r="L276">
        <v>1.5575195595479572</v>
      </c>
      <c r="M276" t="s">
        <v>16</v>
      </c>
      <c r="N276" t="s">
        <v>446</v>
      </c>
    </row>
    <row r="277" spans="1:14" x14ac:dyDescent="0.35">
      <c r="A277">
        <v>171321</v>
      </c>
      <c r="B277" s="3">
        <v>43234</v>
      </c>
      <c r="C277" t="s">
        <v>456</v>
      </c>
      <c r="D277">
        <v>2018</v>
      </c>
      <c r="E277" s="14">
        <v>43221</v>
      </c>
      <c r="F277" t="s">
        <v>282</v>
      </c>
      <c r="G277" t="s">
        <v>766</v>
      </c>
      <c r="H277" t="s">
        <v>385</v>
      </c>
      <c r="I277">
        <v>59750</v>
      </c>
      <c r="J277">
        <v>107000</v>
      </c>
      <c r="K277">
        <v>0.55840000000000001</v>
      </c>
      <c r="L277">
        <v>1.7907949790794979</v>
      </c>
      <c r="M277" t="s">
        <v>16</v>
      </c>
      <c r="N277" t="s">
        <v>446</v>
      </c>
    </row>
    <row r="278" spans="1:14" x14ac:dyDescent="0.35">
      <c r="A278">
        <v>200953</v>
      </c>
      <c r="B278" s="3">
        <v>44344</v>
      </c>
      <c r="C278" t="s">
        <v>456</v>
      </c>
      <c r="D278">
        <v>2021</v>
      </c>
      <c r="E278" s="14">
        <v>44317</v>
      </c>
      <c r="F278" t="s">
        <v>159</v>
      </c>
      <c r="G278" t="s">
        <v>757</v>
      </c>
      <c r="H278" t="s">
        <v>161</v>
      </c>
      <c r="I278">
        <v>64470</v>
      </c>
      <c r="J278">
        <v>105000</v>
      </c>
      <c r="K278">
        <v>0.61399999999999999</v>
      </c>
      <c r="L278">
        <v>1.6286644951140066</v>
      </c>
      <c r="M278" t="s">
        <v>13</v>
      </c>
      <c r="N278" t="s">
        <v>446</v>
      </c>
    </row>
    <row r="279" spans="1:14" x14ac:dyDescent="0.35">
      <c r="A279">
        <v>200007</v>
      </c>
      <c r="B279" s="3">
        <v>44106</v>
      </c>
      <c r="C279" t="s">
        <v>469</v>
      </c>
      <c r="D279">
        <v>2020</v>
      </c>
      <c r="E279" s="14">
        <v>44105</v>
      </c>
      <c r="F279" t="s">
        <v>219</v>
      </c>
      <c r="G279" t="s">
        <v>762</v>
      </c>
      <c r="H279" t="s">
        <v>220</v>
      </c>
      <c r="I279">
        <v>68300</v>
      </c>
      <c r="J279">
        <v>105000</v>
      </c>
      <c r="K279">
        <v>0.65039999999999998</v>
      </c>
      <c r="L279">
        <v>1.5373352855051245</v>
      </c>
      <c r="M279" t="s">
        <v>13</v>
      </c>
      <c r="N279" t="s">
        <v>446</v>
      </c>
    </row>
    <row r="280" spans="1:14" x14ac:dyDescent="0.35">
      <c r="A280">
        <v>120151</v>
      </c>
      <c r="B280" s="3">
        <v>41530</v>
      </c>
      <c r="C280" t="s">
        <v>473</v>
      </c>
      <c r="D280">
        <v>2013</v>
      </c>
      <c r="E280" s="14">
        <v>41518</v>
      </c>
      <c r="F280" t="s">
        <v>193</v>
      </c>
      <c r="G280" t="s">
        <v>764</v>
      </c>
      <c r="H280" t="s">
        <v>352</v>
      </c>
      <c r="I280">
        <v>76270</v>
      </c>
      <c r="J280">
        <v>105000</v>
      </c>
      <c r="K280">
        <v>0.72638095199999997</v>
      </c>
      <c r="L280">
        <v>1.3766880818146061</v>
      </c>
      <c r="M280" t="s">
        <v>16</v>
      </c>
      <c r="N280" t="s">
        <v>446</v>
      </c>
    </row>
    <row r="281" spans="1:14" x14ac:dyDescent="0.35">
      <c r="A281">
        <v>160052</v>
      </c>
      <c r="B281" s="3">
        <v>42767</v>
      </c>
      <c r="C281" t="s">
        <v>460</v>
      </c>
      <c r="D281">
        <v>2017</v>
      </c>
      <c r="E281" s="14">
        <v>42767</v>
      </c>
      <c r="F281" t="s">
        <v>205</v>
      </c>
      <c r="G281" t="s">
        <v>759</v>
      </c>
      <c r="H281" t="s">
        <v>371</v>
      </c>
      <c r="I281">
        <v>79310</v>
      </c>
      <c r="J281">
        <v>100000</v>
      </c>
      <c r="K281">
        <v>0.79310000000000003</v>
      </c>
      <c r="L281">
        <v>1.2608750472828143</v>
      </c>
      <c r="M281" t="s">
        <v>16</v>
      </c>
      <c r="N281" t="s">
        <v>446</v>
      </c>
    </row>
    <row r="282" spans="1:14" x14ac:dyDescent="0.35">
      <c r="A282">
        <v>160606</v>
      </c>
      <c r="B282" s="3">
        <v>42934</v>
      </c>
      <c r="C282" t="s">
        <v>458</v>
      </c>
      <c r="D282">
        <v>2017</v>
      </c>
      <c r="E282" s="14">
        <v>42917</v>
      </c>
      <c r="F282" t="s">
        <v>280</v>
      </c>
      <c r="G282" t="s">
        <v>762</v>
      </c>
      <c r="H282" t="s">
        <v>388</v>
      </c>
      <c r="I282">
        <v>68800</v>
      </c>
      <c r="J282">
        <v>95000</v>
      </c>
      <c r="K282">
        <v>0.72421052600000002</v>
      </c>
      <c r="L282">
        <v>1.3808139534883721</v>
      </c>
      <c r="M282" t="s">
        <v>16</v>
      </c>
      <c r="N282" t="s">
        <v>446</v>
      </c>
    </row>
    <row r="283" spans="1:14" x14ac:dyDescent="0.35">
      <c r="A283">
        <v>201212</v>
      </c>
      <c r="B283" s="3">
        <v>44431</v>
      </c>
      <c r="C283" t="s">
        <v>462</v>
      </c>
      <c r="D283">
        <v>2021</v>
      </c>
      <c r="E283" s="14">
        <v>44409</v>
      </c>
      <c r="F283" t="s">
        <v>32</v>
      </c>
      <c r="G283" t="s">
        <v>766</v>
      </c>
      <c r="H283" t="s">
        <v>36</v>
      </c>
      <c r="I283">
        <v>88060</v>
      </c>
      <c r="J283">
        <v>91000</v>
      </c>
      <c r="K283">
        <v>0.96760000000000002</v>
      </c>
      <c r="L283">
        <v>1.0333863275039745</v>
      </c>
      <c r="M283" t="s">
        <v>13</v>
      </c>
      <c r="N283" t="s">
        <v>446</v>
      </c>
    </row>
    <row r="284" spans="1:14" x14ac:dyDescent="0.35">
      <c r="A284">
        <v>2020065</v>
      </c>
      <c r="B284" s="3">
        <v>44185</v>
      </c>
      <c r="C284" t="s">
        <v>450</v>
      </c>
      <c r="D284">
        <v>2020</v>
      </c>
      <c r="E284" s="14">
        <v>44166</v>
      </c>
      <c r="F284" t="s">
        <v>138</v>
      </c>
      <c r="G284" t="s">
        <v>763</v>
      </c>
      <c r="H284" t="s">
        <v>248</v>
      </c>
      <c r="I284">
        <v>55200</v>
      </c>
      <c r="J284">
        <v>90000</v>
      </c>
      <c r="K284">
        <v>0.61329999999999996</v>
      </c>
      <c r="L284">
        <v>1.6304347826086956</v>
      </c>
      <c r="M284" t="s">
        <v>13</v>
      </c>
      <c r="N284" t="s">
        <v>446</v>
      </c>
    </row>
    <row r="285" spans="1:14" x14ac:dyDescent="0.35">
      <c r="A285">
        <v>200377</v>
      </c>
      <c r="B285" s="3">
        <v>44424</v>
      </c>
      <c r="C285" t="s">
        <v>462</v>
      </c>
      <c r="D285">
        <v>2021</v>
      </c>
      <c r="E285" s="14">
        <v>44409</v>
      </c>
      <c r="F285" t="s">
        <v>189</v>
      </c>
      <c r="G285" t="s">
        <v>764</v>
      </c>
      <c r="H285" t="s">
        <v>190</v>
      </c>
      <c r="I285">
        <v>41090</v>
      </c>
      <c r="J285">
        <v>89900</v>
      </c>
      <c r="K285">
        <v>0.45700000000000002</v>
      </c>
      <c r="L285">
        <v>2.1878802628376732</v>
      </c>
      <c r="M285" t="s">
        <v>13</v>
      </c>
      <c r="N285" t="s">
        <v>445</v>
      </c>
    </row>
    <row r="286" spans="1:14" x14ac:dyDescent="0.35">
      <c r="A286">
        <v>2020256</v>
      </c>
      <c r="B286" s="3">
        <v>44370</v>
      </c>
      <c r="C286" t="s">
        <v>454</v>
      </c>
      <c r="D286">
        <v>2021</v>
      </c>
      <c r="E286" s="14">
        <v>44348</v>
      </c>
      <c r="F286" t="s">
        <v>138</v>
      </c>
      <c r="G286" t="s">
        <v>763</v>
      </c>
      <c r="H286" t="s">
        <v>247</v>
      </c>
      <c r="I286">
        <v>55200</v>
      </c>
      <c r="J286">
        <v>89900</v>
      </c>
      <c r="K286">
        <v>0.61401557299999998</v>
      </c>
      <c r="L286">
        <v>1.6286231884057971</v>
      </c>
      <c r="M286" t="s">
        <v>13</v>
      </c>
      <c r="N286" t="s">
        <v>446</v>
      </c>
    </row>
    <row r="287" spans="1:14" x14ac:dyDescent="0.35">
      <c r="A287">
        <v>90706</v>
      </c>
      <c r="B287" s="3">
        <v>40360</v>
      </c>
      <c r="C287" t="s">
        <v>458</v>
      </c>
      <c r="D287">
        <v>2010</v>
      </c>
      <c r="E287" s="14">
        <v>40360</v>
      </c>
      <c r="F287" t="s">
        <v>192</v>
      </c>
      <c r="G287" t="s">
        <v>759</v>
      </c>
      <c r="H287" t="s">
        <v>345</v>
      </c>
      <c r="I287">
        <v>76500</v>
      </c>
      <c r="J287">
        <v>86000</v>
      </c>
      <c r="K287">
        <v>0.88953488400000003</v>
      </c>
      <c r="L287">
        <v>1.1241830065359477</v>
      </c>
      <c r="M287" t="s">
        <v>16</v>
      </c>
      <c r="N287" t="s">
        <v>446</v>
      </c>
    </row>
    <row r="288" spans="1:14" x14ac:dyDescent="0.35">
      <c r="A288">
        <v>160697</v>
      </c>
      <c r="B288" s="3">
        <v>42782</v>
      </c>
      <c r="C288" t="s">
        <v>460</v>
      </c>
      <c r="D288">
        <v>2017</v>
      </c>
      <c r="E288" s="14">
        <v>42767</v>
      </c>
      <c r="F288" t="s">
        <v>181</v>
      </c>
      <c r="G288" t="s">
        <v>762</v>
      </c>
      <c r="H288" t="s">
        <v>366</v>
      </c>
      <c r="I288">
        <v>47960</v>
      </c>
      <c r="J288">
        <v>85000</v>
      </c>
      <c r="K288">
        <v>0.56423529400000005</v>
      </c>
      <c r="L288">
        <v>1.7723102585487907</v>
      </c>
      <c r="M288" t="s">
        <v>16</v>
      </c>
      <c r="N288" t="s">
        <v>446</v>
      </c>
    </row>
    <row r="289" spans="1:14" x14ac:dyDescent="0.35">
      <c r="A289">
        <v>160400</v>
      </c>
      <c r="B289" s="3">
        <v>42907</v>
      </c>
      <c r="C289" t="s">
        <v>454</v>
      </c>
      <c r="D289">
        <v>2017</v>
      </c>
      <c r="E289" s="14">
        <v>42887</v>
      </c>
      <c r="F289" t="s">
        <v>216</v>
      </c>
      <c r="G289" t="s">
        <v>762</v>
      </c>
      <c r="H289" t="s">
        <v>364</v>
      </c>
      <c r="I289">
        <v>57720</v>
      </c>
      <c r="J289">
        <v>85000</v>
      </c>
      <c r="K289">
        <v>0.67905882399999995</v>
      </c>
      <c r="L289">
        <v>1.4726264726264726</v>
      </c>
      <c r="M289" t="s">
        <v>16</v>
      </c>
      <c r="N289" t="s">
        <v>446</v>
      </c>
    </row>
    <row r="290" spans="1:14" x14ac:dyDescent="0.35">
      <c r="A290">
        <v>200821</v>
      </c>
      <c r="B290" s="3">
        <v>44343</v>
      </c>
      <c r="C290" t="s">
        <v>456</v>
      </c>
      <c r="D290">
        <v>2021</v>
      </c>
      <c r="E290" s="14">
        <v>44317</v>
      </c>
      <c r="F290" t="s">
        <v>125</v>
      </c>
      <c r="G290" t="s">
        <v>765</v>
      </c>
      <c r="H290" t="s">
        <v>127</v>
      </c>
      <c r="I290">
        <v>67270</v>
      </c>
      <c r="J290">
        <v>82000</v>
      </c>
      <c r="K290">
        <v>0.82030000000000003</v>
      </c>
      <c r="L290">
        <v>1.2189683365541846</v>
      </c>
      <c r="M290" t="s">
        <v>13</v>
      </c>
      <c r="N290" t="s">
        <v>446</v>
      </c>
    </row>
    <row r="291" spans="1:14" x14ac:dyDescent="0.35">
      <c r="A291">
        <v>90111</v>
      </c>
      <c r="B291" s="3">
        <v>40149</v>
      </c>
      <c r="C291" t="s">
        <v>450</v>
      </c>
      <c r="D291">
        <v>2009</v>
      </c>
      <c r="E291" s="14">
        <v>40148</v>
      </c>
      <c r="F291" t="s">
        <v>187</v>
      </c>
      <c r="G291" t="s">
        <v>771</v>
      </c>
      <c r="H291" t="s">
        <v>346</v>
      </c>
      <c r="I291">
        <v>62630</v>
      </c>
      <c r="J291">
        <v>74000</v>
      </c>
      <c r="K291">
        <v>0.84635135100000003</v>
      </c>
      <c r="L291">
        <v>1.1815423918250041</v>
      </c>
      <c r="M291" t="s">
        <v>16</v>
      </c>
      <c r="N291" t="s">
        <v>446</v>
      </c>
    </row>
    <row r="292" spans="1:14" x14ac:dyDescent="0.35">
      <c r="A292">
        <v>200242</v>
      </c>
      <c r="B292" s="3">
        <v>44223</v>
      </c>
      <c r="C292" t="s">
        <v>464</v>
      </c>
      <c r="D292">
        <v>2021</v>
      </c>
      <c r="E292" s="14">
        <v>44197</v>
      </c>
      <c r="F292" t="s">
        <v>66</v>
      </c>
      <c r="G292" t="s">
        <v>760</v>
      </c>
      <c r="H292" t="s">
        <v>67</v>
      </c>
      <c r="I292">
        <v>28240</v>
      </c>
      <c r="J292">
        <v>73000</v>
      </c>
      <c r="K292">
        <v>0.38684931500000003</v>
      </c>
      <c r="L292">
        <v>2.5849858356940509</v>
      </c>
      <c r="M292" t="s">
        <v>13</v>
      </c>
      <c r="N292" t="s">
        <v>445</v>
      </c>
    </row>
    <row r="293" spans="1:14" x14ac:dyDescent="0.35">
      <c r="A293">
        <v>91123</v>
      </c>
      <c r="B293" s="3">
        <v>40371</v>
      </c>
      <c r="C293" t="s">
        <v>458</v>
      </c>
      <c r="D293">
        <v>2010</v>
      </c>
      <c r="E293" s="14">
        <v>40360</v>
      </c>
      <c r="F293" t="s">
        <v>264</v>
      </c>
      <c r="G293" t="s">
        <v>759</v>
      </c>
      <c r="H293" t="s">
        <v>339</v>
      </c>
      <c r="I293">
        <v>52580</v>
      </c>
      <c r="J293">
        <v>65000</v>
      </c>
      <c r="K293">
        <v>0.80892307699999999</v>
      </c>
      <c r="L293">
        <v>1.2362114872575123</v>
      </c>
      <c r="M293" t="s">
        <v>16</v>
      </c>
      <c r="N293" t="s">
        <v>446</v>
      </c>
    </row>
    <row r="294" spans="1:14" x14ac:dyDescent="0.35">
      <c r="A294">
        <v>190767</v>
      </c>
      <c r="B294" s="3">
        <v>43892</v>
      </c>
      <c r="C294" t="s">
        <v>471</v>
      </c>
      <c r="D294">
        <v>2020</v>
      </c>
      <c r="E294" s="14">
        <v>43891</v>
      </c>
      <c r="F294" t="s">
        <v>264</v>
      </c>
      <c r="G294" t="s">
        <v>759</v>
      </c>
      <c r="H294" t="s">
        <v>402</v>
      </c>
      <c r="I294">
        <v>28490</v>
      </c>
      <c r="J294">
        <v>61000</v>
      </c>
      <c r="K294">
        <v>0.46700000000000003</v>
      </c>
      <c r="L294">
        <v>2.1411021411021411</v>
      </c>
      <c r="M294" t="s">
        <v>16</v>
      </c>
      <c r="N294" t="s">
        <v>445</v>
      </c>
    </row>
    <row r="295" spans="1:14" x14ac:dyDescent="0.35">
      <c r="A295">
        <v>170668</v>
      </c>
      <c r="B295" s="3">
        <v>43131</v>
      </c>
      <c r="C295" t="s">
        <v>464</v>
      </c>
      <c r="D295">
        <v>2018</v>
      </c>
      <c r="E295" s="14">
        <v>43101</v>
      </c>
      <c r="F295" t="s">
        <v>282</v>
      </c>
      <c r="G295" t="s">
        <v>766</v>
      </c>
      <c r="H295" t="s">
        <v>373</v>
      </c>
      <c r="I295">
        <v>27570</v>
      </c>
      <c r="J295">
        <v>59000</v>
      </c>
      <c r="K295">
        <v>0.4672</v>
      </c>
      <c r="L295">
        <v>2.1400072542618789</v>
      </c>
      <c r="M295" t="s">
        <v>16</v>
      </c>
      <c r="N295" t="s">
        <v>445</v>
      </c>
    </row>
    <row r="296" spans="1:14" x14ac:dyDescent="0.35">
      <c r="A296">
        <v>160606</v>
      </c>
      <c r="B296" s="3">
        <v>42957</v>
      </c>
      <c r="C296" t="s">
        <v>462</v>
      </c>
      <c r="D296">
        <v>2017</v>
      </c>
      <c r="E296" s="14">
        <v>42948</v>
      </c>
      <c r="F296" t="s">
        <v>133</v>
      </c>
      <c r="G296" t="s">
        <v>757</v>
      </c>
      <c r="H296" t="s">
        <v>379</v>
      </c>
      <c r="I296">
        <v>41000</v>
      </c>
      <c r="J296">
        <v>55000</v>
      </c>
      <c r="K296">
        <v>0.74545454499999997</v>
      </c>
      <c r="L296">
        <v>1.3414634146341464</v>
      </c>
      <c r="M296" t="s">
        <v>16</v>
      </c>
      <c r="N296" t="s">
        <v>446</v>
      </c>
    </row>
    <row r="297" spans="1:14" x14ac:dyDescent="0.35">
      <c r="A297">
        <v>181369</v>
      </c>
      <c r="B297" s="3">
        <v>43623</v>
      </c>
      <c r="C297" t="s">
        <v>454</v>
      </c>
      <c r="D297">
        <v>2019</v>
      </c>
      <c r="E297" s="14">
        <v>43617</v>
      </c>
      <c r="F297" t="s">
        <v>282</v>
      </c>
      <c r="G297" t="s">
        <v>766</v>
      </c>
      <c r="H297" t="s">
        <v>406</v>
      </c>
      <c r="I297">
        <v>36950</v>
      </c>
      <c r="J297">
        <v>52000</v>
      </c>
      <c r="K297">
        <v>0.71050000000000002</v>
      </c>
      <c r="L297">
        <v>1.4073071718538566</v>
      </c>
      <c r="M297" t="s">
        <v>16</v>
      </c>
      <c r="N297" t="s">
        <v>446</v>
      </c>
    </row>
    <row r="298" spans="1:14" x14ac:dyDescent="0.35">
      <c r="A298">
        <v>100418</v>
      </c>
      <c r="B298" s="3">
        <v>40765</v>
      </c>
      <c r="C298" t="s">
        <v>462</v>
      </c>
      <c r="D298">
        <v>2011</v>
      </c>
      <c r="E298" s="14">
        <v>40756</v>
      </c>
      <c r="F298" t="s">
        <v>249</v>
      </c>
      <c r="G298" t="s">
        <v>760</v>
      </c>
      <c r="H298" t="s">
        <v>334</v>
      </c>
      <c r="I298">
        <v>38500</v>
      </c>
      <c r="J298">
        <v>50000</v>
      </c>
      <c r="K298">
        <v>0.77</v>
      </c>
      <c r="L298">
        <v>1.2987012987012987</v>
      </c>
      <c r="M298" t="s">
        <v>16</v>
      </c>
      <c r="N298" t="s">
        <v>446</v>
      </c>
    </row>
    <row r="299" spans="1:14" x14ac:dyDescent="0.35">
      <c r="A299">
        <v>10470</v>
      </c>
      <c r="B299" s="3">
        <v>40700</v>
      </c>
      <c r="C299" t="s">
        <v>454</v>
      </c>
      <c r="D299">
        <v>2011</v>
      </c>
      <c r="E299" s="14">
        <v>40695</v>
      </c>
      <c r="F299" t="s">
        <v>98</v>
      </c>
      <c r="G299" t="s">
        <v>770</v>
      </c>
      <c r="H299" t="s">
        <v>329</v>
      </c>
      <c r="I299">
        <v>27874</v>
      </c>
      <c r="J299">
        <v>42000</v>
      </c>
      <c r="K299">
        <v>0.66366666699999999</v>
      </c>
      <c r="L299">
        <v>1.5067805123053741</v>
      </c>
      <c r="M299" t="s">
        <v>16</v>
      </c>
      <c r="N299" t="s">
        <v>446</v>
      </c>
    </row>
    <row r="300" spans="1:14" x14ac:dyDescent="0.35">
      <c r="A300">
        <v>17568</v>
      </c>
      <c r="B300" s="3">
        <v>43244</v>
      </c>
      <c r="C300" t="s">
        <v>456</v>
      </c>
      <c r="D300">
        <v>2018</v>
      </c>
      <c r="E300" s="14">
        <v>43221</v>
      </c>
      <c r="F300" t="s">
        <v>98</v>
      </c>
      <c r="G300" t="s">
        <v>770</v>
      </c>
      <c r="H300" t="s">
        <v>380</v>
      </c>
      <c r="I300">
        <v>11620</v>
      </c>
      <c r="J300">
        <v>38500</v>
      </c>
      <c r="K300">
        <v>0.30180000000000001</v>
      </c>
      <c r="L300">
        <v>3.3132530120481927</v>
      </c>
      <c r="M300" t="s">
        <v>16</v>
      </c>
      <c r="N300" t="s">
        <v>445</v>
      </c>
    </row>
    <row r="301" spans="1:14" x14ac:dyDescent="0.35">
      <c r="A301">
        <v>61464</v>
      </c>
      <c r="B301" s="3">
        <v>39227</v>
      </c>
      <c r="C301" t="s">
        <v>456</v>
      </c>
      <c r="D301">
        <v>2007</v>
      </c>
      <c r="E301" s="14">
        <v>39203</v>
      </c>
      <c r="F301" t="s">
        <v>264</v>
      </c>
      <c r="G301" t="s">
        <v>759</v>
      </c>
      <c r="H301" t="s">
        <v>291</v>
      </c>
      <c r="I301">
        <v>14770</v>
      </c>
      <c r="J301">
        <v>33000</v>
      </c>
      <c r="K301">
        <v>0.44757575799999999</v>
      </c>
      <c r="L301">
        <v>2.2342586323628977</v>
      </c>
      <c r="M301" t="s">
        <v>16</v>
      </c>
      <c r="N301" t="s">
        <v>445</v>
      </c>
    </row>
    <row r="302" spans="1:14" x14ac:dyDescent="0.35">
      <c r="A302">
        <v>180558</v>
      </c>
      <c r="B302" s="3">
        <v>43606</v>
      </c>
      <c r="C302" t="s">
        <v>456</v>
      </c>
      <c r="D302">
        <v>2019</v>
      </c>
      <c r="E302" s="14">
        <v>43586</v>
      </c>
      <c r="F302" t="s">
        <v>159</v>
      </c>
      <c r="G302" t="s">
        <v>757</v>
      </c>
      <c r="H302" t="s">
        <v>404</v>
      </c>
      <c r="I302">
        <v>28910</v>
      </c>
      <c r="J302">
        <v>30000</v>
      </c>
      <c r="K302">
        <v>0.96360000000000001</v>
      </c>
      <c r="L302">
        <v>1.0377032168799722</v>
      </c>
      <c r="M302" t="s">
        <v>16</v>
      </c>
      <c r="N302" t="s">
        <v>446</v>
      </c>
    </row>
    <row r="303" spans="1:14" x14ac:dyDescent="0.35">
      <c r="A303">
        <v>2000720</v>
      </c>
      <c r="B303" s="3">
        <v>44201</v>
      </c>
      <c r="C303" t="s">
        <v>464</v>
      </c>
      <c r="D303">
        <v>2021</v>
      </c>
      <c r="E303" s="14">
        <v>44197</v>
      </c>
      <c r="F303" t="s">
        <v>181</v>
      </c>
      <c r="G303" t="s">
        <v>762</v>
      </c>
      <c r="H303" t="s">
        <v>221</v>
      </c>
      <c r="I303">
        <v>19110</v>
      </c>
      <c r="J303">
        <v>27500</v>
      </c>
      <c r="K303">
        <v>0.69489999999999996</v>
      </c>
      <c r="L303">
        <v>1.4390371533228676</v>
      </c>
      <c r="M303" t="s">
        <v>13</v>
      </c>
      <c r="N303" t="s">
        <v>446</v>
      </c>
    </row>
  </sheetData>
  <phoneticPr fontId="4"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DC197-A3EC-4628-965C-5B55A26754CC}">
  <dimension ref="A1:A2"/>
  <sheetViews>
    <sheetView workbookViewId="0">
      <selection activeCell="A3" sqref="A3"/>
    </sheetView>
  </sheetViews>
  <sheetFormatPr defaultRowHeight="14.5" x14ac:dyDescent="0.35"/>
  <cols>
    <col min="1" max="1" width="17.26953125" bestFit="1" customWidth="1"/>
  </cols>
  <sheetData>
    <row r="1" spans="1:1" x14ac:dyDescent="0.35">
      <c r="A1" t="s">
        <v>564</v>
      </c>
    </row>
    <row r="2" spans="1:1" x14ac:dyDescent="0.35">
      <c r="A2">
        <v>1.7091372816951034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8D5EC-9305-4DC2-83EF-8274F7B35832}">
  <dimension ref="A1:O190"/>
  <sheetViews>
    <sheetView topLeftCell="H17" workbookViewId="0">
      <selection activeCell="G4" sqref="G4"/>
    </sheetView>
  </sheetViews>
  <sheetFormatPr defaultRowHeight="14.5" x14ac:dyDescent="0.35"/>
  <cols>
    <col min="1" max="1" width="16.1796875" bestFit="1" customWidth="1"/>
    <col min="2" max="2" width="16.453125" bestFit="1" customWidth="1"/>
    <col min="3" max="3" width="15" bestFit="1" customWidth="1"/>
    <col min="4" max="4" width="7.26953125" bestFit="1" customWidth="1"/>
    <col min="5" max="6" width="14.1796875" bestFit="1" customWidth="1"/>
    <col min="7" max="7" width="14.54296875" bestFit="1" customWidth="1"/>
    <col min="8" max="8" width="31.54296875" bestFit="1" customWidth="1"/>
    <col min="9" max="9" width="17.1796875" bestFit="1" customWidth="1"/>
    <col min="10" max="10" width="14.54296875" bestFit="1" customWidth="1"/>
    <col min="11" max="11" width="12.81640625" bestFit="1" customWidth="1"/>
    <col min="12" max="12" width="14.26953125" bestFit="1" customWidth="1"/>
    <col min="13" max="13" width="15.81640625" bestFit="1" customWidth="1"/>
    <col min="14" max="14" width="14.26953125" customWidth="1"/>
    <col min="15" max="15" width="11.1796875" bestFit="1" customWidth="1"/>
  </cols>
  <sheetData>
    <row r="1" spans="1:15" x14ac:dyDescent="0.35">
      <c r="A1" t="s">
        <v>0</v>
      </c>
      <c r="B1" t="s">
        <v>1</v>
      </c>
      <c r="C1" t="s">
        <v>447</v>
      </c>
      <c r="D1" t="s">
        <v>448</v>
      </c>
      <c r="E1" t="s">
        <v>449</v>
      </c>
      <c r="F1" t="s">
        <v>2</v>
      </c>
      <c r="G1" t="s">
        <v>753</v>
      </c>
      <c r="H1" t="s">
        <v>3</v>
      </c>
      <c r="I1" t="s">
        <v>4</v>
      </c>
      <c r="J1" t="s">
        <v>5</v>
      </c>
      <c r="K1" t="s">
        <v>6</v>
      </c>
      <c r="L1" t="s">
        <v>438</v>
      </c>
      <c r="M1" t="s">
        <v>7</v>
      </c>
      <c r="N1" t="s">
        <v>444</v>
      </c>
      <c r="O1" t="s">
        <v>547</v>
      </c>
    </row>
    <row r="2" spans="1:15" x14ac:dyDescent="0.35">
      <c r="A2">
        <v>200195</v>
      </c>
      <c r="B2" s="3">
        <v>44312</v>
      </c>
      <c r="C2" t="s">
        <v>452</v>
      </c>
      <c r="D2">
        <v>2021</v>
      </c>
      <c r="E2" s="14">
        <v>44287</v>
      </c>
      <c r="F2" t="s">
        <v>54</v>
      </c>
      <c r="G2" t="s">
        <v>755</v>
      </c>
      <c r="H2" t="s">
        <v>415</v>
      </c>
      <c r="I2">
        <v>3360000</v>
      </c>
      <c r="J2">
        <v>5214750</v>
      </c>
      <c r="K2">
        <v>0.64429999999999998</v>
      </c>
      <c r="L2">
        <v>1.5520089285714285</v>
      </c>
      <c r="M2" t="s">
        <v>10</v>
      </c>
      <c r="N2" t="s">
        <v>446</v>
      </c>
    </row>
    <row r="3" spans="1:15" hidden="1" x14ac:dyDescent="0.35">
      <c r="A3">
        <v>201233</v>
      </c>
      <c r="B3" s="3">
        <v>44369</v>
      </c>
      <c r="C3" t="s">
        <v>454</v>
      </c>
      <c r="D3">
        <v>2021</v>
      </c>
      <c r="E3" s="14">
        <v>44348</v>
      </c>
      <c r="F3" t="s">
        <v>85</v>
      </c>
      <c r="G3" t="s">
        <v>756</v>
      </c>
      <c r="H3" t="s">
        <v>86</v>
      </c>
      <c r="I3">
        <v>4259500</v>
      </c>
      <c r="J3">
        <v>4300000</v>
      </c>
      <c r="K3">
        <v>0.99050000000000005</v>
      </c>
      <c r="L3">
        <v>1.0095081582345347</v>
      </c>
      <c r="M3" t="s">
        <v>13</v>
      </c>
      <c r="N3" t="s">
        <v>446</v>
      </c>
    </row>
    <row r="4" spans="1:15" x14ac:dyDescent="0.35">
      <c r="A4">
        <v>201186</v>
      </c>
      <c r="B4" s="3">
        <v>44389</v>
      </c>
      <c r="C4" t="s">
        <v>458</v>
      </c>
      <c r="D4">
        <v>2021</v>
      </c>
      <c r="E4" s="14">
        <v>44378</v>
      </c>
      <c r="F4" t="s">
        <v>56</v>
      </c>
      <c r="G4" t="s">
        <v>758</v>
      </c>
      <c r="H4" t="s">
        <v>60</v>
      </c>
      <c r="I4">
        <v>695500</v>
      </c>
      <c r="J4">
        <v>3200000</v>
      </c>
      <c r="K4">
        <v>0.21734375</v>
      </c>
      <c r="L4">
        <v>4.6010064701653484</v>
      </c>
      <c r="M4" t="s">
        <v>10</v>
      </c>
      <c r="N4" t="s">
        <v>445</v>
      </c>
    </row>
    <row r="5" spans="1:15" hidden="1" x14ac:dyDescent="0.35">
      <c r="A5">
        <v>200645</v>
      </c>
      <c r="B5" s="3">
        <v>44244</v>
      </c>
      <c r="C5" t="s">
        <v>460</v>
      </c>
      <c r="D5">
        <v>2021</v>
      </c>
      <c r="E5" s="14">
        <v>44228</v>
      </c>
      <c r="F5" t="s">
        <v>85</v>
      </c>
      <c r="G5" t="s">
        <v>756</v>
      </c>
      <c r="H5" t="s">
        <v>423</v>
      </c>
      <c r="I5">
        <v>2661200</v>
      </c>
      <c r="J5">
        <v>3000000</v>
      </c>
      <c r="K5">
        <v>0.88700000000000001</v>
      </c>
      <c r="L5">
        <v>1.1273109875244252</v>
      </c>
      <c r="M5" t="s">
        <v>13</v>
      </c>
      <c r="N5" t="s">
        <v>446</v>
      </c>
    </row>
    <row r="6" spans="1:15" hidden="1" x14ac:dyDescent="0.35">
      <c r="A6">
        <v>200661</v>
      </c>
      <c r="B6" s="3">
        <v>44438</v>
      </c>
      <c r="C6" t="s">
        <v>462</v>
      </c>
      <c r="D6">
        <v>2021</v>
      </c>
      <c r="E6" s="14">
        <v>44409</v>
      </c>
      <c r="F6" t="s">
        <v>152</v>
      </c>
      <c r="G6" t="s">
        <v>757</v>
      </c>
      <c r="H6" t="s">
        <v>154</v>
      </c>
      <c r="I6">
        <v>1279460</v>
      </c>
      <c r="J6">
        <v>2400000</v>
      </c>
      <c r="K6">
        <v>0.53310000000000002</v>
      </c>
      <c r="L6">
        <v>1.87579134947556</v>
      </c>
      <c r="M6" t="s">
        <v>13</v>
      </c>
      <c r="N6" t="s">
        <v>446</v>
      </c>
    </row>
    <row r="7" spans="1:15" hidden="1" x14ac:dyDescent="0.35">
      <c r="A7">
        <v>201437</v>
      </c>
      <c r="B7" s="3">
        <v>44397</v>
      </c>
      <c r="C7" t="s">
        <v>458</v>
      </c>
      <c r="D7">
        <v>2021</v>
      </c>
      <c r="E7" s="14">
        <v>44378</v>
      </c>
      <c r="F7" t="s">
        <v>85</v>
      </c>
      <c r="G7" t="s">
        <v>756</v>
      </c>
      <c r="H7" t="s">
        <v>87</v>
      </c>
      <c r="I7">
        <v>1337630</v>
      </c>
      <c r="J7">
        <v>2300000</v>
      </c>
      <c r="K7">
        <v>0.58150000000000002</v>
      </c>
      <c r="L7">
        <v>1.7194590432331811</v>
      </c>
      <c r="M7" t="s">
        <v>13</v>
      </c>
      <c r="N7" t="s">
        <v>446</v>
      </c>
    </row>
    <row r="8" spans="1:15" hidden="1" x14ac:dyDescent="0.35">
      <c r="A8">
        <v>200055</v>
      </c>
      <c r="B8" s="3">
        <v>44221</v>
      </c>
      <c r="C8" t="s">
        <v>464</v>
      </c>
      <c r="D8">
        <v>2021</v>
      </c>
      <c r="E8" s="14">
        <v>44197</v>
      </c>
      <c r="F8" t="s">
        <v>262</v>
      </c>
      <c r="G8" t="s">
        <v>759</v>
      </c>
      <c r="H8" t="s">
        <v>263</v>
      </c>
      <c r="I8">
        <v>1030330</v>
      </c>
      <c r="J8">
        <v>2285000</v>
      </c>
      <c r="K8">
        <v>0.45090000000000002</v>
      </c>
      <c r="L8">
        <v>2.2177360651441771</v>
      </c>
      <c r="M8" t="s">
        <v>13</v>
      </c>
      <c r="N8" t="s">
        <v>445</v>
      </c>
    </row>
    <row r="9" spans="1:15" x14ac:dyDescent="0.35">
      <c r="A9">
        <v>2016743</v>
      </c>
      <c r="B9" s="3">
        <v>44396</v>
      </c>
      <c r="C9" t="s">
        <v>458</v>
      </c>
      <c r="D9">
        <v>2021</v>
      </c>
      <c r="E9" s="14">
        <v>44378</v>
      </c>
      <c r="F9" t="s">
        <v>197</v>
      </c>
      <c r="G9" t="s">
        <v>754</v>
      </c>
      <c r="H9" t="s">
        <v>198</v>
      </c>
      <c r="I9">
        <v>1769800</v>
      </c>
      <c r="J9">
        <v>1800000</v>
      </c>
      <c r="K9">
        <v>0.98319999999999996</v>
      </c>
      <c r="L9">
        <v>1.0170640750367272</v>
      </c>
      <c r="M9" t="s">
        <v>10</v>
      </c>
      <c r="N9" t="s">
        <v>446</v>
      </c>
    </row>
    <row r="10" spans="1:15" x14ac:dyDescent="0.35">
      <c r="A10">
        <v>200320</v>
      </c>
      <c r="B10" s="3">
        <v>44326</v>
      </c>
      <c r="C10" t="s">
        <v>456</v>
      </c>
      <c r="D10">
        <v>2021</v>
      </c>
      <c r="E10" s="14">
        <v>44317</v>
      </c>
      <c r="F10" t="s">
        <v>69</v>
      </c>
      <c r="G10" t="s">
        <v>760</v>
      </c>
      <c r="H10" t="s">
        <v>71</v>
      </c>
      <c r="I10">
        <v>776230</v>
      </c>
      <c r="J10">
        <v>1525000</v>
      </c>
      <c r="K10">
        <v>0.50900000000000001</v>
      </c>
      <c r="L10">
        <v>1.9646238872499131</v>
      </c>
      <c r="M10" t="s">
        <v>10</v>
      </c>
      <c r="N10" t="s">
        <v>446</v>
      </c>
    </row>
    <row r="11" spans="1:15" hidden="1" x14ac:dyDescent="0.35">
      <c r="A11">
        <v>200377</v>
      </c>
      <c r="B11" s="3">
        <v>44379</v>
      </c>
      <c r="C11" t="s">
        <v>458</v>
      </c>
      <c r="D11">
        <v>2021</v>
      </c>
      <c r="E11" s="14">
        <v>44378</v>
      </c>
      <c r="F11" t="s">
        <v>14</v>
      </c>
      <c r="G11" t="s">
        <v>761</v>
      </c>
      <c r="H11" t="s">
        <v>17</v>
      </c>
      <c r="I11">
        <v>862330</v>
      </c>
      <c r="J11">
        <v>1447500</v>
      </c>
      <c r="K11">
        <v>0.59570000000000001</v>
      </c>
      <c r="L11">
        <v>1.6785917224264493</v>
      </c>
      <c r="M11" t="s">
        <v>13</v>
      </c>
      <c r="N11" t="s">
        <v>446</v>
      </c>
    </row>
    <row r="12" spans="1:15" hidden="1" x14ac:dyDescent="0.35">
      <c r="A12">
        <v>201494</v>
      </c>
      <c r="B12" s="3">
        <v>44405</v>
      </c>
      <c r="C12" t="s">
        <v>458</v>
      </c>
      <c r="D12">
        <v>2021</v>
      </c>
      <c r="E12" s="14">
        <v>44378</v>
      </c>
      <c r="F12" t="s">
        <v>85</v>
      </c>
      <c r="G12" t="s">
        <v>756</v>
      </c>
      <c r="H12" t="s">
        <v>88</v>
      </c>
      <c r="I12">
        <v>632170</v>
      </c>
      <c r="J12">
        <v>1250000</v>
      </c>
      <c r="K12">
        <v>0.50570000000000004</v>
      </c>
      <c r="L12">
        <v>1.9773162282297483</v>
      </c>
      <c r="M12" t="s">
        <v>13</v>
      </c>
      <c r="N12" t="s">
        <v>446</v>
      </c>
    </row>
    <row r="13" spans="1:15" hidden="1" x14ac:dyDescent="0.35">
      <c r="A13">
        <v>200109</v>
      </c>
      <c r="B13" s="3">
        <v>44174</v>
      </c>
      <c r="C13" t="s">
        <v>450</v>
      </c>
      <c r="D13">
        <v>2020</v>
      </c>
      <c r="E13" s="14">
        <v>44166</v>
      </c>
      <c r="F13" t="s">
        <v>14</v>
      </c>
      <c r="G13" t="s">
        <v>761</v>
      </c>
      <c r="H13" t="s">
        <v>18</v>
      </c>
      <c r="I13">
        <v>847520</v>
      </c>
      <c r="J13">
        <v>1250000</v>
      </c>
      <c r="K13">
        <v>0.67800000000000005</v>
      </c>
      <c r="L13">
        <v>1.474891447989428</v>
      </c>
      <c r="M13" t="s">
        <v>13</v>
      </c>
      <c r="N13" t="s">
        <v>446</v>
      </c>
    </row>
    <row r="14" spans="1:15" hidden="1" x14ac:dyDescent="0.35">
      <c r="A14">
        <v>200020</v>
      </c>
      <c r="B14" s="3">
        <v>44110</v>
      </c>
      <c r="C14" t="s">
        <v>469</v>
      </c>
      <c r="D14">
        <v>2020</v>
      </c>
      <c r="E14" s="14">
        <v>44105</v>
      </c>
      <c r="F14" t="s">
        <v>92</v>
      </c>
      <c r="G14" t="s">
        <v>756</v>
      </c>
      <c r="H14" t="s">
        <v>95</v>
      </c>
      <c r="I14">
        <v>654570</v>
      </c>
      <c r="J14">
        <v>990000</v>
      </c>
      <c r="K14">
        <v>0.66118181799999998</v>
      </c>
      <c r="L14">
        <v>1.5124432833768733</v>
      </c>
      <c r="M14" t="s">
        <v>13</v>
      </c>
      <c r="N14" t="s">
        <v>446</v>
      </c>
    </row>
    <row r="15" spans="1:15" hidden="1" x14ac:dyDescent="0.35">
      <c r="A15">
        <v>2001101</v>
      </c>
      <c r="B15" s="3">
        <v>44259</v>
      </c>
      <c r="C15" t="s">
        <v>471</v>
      </c>
      <c r="D15">
        <v>2021</v>
      </c>
      <c r="E15" s="14">
        <v>44256</v>
      </c>
      <c r="F15" t="s">
        <v>181</v>
      </c>
      <c r="G15" t="s">
        <v>762</v>
      </c>
      <c r="H15" t="s">
        <v>223</v>
      </c>
      <c r="I15">
        <v>599810</v>
      </c>
      <c r="J15">
        <v>950000</v>
      </c>
      <c r="K15">
        <v>0.63129999999999997</v>
      </c>
      <c r="L15">
        <v>1.5838348810456644</v>
      </c>
      <c r="M15" t="s">
        <v>13</v>
      </c>
      <c r="N15" t="s">
        <v>446</v>
      </c>
    </row>
    <row r="16" spans="1:15" x14ac:dyDescent="0.35">
      <c r="A16">
        <v>200427</v>
      </c>
      <c r="B16" s="3">
        <v>44232</v>
      </c>
      <c r="C16" t="s">
        <v>460</v>
      </c>
      <c r="D16">
        <v>2021</v>
      </c>
      <c r="E16" s="14">
        <v>44228</v>
      </c>
      <c r="F16" t="s">
        <v>133</v>
      </c>
      <c r="G16" t="s">
        <v>757</v>
      </c>
      <c r="H16" t="s">
        <v>177</v>
      </c>
      <c r="I16">
        <v>587600</v>
      </c>
      <c r="J16">
        <v>939000</v>
      </c>
      <c r="K16">
        <v>0.62570000000000003</v>
      </c>
      <c r="L16">
        <v>1.5980258679373724</v>
      </c>
      <c r="M16" t="s">
        <v>10</v>
      </c>
      <c r="N16" t="s">
        <v>446</v>
      </c>
    </row>
    <row r="17" spans="1:14" x14ac:dyDescent="0.35">
      <c r="A17">
        <v>2001570</v>
      </c>
      <c r="B17" s="3">
        <v>44330</v>
      </c>
      <c r="C17" t="s">
        <v>456</v>
      </c>
      <c r="D17">
        <v>2021</v>
      </c>
      <c r="E17" s="14">
        <v>44317</v>
      </c>
      <c r="F17" t="s">
        <v>181</v>
      </c>
      <c r="G17" t="s">
        <v>762</v>
      </c>
      <c r="H17" t="s">
        <v>227</v>
      </c>
      <c r="I17">
        <v>486230</v>
      </c>
      <c r="J17">
        <v>930000</v>
      </c>
      <c r="K17">
        <v>0.52280000000000004</v>
      </c>
      <c r="L17">
        <v>1.9126750714682352</v>
      </c>
      <c r="M17" t="s">
        <v>10</v>
      </c>
      <c r="N17" t="s">
        <v>446</v>
      </c>
    </row>
    <row r="18" spans="1:14" hidden="1" x14ac:dyDescent="0.35">
      <c r="A18">
        <v>20771</v>
      </c>
      <c r="B18" s="3">
        <v>44455</v>
      </c>
      <c r="C18" t="s">
        <v>473</v>
      </c>
      <c r="D18">
        <v>2021</v>
      </c>
      <c r="E18" s="14">
        <v>44440</v>
      </c>
      <c r="F18" t="s">
        <v>166</v>
      </c>
      <c r="G18" t="s">
        <v>757</v>
      </c>
      <c r="H18" t="s">
        <v>169</v>
      </c>
      <c r="I18">
        <v>451770</v>
      </c>
      <c r="J18">
        <v>910000</v>
      </c>
      <c r="K18">
        <v>0.49645054900000002</v>
      </c>
      <c r="L18">
        <v>2.0142993115966088</v>
      </c>
      <c r="M18" t="s">
        <v>13</v>
      </c>
      <c r="N18" t="s">
        <v>445</v>
      </c>
    </row>
    <row r="19" spans="1:14" hidden="1" x14ac:dyDescent="0.35">
      <c r="A19">
        <v>200627</v>
      </c>
      <c r="B19" s="3">
        <v>44397</v>
      </c>
      <c r="C19" t="s">
        <v>458</v>
      </c>
      <c r="D19">
        <v>2021</v>
      </c>
      <c r="E19" s="14">
        <v>44378</v>
      </c>
      <c r="F19" t="s">
        <v>252</v>
      </c>
      <c r="G19" t="s">
        <v>763</v>
      </c>
      <c r="H19" t="s">
        <v>255</v>
      </c>
      <c r="I19">
        <v>475160</v>
      </c>
      <c r="J19">
        <v>905000</v>
      </c>
      <c r="K19">
        <v>0.52500000000000002</v>
      </c>
      <c r="L19">
        <v>1.9046216011448776</v>
      </c>
      <c r="M19" t="s">
        <v>13</v>
      </c>
      <c r="N19" t="s">
        <v>446</v>
      </c>
    </row>
    <row r="20" spans="1:14" hidden="1" x14ac:dyDescent="0.35">
      <c r="A20">
        <v>200243</v>
      </c>
      <c r="B20" s="3">
        <v>44299</v>
      </c>
      <c r="C20" t="s">
        <v>452</v>
      </c>
      <c r="D20">
        <v>2021</v>
      </c>
      <c r="E20" s="14">
        <v>44287</v>
      </c>
      <c r="F20" t="s">
        <v>14</v>
      </c>
      <c r="G20" t="s">
        <v>761</v>
      </c>
      <c r="H20" t="s">
        <v>410</v>
      </c>
      <c r="I20">
        <v>619290</v>
      </c>
      <c r="J20">
        <v>890000</v>
      </c>
      <c r="K20">
        <v>0.69579999999999997</v>
      </c>
      <c r="L20">
        <v>1.4371296161733598</v>
      </c>
      <c r="M20" t="s">
        <v>13</v>
      </c>
      <c r="N20" t="s">
        <v>446</v>
      </c>
    </row>
    <row r="21" spans="1:14" x14ac:dyDescent="0.35">
      <c r="A21">
        <v>20129</v>
      </c>
      <c r="B21" s="3">
        <v>44285</v>
      </c>
      <c r="C21" t="s">
        <v>471</v>
      </c>
      <c r="D21">
        <v>2021</v>
      </c>
      <c r="E21" s="14">
        <v>44256</v>
      </c>
      <c r="F21" t="s">
        <v>64</v>
      </c>
      <c r="G21" t="s">
        <v>758</v>
      </c>
      <c r="H21" t="s">
        <v>65</v>
      </c>
      <c r="I21">
        <v>351260</v>
      </c>
      <c r="J21">
        <v>873000</v>
      </c>
      <c r="K21">
        <v>0.40229999999999999</v>
      </c>
      <c r="L21">
        <v>2.4853384957011899</v>
      </c>
      <c r="M21" t="s">
        <v>10</v>
      </c>
      <c r="N21" t="s">
        <v>445</v>
      </c>
    </row>
    <row r="22" spans="1:14" hidden="1" x14ac:dyDescent="0.35">
      <c r="A22">
        <v>201207</v>
      </c>
      <c r="B22" s="3">
        <v>44398</v>
      </c>
      <c r="C22" t="s">
        <v>458</v>
      </c>
      <c r="D22">
        <v>2021</v>
      </c>
      <c r="E22" s="14">
        <v>44378</v>
      </c>
      <c r="F22" t="s">
        <v>159</v>
      </c>
      <c r="G22" t="s">
        <v>757</v>
      </c>
      <c r="H22" t="s">
        <v>162</v>
      </c>
      <c r="I22">
        <v>368130</v>
      </c>
      <c r="J22">
        <v>850000</v>
      </c>
      <c r="K22">
        <v>0.433</v>
      </c>
      <c r="L22">
        <v>2.3089669410262679</v>
      </c>
      <c r="M22" t="s">
        <v>13</v>
      </c>
      <c r="N22" t="s">
        <v>445</v>
      </c>
    </row>
    <row r="23" spans="1:14" hidden="1" x14ac:dyDescent="0.35">
      <c r="A23">
        <v>2000344</v>
      </c>
      <c r="B23" s="3">
        <v>44145</v>
      </c>
      <c r="C23" t="s">
        <v>475</v>
      </c>
      <c r="D23">
        <v>2020</v>
      </c>
      <c r="E23" s="14">
        <v>44136</v>
      </c>
      <c r="F23" t="s">
        <v>181</v>
      </c>
      <c r="G23" t="s">
        <v>762</v>
      </c>
      <c r="H23" t="s">
        <v>232</v>
      </c>
      <c r="I23">
        <v>539700</v>
      </c>
      <c r="J23">
        <v>850000</v>
      </c>
      <c r="K23">
        <v>0.63490000000000002</v>
      </c>
      <c r="L23">
        <v>1.5749490457661663</v>
      </c>
      <c r="M23" t="s">
        <v>13</v>
      </c>
      <c r="N23" t="s">
        <v>446</v>
      </c>
    </row>
    <row r="24" spans="1:14" hidden="1" x14ac:dyDescent="0.35">
      <c r="A24">
        <v>200338</v>
      </c>
      <c r="B24" s="3">
        <v>44309</v>
      </c>
      <c r="C24" t="s">
        <v>452</v>
      </c>
      <c r="D24">
        <v>2021</v>
      </c>
      <c r="E24" s="14">
        <v>44287</v>
      </c>
      <c r="F24" t="s">
        <v>152</v>
      </c>
      <c r="G24" t="s">
        <v>757</v>
      </c>
      <c r="H24" t="s">
        <v>153</v>
      </c>
      <c r="I24">
        <v>620760</v>
      </c>
      <c r="J24">
        <v>850000</v>
      </c>
      <c r="K24">
        <v>0.73029999999999995</v>
      </c>
      <c r="L24">
        <v>1.3692892583285006</v>
      </c>
      <c r="M24" t="s">
        <v>13</v>
      </c>
      <c r="N24" t="s">
        <v>446</v>
      </c>
    </row>
    <row r="25" spans="1:14" x14ac:dyDescent="0.35">
      <c r="A25">
        <v>202000106</v>
      </c>
      <c r="B25" s="3">
        <v>44224</v>
      </c>
      <c r="C25" t="s">
        <v>464</v>
      </c>
      <c r="D25">
        <v>2021</v>
      </c>
      <c r="E25" s="14">
        <v>44197</v>
      </c>
      <c r="F25" t="s">
        <v>193</v>
      </c>
      <c r="G25" t="s">
        <v>764</v>
      </c>
      <c r="H25" t="s">
        <v>194</v>
      </c>
      <c r="I25">
        <v>596470</v>
      </c>
      <c r="J25">
        <v>833111</v>
      </c>
      <c r="K25">
        <v>0.71589999999999998</v>
      </c>
      <c r="L25">
        <v>1.3967357955974316</v>
      </c>
      <c r="M25" t="s">
        <v>10</v>
      </c>
      <c r="N25" t="s">
        <v>446</v>
      </c>
    </row>
    <row r="26" spans="1:14" hidden="1" x14ac:dyDescent="0.35">
      <c r="A26">
        <v>2001250</v>
      </c>
      <c r="B26" s="3">
        <v>44280</v>
      </c>
      <c r="C26" t="s">
        <v>471</v>
      </c>
      <c r="D26">
        <v>2021</v>
      </c>
      <c r="E26" s="14">
        <v>44256</v>
      </c>
      <c r="F26" t="s">
        <v>181</v>
      </c>
      <c r="G26" t="s">
        <v>762</v>
      </c>
      <c r="H26" t="s">
        <v>224</v>
      </c>
      <c r="I26">
        <v>403190</v>
      </c>
      <c r="J26">
        <v>810000</v>
      </c>
      <c r="K26">
        <v>0.49769999999999998</v>
      </c>
      <c r="L26">
        <v>2.0089783972816786</v>
      </c>
      <c r="M26" t="s">
        <v>13</v>
      </c>
      <c r="N26" t="s">
        <v>445</v>
      </c>
    </row>
    <row r="27" spans="1:14" x14ac:dyDescent="0.35">
      <c r="A27">
        <v>201027</v>
      </c>
      <c r="B27" s="3">
        <v>44396</v>
      </c>
      <c r="C27" t="s">
        <v>458</v>
      </c>
      <c r="D27">
        <v>2021</v>
      </c>
      <c r="E27" s="14">
        <v>44378</v>
      </c>
      <c r="F27" t="s">
        <v>117</v>
      </c>
      <c r="G27" t="s">
        <v>765</v>
      </c>
      <c r="H27" t="s">
        <v>121</v>
      </c>
      <c r="I27">
        <v>517700</v>
      </c>
      <c r="J27">
        <v>800000</v>
      </c>
      <c r="K27">
        <v>0.64710000000000001</v>
      </c>
      <c r="L27">
        <v>1.5452965037666602</v>
      </c>
      <c r="M27" t="s">
        <v>10</v>
      </c>
      <c r="N27" t="s">
        <v>446</v>
      </c>
    </row>
    <row r="28" spans="1:14" x14ac:dyDescent="0.35">
      <c r="A28">
        <v>2002453</v>
      </c>
      <c r="B28" s="3">
        <v>44435</v>
      </c>
      <c r="C28" t="s">
        <v>462</v>
      </c>
      <c r="D28">
        <v>2021</v>
      </c>
      <c r="E28" s="14">
        <v>44409</v>
      </c>
      <c r="F28" t="s">
        <v>181</v>
      </c>
      <c r="G28" t="s">
        <v>762</v>
      </c>
      <c r="H28" t="s">
        <v>233</v>
      </c>
      <c r="I28">
        <v>596290</v>
      </c>
      <c r="J28">
        <v>800000</v>
      </c>
      <c r="K28">
        <v>0.74529999999999996</v>
      </c>
      <c r="L28">
        <v>1.3416290731020142</v>
      </c>
      <c r="M28" t="s">
        <v>10</v>
      </c>
      <c r="N28" t="s">
        <v>446</v>
      </c>
    </row>
    <row r="29" spans="1:14" x14ac:dyDescent="0.35">
      <c r="A29">
        <v>200097</v>
      </c>
      <c r="B29" s="3">
        <v>44351</v>
      </c>
      <c r="C29" t="s">
        <v>454</v>
      </c>
      <c r="D29">
        <v>2021</v>
      </c>
      <c r="E29" s="14">
        <v>44348</v>
      </c>
      <c r="F29" t="s">
        <v>21</v>
      </c>
      <c r="G29" t="s">
        <v>766</v>
      </c>
      <c r="H29" t="s">
        <v>22</v>
      </c>
      <c r="I29">
        <v>511000</v>
      </c>
      <c r="J29">
        <v>795000</v>
      </c>
      <c r="K29">
        <v>0.64270000000000005</v>
      </c>
      <c r="L29">
        <v>1.5557729941291585</v>
      </c>
      <c r="M29" t="s">
        <v>10</v>
      </c>
      <c r="N29" t="s">
        <v>446</v>
      </c>
    </row>
    <row r="30" spans="1:14" hidden="1" x14ac:dyDescent="0.35">
      <c r="A30">
        <v>2002537</v>
      </c>
      <c r="B30" s="3">
        <v>44446</v>
      </c>
      <c r="C30" t="s">
        <v>473</v>
      </c>
      <c r="D30">
        <v>2021</v>
      </c>
      <c r="E30" s="14">
        <v>44440</v>
      </c>
      <c r="F30" t="s">
        <v>181</v>
      </c>
      <c r="G30" t="s">
        <v>762</v>
      </c>
      <c r="H30" t="s">
        <v>229</v>
      </c>
      <c r="I30">
        <v>441560</v>
      </c>
      <c r="J30">
        <v>785000</v>
      </c>
      <c r="K30">
        <v>0.56240000000000001</v>
      </c>
      <c r="L30">
        <v>1.7777878431017302</v>
      </c>
      <c r="M30" t="s">
        <v>13</v>
      </c>
      <c r="N30" t="s">
        <v>446</v>
      </c>
    </row>
    <row r="31" spans="1:14" hidden="1" x14ac:dyDescent="0.35">
      <c r="A31">
        <v>20274</v>
      </c>
      <c r="B31" s="3">
        <v>44204</v>
      </c>
      <c r="C31" t="s">
        <v>464</v>
      </c>
      <c r="D31">
        <v>2021</v>
      </c>
      <c r="E31" s="14">
        <v>44197</v>
      </c>
      <c r="F31" t="s">
        <v>166</v>
      </c>
      <c r="G31" t="s">
        <v>757</v>
      </c>
      <c r="H31" t="s">
        <v>167</v>
      </c>
      <c r="I31">
        <v>419590</v>
      </c>
      <c r="J31">
        <v>779000</v>
      </c>
      <c r="K31">
        <v>0.53859999999999997</v>
      </c>
      <c r="L31">
        <v>1.8565742748873901</v>
      </c>
      <c r="M31" t="s">
        <v>13</v>
      </c>
      <c r="N31" t="s">
        <v>446</v>
      </c>
    </row>
    <row r="32" spans="1:14" hidden="1" x14ac:dyDescent="0.35">
      <c r="A32">
        <v>2000120</v>
      </c>
      <c r="B32" s="3">
        <v>44120</v>
      </c>
      <c r="C32" t="s">
        <v>469</v>
      </c>
      <c r="D32">
        <v>2020</v>
      </c>
      <c r="E32" s="14">
        <v>44105</v>
      </c>
      <c r="F32" t="s">
        <v>181</v>
      </c>
      <c r="G32" t="s">
        <v>762</v>
      </c>
      <c r="H32" t="s">
        <v>230</v>
      </c>
      <c r="I32">
        <v>497000</v>
      </c>
      <c r="J32">
        <v>755000</v>
      </c>
      <c r="K32">
        <v>0.65820000000000001</v>
      </c>
      <c r="L32">
        <v>1.5191146881287727</v>
      </c>
      <c r="M32" t="s">
        <v>13</v>
      </c>
      <c r="N32" t="s">
        <v>446</v>
      </c>
    </row>
    <row r="33" spans="1:14" hidden="1" x14ac:dyDescent="0.35">
      <c r="A33">
        <v>200098</v>
      </c>
      <c r="B33" s="3">
        <v>44141</v>
      </c>
      <c r="C33" t="s">
        <v>475</v>
      </c>
      <c r="D33">
        <v>2020</v>
      </c>
      <c r="E33" s="14">
        <v>44136</v>
      </c>
      <c r="F33" t="s">
        <v>92</v>
      </c>
      <c r="G33" t="s">
        <v>756</v>
      </c>
      <c r="H33" t="s">
        <v>424</v>
      </c>
      <c r="I33">
        <v>354550</v>
      </c>
      <c r="J33">
        <v>742500</v>
      </c>
      <c r="K33">
        <v>0.47749999999999998</v>
      </c>
      <c r="L33">
        <v>2.094203920462558</v>
      </c>
      <c r="M33" t="s">
        <v>13</v>
      </c>
      <c r="N33" t="s">
        <v>445</v>
      </c>
    </row>
    <row r="34" spans="1:14" hidden="1" x14ac:dyDescent="0.35">
      <c r="A34">
        <v>201328</v>
      </c>
      <c r="B34" s="3">
        <v>44414</v>
      </c>
      <c r="C34" t="s">
        <v>462</v>
      </c>
      <c r="D34">
        <v>2021</v>
      </c>
      <c r="E34" s="14">
        <v>44409</v>
      </c>
      <c r="F34" t="s">
        <v>54</v>
      </c>
      <c r="G34" t="s">
        <v>755</v>
      </c>
      <c r="H34" t="s">
        <v>55</v>
      </c>
      <c r="I34">
        <v>410670</v>
      </c>
      <c r="J34">
        <v>740000</v>
      </c>
      <c r="K34">
        <v>0.55489999999999995</v>
      </c>
      <c r="L34">
        <v>1.8019334258650499</v>
      </c>
      <c r="M34" t="s">
        <v>13</v>
      </c>
      <c r="N34" t="s">
        <v>446</v>
      </c>
    </row>
    <row r="35" spans="1:14" hidden="1" x14ac:dyDescent="0.35">
      <c r="A35">
        <v>200170</v>
      </c>
      <c r="B35" s="3">
        <v>44361</v>
      </c>
      <c r="C35" t="s">
        <v>454</v>
      </c>
      <c r="D35">
        <v>2021</v>
      </c>
      <c r="E35" s="14">
        <v>44348</v>
      </c>
      <c r="F35" t="s">
        <v>271</v>
      </c>
      <c r="G35" t="s">
        <v>759</v>
      </c>
      <c r="H35" t="s">
        <v>272</v>
      </c>
      <c r="I35">
        <v>271120</v>
      </c>
      <c r="J35">
        <v>725000</v>
      </c>
      <c r="K35">
        <v>0.37390000000000001</v>
      </c>
      <c r="L35">
        <v>2.6740926526999114</v>
      </c>
      <c r="M35" t="s">
        <v>13</v>
      </c>
      <c r="N35" t="s">
        <v>445</v>
      </c>
    </row>
    <row r="36" spans="1:14" hidden="1" x14ac:dyDescent="0.35">
      <c r="A36">
        <v>20458</v>
      </c>
      <c r="B36" s="3">
        <v>44365</v>
      </c>
      <c r="C36" t="s">
        <v>454</v>
      </c>
      <c r="D36">
        <v>2021</v>
      </c>
      <c r="E36" s="14">
        <v>44348</v>
      </c>
      <c r="F36" t="s">
        <v>268</v>
      </c>
      <c r="G36" t="s">
        <v>759</v>
      </c>
      <c r="H36" t="s">
        <v>269</v>
      </c>
      <c r="I36">
        <v>271240</v>
      </c>
      <c r="J36">
        <v>710000</v>
      </c>
      <c r="K36">
        <v>0.38200000000000001</v>
      </c>
      <c r="L36">
        <v>2.6176080224155731</v>
      </c>
      <c r="M36" t="s">
        <v>13</v>
      </c>
      <c r="N36" t="s">
        <v>445</v>
      </c>
    </row>
    <row r="37" spans="1:14" hidden="1" x14ac:dyDescent="0.35">
      <c r="A37">
        <v>200421</v>
      </c>
      <c r="B37" s="3">
        <v>44189</v>
      </c>
      <c r="C37" t="s">
        <v>450</v>
      </c>
      <c r="D37">
        <v>2020</v>
      </c>
      <c r="E37" s="14">
        <v>44166</v>
      </c>
      <c r="F37" t="s">
        <v>85</v>
      </c>
      <c r="G37" t="s">
        <v>756</v>
      </c>
      <c r="H37" t="s">
        <v>89</v>
      </c>
      <c r="I37">
        <v>288190</v>
      </c>
      <c r="J37">
        <v>705000</v>
      </c>
      <c r="K37">
        <v>0.40870000000000001</v>
      </c>
      <c r="L37">
        <v>2.4463027863562234</v>
      </c>
      <c r="M37" t="s">
        <v>13</v>
      </c>
      <c r="N37" t="s">
        <v>445</v>
      </c>
    </row>
    <row r="38" spans="1:14" hidden="1" x14ac:dyDescent="0.35">
      <c r="A38">
        <v>200258</v>
      </c>
      <c r="B38" s="3">
        <v>44218</v>
      </c>
      <c r="C38" t="s">
        <v>464</v>
      </c>
      <c r="D38">
        <v>2021</v>
      </c>
      <c r="E38" s="14">
        <v>44197</v>
      </c>
      <c r="F38" t="s">
        <v>29</v>
      </c>
      <c r="G38" t="s">
        <v>766</v>
      </c>
      <c r="H38" t="s">
        <v>30</v>
      </c>
      <c r="I38">
        <v>530500</v>
      </c>
      <c r="J38">
        <v>700000</v>
      </c>
      <c r="K38">
        <v>0.75780000000000003</v>
      </c>
      <c r="L38">
        <v>1.3195098963242224</v>
      </c>
      <c r="M38" t="s">
        <v>13</v>
      </c>
      <c r="N38" t="s">
        <v>446</v>
      </c>
    </row>
    <row r="39" spans="1:14" hidden="1" x14ac:dyDescent="0.35">
      <c r="A39">
        <v>2020313</v>
      </c>
      <c r="B39" s="3">
        <v>44378</v>
      </c>
      <c r="C39" t="s">
        <v>458</v>
      </c>
      <c r="D39">
        <v>2021</v>
      </c>
      <c r="E39" s="14">
        <v>44378</v>
      </c>
      <c r="F39" t="s">
        <v>19</v>
      </c>
      <c r="G39" t="s">
        <v>766</v>
      </c>
      <c r="H39" t="s">
        <v>411</v>
      </c>
      <c r="I39">
        <v>412000</v>
      </c>
      <c r="J39">
        <v>677500</v>
      </c>
      <c r="K39">
        <v>0.60809999999999997</v>
      </c>
      <c r="L39">
        <v>1.6444174757281553</v>
      </c>
      <c r="M39" t="s">
        <v>13</v>
      </c>
      <c r="N39" t="s">
        <v>446</v>
      </c>
    </row>
    <row r="40" spans="1:14" hidden="1" x14ac:dyDescent="0.35">
      <c r="A40">
        <v>2001286</v>
      </c>
      <c r="B40" s="3">
        <v>44285</v>
      </c>
      <c r="C40" t="s">
        <v>471</v>
      </c>
      <c r="D40">
        <v>2021</v>
      </c>
      <c r="E40" s="14">
        <v>44256</v>
      </c>
      <c r="F40" t="s">
        <v>181</v>
      </c>
      <c r="G40" t="s">
        <v>762</v>
      </c>
      <c r="H40" t="s">
        <v>225</v>
      </c>
      <c r="I40">
        <v>438860</v>
      </c>
      <c r="J40">
        <v>652000</v>
      </c>
      <c r="K40">
        <v>0.67300000000000004</v>
      </c>
      <c r="L40">
        <v>1.4856674110194594</v>
      </c>
      <c r="M40" t="s">
        <v>13</v>
      </c>
      <c r="N40" t="s">
        <v>446</v>
      </c>
    </row>
    <row r="41" spans="1:14" hidden="1" x14ac:dyDescent="0.35">
      <c r="A41">
        <v>200639</v>
      </c>
      <c r="B41" s="3">
        <v>44405</v>
      </c>
      <c r="C41" t="s">
        <v>458</v>
      </c>
      <c r="D41">
        <v>2021</v>
      </c>
      <c r="E41" s="14">
        <v>44378</v>
      </c>
      <c r="F41" t="s">
        <v>92</v>
      </c>
      <c r="G41" t="s">
        <v>756</v>
      </c>
      <c r="H41" t="s">
        <v>94</v>
      </c>
      <c r="I41">
        <v>259770</v>
      </c>
      <c r="J41">
        <v>650000</v>
      </c>
      <c r="K41">
        <v>0.39964615399999998</v>
      </c>
      <c r="L41">
        <v>2.5022134965546443</v>
      </c>
      <c r="M41" t="s">
        <v>13</v>
      </c>
      <c r="N41" t="s">
        <v>445</v>
      </c>
    </row>
    <row r="42" spans="1:14" x14ac:dyDescent="0.35">
      <c r="A42">
        <v>20200578</v>
      </c>
      <c r="B42" s="3">
        <v>44244</v>
      </c>
      <c r="C42" t="s">
        <v>460</v>
      </c>
      <c r="D42">
        <v>2021</v>
      </c>
      <c r="E42" s="14">
        <v>44228</v>
      </c>
      <c r="F42" t="s">
        <v>129</v>
      </c>
      <c r="G42" t="s">
        <v>762</v>
      </c>
      <c r="H42" t="s">
        <v>238</v>
      </c>
      <c r="I42">
        <v>429800</v>
      </c>
      <c r="J42">
        <v>650000</v>
      </c>
      <c r="K42">
        <v>0.66120000000000001</v>
      </c>
      <c r="L42">
        <v>1.5123313168915775</v>
      </c>
      <c r="M42" t="s">
        <v>10</v>
      </c>
      <c r="N42" t="s">
        <v>446</v>
      </c>
    </row>
    <row r="43" spans="1:14" x14ac:dyDescent="0.35">
      <c r="A43">
        <v>200804</v>
      </c>
      <c r="B43" s="3">
        <v>44467</v>
      </c>
      <c r="C43" t="s">
        <v>473</v>
      </c>
      <c r="D43">
        <v>2021</v>
      </c>
      <c r="E43" s="14">
        <v>44440</v>
      </c>
      <c r="F43" t="s">
        <v>29</v>
      </c>
      <c r="G43" t="s">
        <v>766</v>
      </c>
      <c r="H43" t="s">
        <v>31</v>
      </c>
      <c r="I43">
        <v>455100</v>
      </c>
      <c r="J43">
        <v>650000</v>
      </c>
      <c r="K43">
        <v>0.70009999999999994</v>
      </c>
      <c r="L43">
        <v>1.4282575258185015</v>
      </c>
      <c r="M43" t="s">
        <v>10</v>
      </c>
      <c r="N43" t="s">
        <v>446</v>
      </c>
    </row>
    <row r="44" spans="1:14" hidden="1" x14ac:dyDescent="0.35">
      <c r="A44">
        <v>200043</v>
      </c>
      <c r="B44" s="3">
        <v>44174</v>
      </c>
      <c r="C44" t="s">
        <v>450</v>
      </c>
      <c r="D44">
        <v>2020</v>
      </c>
      <c r="E44" s="14">
        <v>44166</v>
      </c>
      <c r="F44" t="s">
        <v>111</v>
      </c>
      <c r="G44" t="s">
        <v>767</v>
      </c>
      <c r="H44" t="s">
        <v>112</v>
      </c>
      <c r="I44">
        <v>354040</v>
      </c>
      <c r="J44">
        <v>645000</v>
      </c>
      <c r="K44">
        <v>0.54879999999999995</v>
      </c>
      <c r="L44">
        <v>1.8218280420291493</v>
      </c>
      <c r="M44" t="s">
        <v>13</v>
      </c>
      <c r="N44" t="s">
        <v>446</v>
      </c>
    </row>
    <row r="45" spans="1:14" hidden="1" x14ac:dyDescent="0.35">
      <c r="A45">
        <v>200042</v>
      </c>
      <c r="B45" s="3">
        <v>44335</v>
      </c>
      <c r="C45" t="s">
        <v>456</v>
      </c>
      <c r="D45">
        <v>2021</v>
      </c>
      <c r="E45" s="14">
        <v>44317</v>
      </c>
      <c r="F45" t="s">
        <v>413</v>
      </c>
      <c r="G45" t="s">
        <v>755</v>
      </c>
      <c r="H45" t="s">
        <v>40</v>
      </c>
      <c r="I45">
        <v>355800</v>
      </c>
      <c r="J45">
        <v>599000</v>
      </c>
      <c r="K45">
        <v>0.59389999999999998</v>
      </c>
      <c r="L45">
        <v>1.6835300730747611</v>
      </c>
      <c r="M45" t="s">
        <v>13</v>
      </c>
      <c r="N45" t="s">
        <v>446</v>
      </c>
    </row>
    <row r="46" spans="1:14" hidden="1" x14ac:dyDescent="0.35">
      <c r="A46">
        <v>200002</v>
      </c>
      <c r="B46" s="3">
        <v>44105</v>
      </c>
      <c r="C46" t="s">
        <v>469</v>
      </c>
      <c r="D46">
        <v>2020</v>
      </c>
      <c r="E46" s="14">
        <v>44105</v>
      </c>
      <c r="F46" t="s">
        <v>130</v>
      </c>
      <c r="G46" t="s">
        <v>754</v>
      </c>
      <c r="H46" t="s">
        <v>203</v>
      </c>
      <c r="I46">
        <v>439290</v>
      </c>
      <c r="J46">
        <v>575000</v>
      </c>
      <c r="K46">
        <v>0.76398260900000003</v>
      </c>
      <c r="L46">
        <v>1.3089303193789978</v>
      </c>
      <c r="M46" t="s">
        <v>13</v>
      </c>
      <c r="N46" t="s">
        <v>446</v>
      </c>
    </row>
    <row r="47" spans="1:14" hidden="1" x14ac:dyDescent="0.35">
      <c r="A47">
        <v>20249</v>
      </c>
      <c r="B47" s="3">
        <v>44469</v>
      </c>
      <c r="C47" t="s">
        <v>473</v>
      </c>
      <c r="D47">
        <v>2021</v>
      </c>
      <c r="E47" s="14">
        <v>44440</v>
      </c>
      <c r="F47" t="s">
        <v>151</v>
      </c>
      <c r="G47" t="s">
        <v>768</v>
      </c>
      <c r="H47" t="s">
        <v>183</v>
      </c>
      <c r="I47">
        <v>297700</v>
      </c>
      <c r="J47">
        <v>550000</v>
      </c>
      <c r="K47">
        <v>0.54120000000000001</v>
      </c>
      <c r="L47">
        <v>1.8474974806852535</v>
      </c>
      <c r="M47" t="s">
        <v>13</v>
      </c>
      <c r="N47" t="s">
        <v>446</v>
      </c>
    </row>
    <row r="48" spans="1:14" hidden="1" x14ac:dyDescent="0.35">
      <c r="A48">
        <v>200742</v>
      </c>
      <c r="B48" s="3">
        <v>44284</v>
      </c>
      <c r="C48" t="s">
        <v>471</v>
      </c>
      <c r="D48">
        <v>2021</v>
      </c>
      <c r="E48" s="14">
        <v>44256</v>
      </c>
      <c r="F48" t="s">
        <v>56</v>
      </c>
      <c r="G48" t="s">
        <v>758</v>
      </c>
      <c r="H48" t="s">
        <v>57</v>
      </c>
      <c r="I48">
        <v>339100</v>
      </c>
      <c r="J48">
        <v>550000</v>
      </c>
      <c r="K48">
        <v>0.61650000000000005</v>
      </c>
      <c r="L48">
        <v>1.6219404305514598</v>
      </c>
      <c r="M48" t="s">
        <v>13</v>
      </c>
      <c r="N48" t="s">
        <v>446</v>
      </c>
    </row>
    <row r="49" spans="1:14" hidden="1" x14ac:dyDescent="0.35">
      <c r="A49">
        <v>200151</v>
      </c>
      <c r="B49" s="3">
        <v>44179</v>
      </c>
      <c r="C49" t="s">
        <v>450</v>
      </c>
      <c r="D49">
        <v>2020</v>
      </c>
      <c r="E49" s="14">
        <v>44166</v>
      </c>
      <c r="F49" t="s">
        <v>68</v>
      </c>
      <c r="G49" t="s">
        <v>769</v>
      </c>
      <c r="H49" t="s">
        <v>79</v>
      </c>
      <c r="I49">
        <v>356410</v>
      </c>
      <c r="J49">
        <v>550000</v>
      </c>
      <c r="K49">
        <v>0.64800000000000002</v>
      </c>
      <c r="L49">
        <v>1.543166577817682</v>
      </c>
      <c r="M49" t="s">
        <v>13</v>
      </c>
      <c r="N49" t="s">
        <v>446</v>
      </c>
    </row>
    <row r="50" spans="1:14" hidden="1" x14ac:dyDescent="0.35">
      <c r="A50">
        <v>2001590</v>
      </c>
      <c r="B50" s="3">
        <v>44333</v>
      </c>
      <c r="C50" t="s">
        <v>456</v>
      </c>
      <c r="D50">
        <v>2021</v>
      </c>
      <c r="E50" s="14">
        <v>44317</v>
      </c>
      <c r="F50" t="s">
        <v>181</v>
      </c>
      <c r="G50" t="s">
        <v>762</v>
      </c>
      <c r="H50" t="s">
        <v>228</v>
      </c>
      <c r="I50">
        <v>423700</v>
      </c>
      <c r="J50">
        <v>533350</v>
      </c>
      <c r="K50">
        <v>0.7944</v>
      </c>
      <c r="L50">
        <v>1.2587915978286524</v>
      </c>
      <c r="M50" t="s">
        <v>13</v>
      </c>
      <c r="N50" t="s">
        <v>446</v>
      </c>
    </row>
    <row r="51" spans="1:14" hidden="1" x14ac:dyDescent="0.35">
      <c r="A51">
        <v>201580</v>
      </c>
      <c r="B51" s="3">
        <v>44466</v>
      </c>
      <c r="C51" t="s">
        <v>473</v>
      </c>
      <c r="D51">
        <v>2021</v>
      </c>
      <c r="E51" s="14">
        <v>44440</v>
      </c>
      <c r="F51" t="s">
        <v>56</v>
      </c>
      <c r="G51" t="s">
        <v>758</v>
      </c>
      <c r="H51" t="s">
        <v>62</v>
      </c>
      <c r="I51">
        <v>192300</v>
      </c>
      <c r="J51">
        <v>525000</v>
      </c>
      <c r="K51">
        <v>0.36628571399999998</v>
      </c>
      <c r="L51">
        <v>2.7301092043681749</v>
      </c>
      <c r="M51" t="s">
        <v>13</v>
      </c>
      <c r="N51" t="s">
        <v>445</v>
      </c>
    </row>
    <row r="52" spans="1:14" hidden="1" x14ac:dyDescent="0.35">
      <c r="A52">
        <v>200374</v>
      </c>
      <c r="B52" s="3">
        <v>44256</v>
      </c>
      <c r="C52" t="s">
        <v>471</v>
      </c>
      <c r="D52">
        <v>2021</v>
      </c>
      <c r="E52" s="14">
        <v>44256</v>
      </c>
      <c r="F52" t="s">
        <v>206</v>
      </c>
      <c r="G52" t="s">
        <v>762</v>
      </c>
      <c r="H52" t="s">
        <v>209</v>
      </c>
      <c r="I52">
        <v>227500</v>
      </c>
      <c r="J52">
        <v>525000</v>
      </c>
      <c r="K52">
        <v>0.43330000000000002</v>
      </c>
      <c r="L52">
        <v>2.3076923076923075</v>
      </c>
      <c r="M52" t="s">
        <v>13</v>
      </c>
      <c r="N52" t="s">
        <v>445</v>
      </c>
    </row>
    <row r="53" spans="1:14" x14ac:dyDescent="0.35">
      <c r="A53">
        <v>201023</v>
      </c>
      <c r="B53" s="3">
        <v>44403</v>
      </c>
      <c r="C53" t="s">
        <v>458</v>
      </c>
      <c r="D53">
        <v>2021</v>
      </c>
      <c r="E53" s="14">
        <v>44378</v>
      </c>
      <c r="F53" t="s">
        <v>98</v>
      </c>
      <c r="G53" t="s">
        <v>770</v>
      </c>
      <c r="H53" t="s">
        <v>104</v>
      </c>
      <c r="I53">
        <v>435610</v>
      </c>
      <c r="J53">
        <v>525000</v>
      </c>
      <c r="K53">
        <v>0.82969999999999999</v>
      </c>
      <c r="L53">
        <v>1.2052064920456371</v>
      </c>
      <c r="M53" t="s">
        <v>10</v>
      </c>
      <c r="N53" t="s">
        <v>446</v>
      </c>
    </row>
    <row r="54" spans="1:14" hidden="1" x14ac:dyDescent="0.35">
      <c r="A54">
        <v>200827</v>
      </c>
      <c r="B54" s="3">
        <v>44446</v>
      </c>
      <c r="C54" t="s">
        <v>473</v>
      </c>
      <c r="D54">
        <v>2021</v>
      </c>
      <c r="E54" s="14">
        <v>44440</v>
      </c>
      <c r="F54" t="s">
        <v>83</v>
      </c>
      <c r="G54" t="s">
        <v>756</v>
      </c>
      <c r="H54" t="s">
        <v>422</v>
      </c>
      <c r="I54">
        <v>332000</v>
      </c>
      <c r="J54">
        <v>520000</v>
      </c>
      <c r="K54">
        <v>0.63839999999999997</v>
      </c>
      <c r="L54">
        <v>1.5662650602409638</v>
      </c>
      <c r="M54" t="s">
        <v>13</v>
      </c>
      <c r="N54" t="s">
        <v>446</v>
      </c>
    </row>
    <row r="55" spans="1:14" hidden="1" x14ac:dyDescent="0.35">
      <c r="A55">
        <v>200140</v>
      </c>
      <c r="B55" s="3">
        <v>44314</v>
      </c>
      <c r="C55" t="s">
        <v>452</v>
      </c>
      <c r="D55">
        <v>2021</v>
      </c>
      <c r="E55" s="14">
        <v>44287</v>
      </c>
      <c r="F55" t="s">
        <v>77</v>
      </c>
      <c r="G55" t="s">
        <v>760</v>
      </c>
      <c r="H55" t="s">
        <v>421</v>
      </c>
      <c r="I55">
        <v>335800</v>
      </c>
      <c r="J55">
        <v>520000</v>
      </c>
      <c r="K55">
        <v>0.64570000000000005</v>
      </c>
      <c r="L55">
        <v>1.5485407980941037</v>
      </c>
      <c r="M55" t="s">
        <v>13</v>
      </c>
      <c r="N55" t="s">
        <v>446</v>
      </c>
    </row>
    <row r="56" spans="1:14" hidden="1" x14ac:dyDescent="0.35">
      <c r="A56">
        <v>200499</v>
      </c>
      <c r="B56" s="3">
        <v>44449</v>
      </c>
      <c r="C56" t="s">
        <v>473</v>
      </c>
      <c r="D56">
        <v>2021</v>
      </c>
      <c r="E56" s="14">
        <v>44440</v>
      </c>
      <c r="F56" t="s">
        <v>69</v>
      </c>
      <c r="G56" t="s">
        <v>760</v>
      </c>
      <c r="H56" t="s">
        <v>418</v>
      </c>
      <c r="I56">
        <v>233660</v>
      </c>
      <c r="J56">
        <v>517000</v>
      </c>
      <c r="K56">
        <v>0.45190000000000002</v>
      </c>
      <c r="L56">
        <v>2.2126166224428658</v>
      </c>
      <c r="M56" t="s">
        <v>13</v>
      </c>
      <c r="N56" t="s">
        <v>445</v>
      </c>
    </row>
    <row r="57" spans="1:14" hidden="1" x14ac:dyDescent="0.35">
      <c r="A57">
        <v>20588</v>
      </c>
      <c r="B57" s="3">
        <v>44406</v>
      </c>
      <c r="C57" t="s">
        <v>458</v>
      </c>
      <c r="D57">
        <v>2021</v>
      </c>
      <c r="E57" s="14">
        <v>44378</v>
      </c>
      <c r="F57" t="s">
        <v>216</v>
      </c>
      <c r="G57" t="s">
        <v>762</v>
      </c>
      <c r="H57" t="s">
        <v>218</v>
      </c>
      <c r="I57">
        <v>235950</v>
      </c>
      <c r="J57">
        <v>510000</v>
      </c>
      <c r="K57">
        <v>0.46260000000000001</v>
      </c>
      <c r="L57">
        <v>2.1614748887476161</v>
      </c>
      <c r="M57" t="s">
        <v>13</v>
      </c>
      <c r="N57" t="s">
        <v>445</v>
      </c>
    </row>
    <row r="58" spans="1:14" hidden="1" x14ac:dyDescent="0.35">
      <c r="A58">
        <v>20742</v>
      </c>
      <c r="B58" s="3">
        <v>44438</v>
      </c>
      <c r="C58" t="s">
        <v>462</v>
      </c>
      <c r="D58">
        <v>2021</v>
      </c>
      <c r="E58" s="14">
        <v>44409</v>
      </c>
      <c r="F58" t="s">
        <v>166</v>
      </c>
      <c r="G58" t="s">
        <v>757</v>
      </c>
      <c r="H58" t="s">
        <v>168</v>
      </c>
      <c r="I58">
        <v>325640</v>
      </c>
      <c r="J58">
        <v>508000</v>
      </c>
      <c r="K58">
        <v>0.64100000000000001</v>
      </c>
      <c r="L58">
        <v>1.5600049134013021</v>
      </c>
      <c r="M58" t="s">
        <v>13</v>
      </c>
      <c r="N58" t="s">
        <v>446</v>
      </c>
    </row>
    <row r="59" spans="1:14" hidden="1" x14ac:dyDescent="0.35">
      <c r="A59">
        <v>200080</v>
      </c>
      <c r="B59" s="3">
        <v>44140</v>
      </c>
      <c r="C59" t="s">
        <v>475</v>
      </c>
      <c r="D59">
        <v>2020</v>
      </c>
      <c r="E59" s="14">
        <v>44136</v>
      </c>
      <c r="F59" t="s">
        <v>96</v>
      </c>
      <c r="G59" t="s">
        <v>756</v>
      </c>
      <c r="H59" t="s">
        <v>425</v>
      </c>
      <c r="I59">
        <v>239550</v>
      </c>
      <c r="J59">
        <v>480000</v>
      </c>
      <c r="K59">
        <v>0.499</v>
      </c>
      <c r="L59">
        <v>2.0037570444583594</v>
      </c>
      <c r="M59" t="s">
        <v>13</v>
      </c>
      <c r="N59" t="s">
        <v>445</v>
      </c>
    </row>
    <row r="60" spans="1:14" x14ac:dyDescent="0.35">
      <c r="A60">
        <v>200282</v>
      </c>
      <c r="B60" s="3">
        <v>44392</v>
      </c>
      <c r="C60" t="s">
        <v>458</v>
      </c>
      <c r="D60">
        <v>2021</v>
      </c>
      <c r="E60" s="14">
        <v>44378</v>
      </c>
      <c r="F60" t="s">
        <v>52</v>
      </c>
      <c r="G60" t="s">
        <v>755</v>
      </c>
      <c r="H60" t="s">
        <v>414</v>
      </c>
      <c r="I60">
        <v>359800</v>
      </c>
      <c r="J60">
        <v>480000</v>
      </c>
      <c r="K60">
        <v>0.74950000000000006</v>
      </c>
      <c r="L60">
        <v>1.3340744858254585</v>
      </c>
      <c r="M60" t="s">
        <v>10</v>
      </c>
      <c r="N60" t="s">
        <v>446</v>
      </c>
    </row>
    <row r="61" spans="1:14" hidden="1" x14ac:dyDescent="0.35">
      <c r="A61">
        <v>200145</v>
      </c>
      <c r="B61" s="3">
        <v>44417</v>
      </c>
      <c r="C61" t="s">
        <v>462</v>
      </c>
      <c r="D61">
        <v>2021</v>
      </c>
      <c r="E61" s="14">
        <v>44409</v>
      </c>
      <c r="F61" t="s">
        <v>157</v>
      </c>
      <c r="G61" t="s">
        <v>757</v>
      </c>
      <c r="H61" t="s">
        <v>158</v>
      </c>
      <c r="I61">
        <v>238980</v>
      </c>
      <c r="J61">
        <v>460000</v>
      </c>
      <c r="K61">
        <v>0.51949999999999996</v>
      </c>
      <c r="L61">
        <v>1.9248472675537702</v>
      </c>
      <c r="M61" t="s">
        <v>13</v>
      </c>
      <c r="N61" t="s">
        <v>446</v>
      </c>
    </row>
    <row r="62" spans="1:14" hidden="1" x14ac:dyDescent="0.35">
      <c r="A62">
        <v>200359</v>
      </c>
      <c r="B62" s="3">
        <v>44263</v>
      </c>
      <c r="C62" t="s">
        <v>471</v>
      </c>
      <c r="D62">
        <v>2021</v>
      </c>
      <c r="E62" s="14">
        <v>44256</v>
      </c>
      <c r="F62" t="s">
        <v>252</v>
      </c>
      <c r="G62" t="s">
        <v>763</v>
      </c>
      <c r="H62" t="s">
        <v>253</v>
      </c>
      <c r="I62">
        <v>256550</v>
      </c>
      <c r="J62">
        <v>451000</v>
      </c>
      <c r="K62">
        <v>0.56879999999999997</v>
      </c>
      <c r="L62">
        <v>1.7579419216526992</v>
      </c>
      <c r="M62" t="s">
        <v>13</v>
      </c>
      <c r="N62" t="s">
        <v>446</v>
      </c>
    </row>
    <row r="63" spans="1:14" hidden="1" x14ac:dyDescent="0.35">
      <c r="A63">
        <v>201007</v>
      </c>
      <c r="B63" s="3">
        <v>44277</v>
      </c>
      <c r="C63" t="s">
        <v>471</v>
      </c>
      <c r="D63">
        <v>2021</v>
      </c>
      <c r="E63" s="14">
        <v>44256</v>
      </c>
      <c r="F63" t="s">
        <v>122</v>
      </c>
      <c r="G63" t="s">
        <v>757</v>
      </c>
      <c r="H63" t="s">
        <v>172</v>
      </c>
      <c r="I63">
        <v>261800</v>
      </c>
      <c r="J63">
        <v>450000</v>
      </c>
      <c r="K63">
        <v>0.58169999999999999</v>
      </c>
      <c r="L63">
        <v>1.7188693659281895</v>
      </c>
      <c r="M63" t="s">
        <v>13</v>
      </c>
      <c r="N63" t="s">
        <v>446</v>
      </c>
    </row>
    <row r="64" spans="1:14" hidden="1" x14ac:dyDescent="0.35">
      <c r="A64">
        <v>202281</v>
      </c>
      <c r="B64" s="3">
        <v>44446</v>
      </c>
      <c r="C64" t="s">
        <v>473</v>
      </c>
      <c r="D64">
        <v>2021</v>
      </c>
      <c r="E64" s="14">
        <v>44440</v>
      </c>
      <c r="F64" t="s">
        <v>170</v>
      </c>
      <c r="G64" t="s">
        <v>757</v>
      </c>
      <c r="H64" t="s">
        <v>171</v>
      </c>
      <c r="I64">
        <v>276010</v>
      </c>
      <c r="J64">
        <v>443165</v>
      </c>
      <c r="K64">
        <v>0.62280000000000002</v>
      </c>
      <c r="L64">
        <v>1.6056121155030614</v>
      </c>
      <c r="M64" t="s">
        <v>13</v>
      </c>
      <c r="N64" t="s">
        <v>446</v>
      </c>
    </row>
    <row r="65" spans="1:14" x14ac:dyDescent="0.35">
      <c r="A65">
        <v>20360</v>
      </c>
      <c r="B65" s="3">
        <v>44218</v>
      </c>
      <c r="C65" t="s">
        <v>464</v>
      </c>
      <c r="D65">
        <v>2021</v>
      </c>
      <c r="E65" s="14">
        <v>44197</v>
      </c>
      <c r="F65" t="s">
        <v>98</v>
      </c>
      <c r="G65" t="s">
        <v>770</v>
      </c>
      <c r="H65" t="s">
        <v>99</v>
      </c>
      <c r="I65">
        <v>173670</v>
      </c>
      <c r="J65">
        <v>439900</v>
      </c>
      <c r="K65">
        <v>0.3947</v>
      </c>
      <c r="L65">
        <v>2.5329648183336211</v>
      </c>
      <c r="M65" t="s">
        <v>10</v>
      </c>
      <c r="N65" t="s">
        <v>445</v>
      </c>
    </row>
    <row r="66" spans="1:14" hidden="1" x14ac:dyDescent="0.35">
      <c r="A66">
        <v>200552</v>
      </c>
      <c r="B66" s="3">
        <v>44462</v>
      </c>
      <c r="C66" t="s">
        <v>473</v>
      </c>
      <c r="D66">
        <v>2021</v>
      </c>
      <c r="E66" s="14">
        <v>44440</v>
      </c>
      <c r="F66" t="s">
        <v>180</v>
      </c>
      <c r="G66" t="s">
        <v>762</v>
      </c>
      <c r="H66" t="s">
        <v>237</v>
      </c>
      <c r="I66">
        <v>213100</v>
      </c>
      <c r="J66">
        <v>435000</v>
      </c>
      <c r="K66">
        <v>0.48980000000000001</v>
      </c>
      <c r="L66">
        <v>2.0412951665884562</v>
      </c>
      <c r="M66" t="s">
        <v>13</v>
      </c>
      <c r="N66" t="s">
        <v>445</v>
      </c>
    </row>
    <row r="67" spans="1:14" hidden="1" x14ac:dyDescent="0.35">
      <c r="A67">
        <v>20002</v>
      </c>
      <c r="B67" s="3">
        <v>44106</v>
      </c>
      <c r="C67" t="s">
        <v>469</v>
      </c>
      <c r="D67">
        <v>2020</v>
      </c>
      <c r="E67" s="14">
        <v>44105</v>
      </c>
      <c r="F67" t="s">
        <v>11</v>
      </c>
      <c r="G67" t="s">
        <v>761</v>
      </c>
      <c r="H67" t="s">
        <v>12</v>
      </c>
      <c r="I67">
        <v>253000</v>
      </c>
      <c r="J67">
        <v>430000</v>
      </c>
      <c r="K67">
        <v>0.58830000000000005</v>
      </c>
      <c r="L67">
        <v>1.6996047430830039</v>
      </c>
      <c r="M67" t="s">
        <v>13</v>
      </c>
      <c r="N67" t="s">
        <v>446</v>
      </c>
    </row>
    <row r="68" spans="1:14" hidden="1" x14ac:dyDescent="0.35">
      <c r="A68">
        <v>200125</v>
      </c>
      <c r="B68" s="3">
        <v>44286</v>
      </c>
      <c r="C68" t="s">
        <v>471</v>
      </c>
      <c r="D68">
        <v>2021</v>
      </c>
      <c r="E68" s="14">
        <v>44256</v>
      </c>
      <c r="F68" t="s">
        <v>77</v>
      </c>
      <c r="G68" t="s">
        <v>760</v>
      </c>
      <c r="H68" t="s">
        <v>78</v>
      </c>
      <c r="I68">
        <v>220500</v>
      </c>
      <c r="J68">
        <v>425000</v>
      </c>
      <c r="K68">
        <v>0.51880000000000004</v>
      </c>
      <c r="L68">
        <v>1.9274376417233561</v>
      </c>
      <c r="M68" t="s">
        <v>13</v>
      </c>
      <c r="N68" t="s">
        <v>446</v>
      </c>
    </row>
    <row r="69" spans="1:14" hidden="1" x14ac:dyDescent="0.35">
      <c r="A69">
        <v>200236</v>
      </c>
      <c r="B69" s="3">
        <v>44273</v>
      </c>
      <c r="C69" t="s">
        <v>471</v>
      </c>
      <c r="D69">
        <v>2021</v>
      </c>
      <c r="E69" s="14">
        <v>44256</v>
      </c>
      <c r="F69" t="s">
        <v>69</v>
      </c>
      <c r="G69" t="s">
        <v>760</v>
      </c>
      <c r="H69" t="s">
        <v>70</v>
      </c>
      <c r="I69">
        <v>238140</v>
      </c>
      <c r="J69">
        <v>421000</v>
      </c>
      <c r="K69">
        <v>0.56559999999999999</v>
      </c>
      <c r="L69">
        <v>1.7678676408835139</v>
      </c>
      <c r="M69" t="s">
        <v>13</v>
      </c>
      <c r="N69" t="s">
        <v>446</v>
      </c>
    </row>
    <row r="70" spans="1:14" hidden="1" x14ac:dyDescent="0.35">
      <c r="A70">
        <v>200599</v>
      </c>
      <c r="B70" s="3">
        <v>44379</v>
      </c>
      <c r="C70" t="s">
        <v>458</v>
      </c>
      <c r="D70">
        <v>2021</v>
      </c>
      <c r="E70" s="14">
        <v>44378</v>
      </c>
      <c r="F70" t="s">
        <v>252</v>
      </c>
      <c r="G70" t="s">
        <v>763</v>
      </c>
      <c r="H70" t="s">
        <v>254</v>
      </c>
      <c r="I70">
        <v>237440</v>
      </c>
      <c r="J70">
        <v>420000</v>
      </c>
      <c r="K70">
        <v>0.56530000000000002</v>
      </c>
      <c r="L70">
        <v>1.7688679245283019</v>
      </c>
      <c r="M70" t="s">
        <v>13</v>
      </c>
      <c r="N70" t="s">
        <v>446</v>
      </c>
    </row>
    <row r="71" spans="1:14" hidden="1" x14ac:dyDescent="0.35">
      <c r="A71">
        <v>200078</v>
      </c>
      <c r="B71" s="3">
        <v>44459</v>
      </c>
      <c r="C71" t="s">
        <v>473</v>
      </c>
      <c r="D71">
        <v>2021</v>
      </c>
      <c r="E71" s="14">
        <v>44440</v>
      </c>
      <c r="F71" t="s">
        <v>46</v>
      </c>
      <c r="G71" t="s">
        <v>755</v>
      </c>
      <c r="H71" t="s">
        <v>47</v>
      </c>
      <c r="I71">
        <v>250100</v>
      </c>
      <c r="J71">
        <v>418800</v>
      </c>
      <c r="K71">
        <v>0.59709999999999996</v>
      </c>
      <c r="L71">
        <v>1.67453018792483</v>
      </c>
      <c r="M71" t="s">
        <v>13</v>
      </c>
      <c r="N71" t="s">
        <v>446</v>
      </c>
    </row>
    <row r="72" spans="1:14" hidden="1" x14ac:dyDescent="0.35">
      <c r="A72">
        <v>200305</v>
      </c>
      <c r="B72" s="3">
        <v>44222</v>
      </c>
      <c r="C72" t="s">
        <v>464</v>
      </c>
      <c r="D72">
        <v>2021</v>
      </c>
      <c r="E72" s="14">
        <v>44197</v>
      </c>
      <c r="F72" t="s">
        <v>73</v>
      </c>
      <c r="G72" t="s">
        <v>760</v>
      </c>
      <c r="H72" t="s">
        <v>419</v>
      </c>
      <c r="I72">
        <v>233660</v>
      </c>
      <c r="J72">
        <v>410000</v>
      </c>
      <c r="K72">
        <v>0.56989999999999996</v>
      </c>
      <c r="L72">
        <v>1.7546862963279979</v>
      </c>
      <c r="M72" t="s">
        <v>13</v>
      </c>
      <c r="N72" t="s">
        <v>446</v>
      </c>
    </row>
    <row r="73" spans="1:14" hidden="1" x14ac:dyDescent="0.35">
      <c r="A73">
        <v>2001493</v>
      </c>
      <c r="B73" s="3">
        <v>44319</v>
      </c>
      <c r="C73" t="s">
        <v>456</v>
      </c>
      <c r="D73">
        <v>2021</v>
      </c>
      <c r="E73" s="14">
        <v>44317</v>
      </c>
      <c r="F73" t="s">
        <v>181</v>
      </c>
      <c r="G73" t="s">
        <v>762</v>
      </c>
      <c r="H73" t="s">
        <v>226</v>
      </c>
      <c r="I73">
        <v>238890</v>
      </c>
      <c r="J73">
        <v>400000</v>
      </c>
      <c r="K73">
        <v>0.59719999999999995</v>
      </c>
      <c r="L73">
        <v>1.6744108166938758</v>
      </c>
      <c r="M73" t="s">
        <v>13</v>
      </c>
      <c r="N73" t="s">
        <v>446</v>
      </c>
    </row>
    <row r="74" spans="1:14" x14ac:dyDescent="0.35">
      <c r="A74">
        <v>201057</v>
      </c>
      <c r="B74" s="3">
        <v>44420</v>
      </c>
      <c r="C74" t="s">
        <v>462</v>
      </c>
      <c r="D74">
        <v>2021</v>
      </c>
      <c r="E74" s="14">
        <v>44409</v>
      </c>
      <c r="F74" t="s">
        <v>146</v>
      </c>
      <c r="G74" t="s">
        <v>757</v>
      </c>
      <c r="H74" t="s">
        <v>149</v>
      </c>
      <c r="I74">
        <v>264390</v>
      </c>
      <c r="J74">
        <v>400000</v>
      </c>
      <c r="K74">
        <v>0.66090000000000004</v>
      </c>
      <c r="L74">
        <v>1.5129165248307426</v>
      </c>
      <c r="M74" t="s">
        <v>10</v>
      </c>
      <c r="N74" t="s">
        <v>446</v>
      </c>
    </row>
    <row r="75" spans="1:14" hidden="1" x14ac:dyDescent="0.35">
      <c r="A75">
        <v>20200824</v>
      </c>
      <c r="B75" s="3">
        <v>44319</v>
      </c>
      <c r="C75" t="s">
        <v>456</v>
      </c>
      <c r="D75">
        <v>2021</v>
      </c>
      <c r="E75" s="14">
        <v>44317</v>
      </c>
      <c r="F75" t="s">
        <v>129</v>
      </c>
      <c r="G75" t="s">
        <v>762</v>
      </c>
      <c r="H75" t="s">
        <v>239</v>
      </c>
      <c r="I75">
        <v>193340</v>
      </c>
      <c r="J75">
        <v>395000</v>
      </c>
      <c r="K75">
        <v>0.4894</v>
      </c>
      <c r="L75">
        <v>2.0430329988621083</v>
      </c>
      <c r="M75" t="s">
        <v>13</v>
      </c>
      <c r="N75" t="s">
        <v>445</v>
      </c>
    </row>
    <row r="76" spans="1:14" hidden="1" x14ac:dyDescent="0.35">
      <c r="A76">
        <v>200035</v>
      </c>
      <c r="B76" s="3">
        <v>44133</v>
      </c>
      <c r="C76" t="s">
        <v>469</v>
      </c>
      <c r="D76">
        <v>2020</v>
      </c>
      <c r="E76" s="14">
        <v>44105</v>
      </c>
      <c r="F76" t="s">
        <v>48</v>
      </c>
      <c r="G76" t="s">
        <v>755</v>
      </c>
      <c r="H76" t="s">
        <v>49</v>
      </c>
      <c r="I76">
        <v>223900</v>
      </c>
      <c r="J76">
        <v>392000</v>
      </c>
      <c r="K76">
        <v>0.57110000000000005</v>
      </c>
      <c r="L76">
        <v>1.7507815989280928</v>
      </c>
      <c r="M76" t="s">
        <v>13</v>
      </c>
      <c r="N76" t="s">
        <v>446</v>
      </c>
    </row>
    <row r="77" spans="1:14" hidden="1" x14ac:dyDescent="0.35">
      <c r="A77">
        <v>200510</v>
      </c>
      <c r="B77" s="3">
        <v>44454</v>
      </c>
      <c r="C77" t="s">
        <v>473</v>
      </c>
      <c r="D77">
        <v>2021</v>
      </c>
      <c r="E77" s="14">
        <v>44440</v>
      </c>
      <c r="F77" t="s">
        <v>69</v>
      </c>
      <c r="G77" t="s">
        <v>760</v>
      </c>
      <c r="H77" t="s">
        <v>72</v>
      </c>
      <c r="I77">
        <v>212100</v>
      </c>
      <c r="J77">
        <v>390500</v>
      </c>
      <c r="K77">
        <v>0.54310000000000003</v>
      </c>
      <c r="L77">
        <v>1.8411126826968411</v>
      </c>
      <c r="M77" t="s">
        <v>13</v>
      </c>
      <c r="N77" t="s">
        <v>446</v>
      </c>
    </row>
    <row r="78" spans="1:14" x14ac:dyDescent="0.35">
      <c r="A78">
        <v>200074</v>
      </c>
      <c r="B78" s="3">
        <v>44440</v>
      </c>
      <c r="C78" t="s">
        <v>473</v>
      </c>
      <c r="D78">
        <v>2021</v>
      </c>
      <c r="E78" s="14">
        <v>44440</v>
      </c>
      <c r="F78" t="s">
        <v>50</v>
      </c>
      <c r="G78" t="s">
        <v>755</v>
      </c>
      <c r="H78" t="s">
        <v>51</v>
      </c>
      <c r="I78">
        <v>246100</v>
      </c>
      <c r="J78">
        <v>385000</v>
      </c>
      <c r="K78">
        <v>0.63919999999999999</v>
      </c>
      <c r="L78">
        <v>1.564404713531085</v>
      </c>
      <c r="M78" t="s">
        <v>10</v>
      </c>
      <c r="N78" t="s">
        <v>446</v>
      </c>
    </row>
    <row r="79" spans="1:14" hidden="1" x14ac:dyDescent="0.35">
      <c r="A79">
        <v>200014</v>
      </c>
      <c r="B79" s="3">
        <v>44117</v>
      </c>
      <c r="C79" t="s">
        <v>469</v>
      </c>
      <c r="D79">
        <v>2020</v>
      </c>
      <c r="E79" s="14">
        <v>44105</v>
      </c>
      <c r="F79" t="s">
        <v>271</v>
      </c>
      <c r="G79" t="s">
        <v>759</v>
      </c>
      <c r="H79" t="s">
        <v>273</v>
      </c>
      <c r="I79">
        <v>245790</v>
      </c>
      <c r="J79">
        <v>382000</v>
      </c>
      <c r="K79">
        <v>0.64339999999999997</v>
      </c>
      <c r="L79">
        <v>1.554172260873103</v>
      </c>
      <c r="M79" t="s">
        <v>13</v>
      </c>
      <c r="N79" t="s">
        <v>446</v>
      </c>
    </row>
    <row r="80" spans="1:14" x14ac:dyDescent="0.35">
      <c r="A80">
        <v>200245</v>
      </c>
      <c r="B80" s="3">
        <v>44202</v>
      </c>
      <c r="C80" t="s">
        <v>464</v>
      </c>
      <c r="D80">
        <v>2021</v>
      </c>
      <c r="E80" s="14">
        <v>44197</v>
      </c>
      <c r="F80" t="s">
        <v>206</v>
      </c>
      <c r="G80" t="s">
        <v>762</v>
      </c>
      <c r="H80" t="s">
        <v>208</v>
      </c>
      <c r="I80">
        <v>310660</v>
      </c>
      <c r="J80">
        <v>375000</v>
      </c>
      <c r="K80">
        <v>0.82840000000000003</v>
      </c>
      <c r="L80">
        <v>1.2071074486576965</v>
      </c>
      <c r="M80" t="s">
        <v>10</v>
      </c>
      <c r="N80" t="s">
        <v>446</v>
      </c>
    </row>
    <row r="81" spans="1:14" hidden="1" x14ac:dyDescent="0.35">
      <c r="A81">
        <v>200081</v>
      </c>
      <c r="B81" s="3">
        <v>44144</v>
      </c>
      <c r="C81" t="s">
        <v>475</v>
      </c>
      <c r="D81">
        <v>2020</v>
      </c>
      <c r="E81" s="14">
        <v>44136</v>
      </c>
      <c r="F81" t="s">
        <v>210</v>
      </c>
      <c r="G81" t="s">
        <v>762</v>
      </c>
      <c r="H81" t="s">
        <v>214</v>
      </c>
      <c r="I81">
        <v>270440</v>
      </c>
      <c r="J81">
        <v>372000</v>
      </c>
      <c r="K81">
        <v>0.72689999999999999</v>
      </c>
      <c r="L81">
        <v>1.3755361632894543</v>
      </c>
      <c r="M81" t="s">
        <v>13</v>
      </c>
      <c r="N81" t="s">
        <v>446</v>
      </c>
    </row>
    <row r="82" spans="1:14" hidden="1" x14ac:dyDescent="0.35">
      <c r="A82">
        <v>200011</v>
      </c>
      <c r="B82" s="3">
        <v>44117</v>
      </c>
      <c r="C82" t="s">
        <v>469</v>
      </c>
      <c r="D82">
        <v>2020</v>
      </c>
      <c r="E82" s="14">
        <v>44105</v>
      </c>
      <c r="F82" t="s">
        <v>252</v>
      </c>
      <c r="G82" t="s">
        <v>763</v>
      </c>
      <c r="H82" t="s">
        <v>256</v>
      </c>
      <c r="I82">
        <v>183190</v>
      </c>
      <c r="J82">
        <v>370000</v>
      </c>
      <c r="K82">
        <v>0.49509999999999998</v>
      </c>
      <c r="L82">
        <v>2.0197609039794751</v>
      </c>
      <c r="M82" t="s">
        <v>13</v>
      </c>
      <c r="N82" t="s">
        <v>445</v>
      </c>
    </row>
    <row r="83" spans="1:14" hidden="1" x14ac:dyDescent="0.35">
      <c r="A83">
        <v>200233</v>
      </c>
      <c r="B83" s="3">
        <v>44196</v>
      </c>
      <c r="C83" t="s">
        <v>450</v>
      </c>
      <c r="D83">
        <v>2020</v>
      </c>
      <c r="E83" s="14">
        <v>44166</v>
      </c>
      <c r="F83" t="s">
        <v>252</v>
      </c>
      <c r="G83" t="s">
        <v>763</v>
      </c>
      <c r="H83" t="s">
        <v>257</v>
      </c>
      <c r="I83">
        <v>202160</v>
      </c>
      <c r="J83">
        <v>365000</v>
      </c>
      <c r="K83">
        <v>0.55379999999999996</v>
      </c>
      <c r="L83">
        <v>1.8055005935892363</v>
      </c>
      <c r="M83" t="s">
        <v>13</v>
      </c>
      <c r="N83" t="s">
        <v>446</v>
      </c>
    </row>
    <row r="84" spans="1:14" hidden="1" x14ac:dyDescent="0.35">
      <c r="A84">
        <v>2000230</v>
      </c>
      <c r="B84" s="3">
        <v>44271</v>
      </c>
      <c r="C84" t="s">
        <v>471</v>
      </c>
      <c r="D84">
        <v>2021</v>
      </c>
      <c r="E84" s="14">
        <v>44256</v>
      </c>
      <c r="F84" t="s">
        <v>43</v>
      </c>
      <c r="G84" t="s">
        <v>755</v>
      </c>
      <c r="H84" t="s">
        <v>44</v>
      </c>
      <c r="I84">
        <v>210940</v>
      </c>
      <c r="J84">
        <v>365000</v>
      </c>
      <c r="K84">
        <v>0.57789999999999997</v>
      </c>
      <c r="L84">
        <v>1.7303498625201479</v>
      </c>
      <c r="M84" t="s">
        <v>13</v>
      </c>
      <c r="N84" t="s">
        <v>446</v>
      </c>
    </row>
    <row r="85" spans="1:14" hidden="1" x14ac:dyDescent="0.35">
      <c r="A85">
        <v>201129</v>
      </c>
      <c r="B85" s="3">
        <v>44427</v>
      </c>
      <c r="C85" t="s">
        <v>462</v>
      </c>
      <c r="D85">
        <v>2021</v>
      </c>
      <c r="E85" s="14">
        <v>44409</v>
      </c>
      <c r="F85" t="s">
        <v>98</v>
      </c>
      <c r="G85" t="s">
        <v>770</v>
      </c>
      <c r="H85" t="s">
        <v>105</v>
      </c>
      <c r="I85">
        <v>114954</v>
      </c>
      <c r="J85">
        <v>360000</v>
      </c>
      <c r="K85">
        <v>0.31929999999999997</v>
      </c>
      <c r="L85">
        <v>3.1316874575917324</v>
      </c>
      <c r="M85" t="s">
        <v>13</v>
      </c>
      <c r="N85" t="s">
        <v>445</v>
      </c>
    </row>
    <row r="86" spans="1:14" hidden="1" x14ac:dyDescent="0.35">
      <c r="A86">
        <v>20293</v>
      </c>
      <c r="B86" s="3">
        <v>44354</v>
      </c>
      <c r="C86" t="s">
        <v>454</v>
      </c>
      <c r="D86">
        <v>2021</v>
      </c>
      <c r="E86" s="14">
        <v>44348</v>
      </c>
      <c r="F86" t="s">
        <v>184</v>
      </c>
      <c r="G86" t="s">
        <v>764</v>
      </c>
      <c r="H86" t="s">
        <v>186</v>
      </c>
      <c r="I86">
        <v>193560</v>
      </c>
      <c r="J86">
        <v>360000</v>
      </c>
      <c r="K86">
        <v>0.53759999999999997</v>
      </c>
      <c r="L86">
        <v>1.8598884066955983</v>
      </c>
      <c r="M86" t="s">
        <v>13</v>
      </c>
      <c r="N86" t="s">
        <v>446</v>
      </c>
    </row>
    <row r="87" spans="1:14" hidden="1" x14ac:dyDescent="0.35">
      <c r="A87">
        <v>200125</v>
      </c>
      <c r="B87" s="3">
        <v>44446</v>
      </c>
      <c r="C87" t="s">
        <v>473</v>
      </c>
      <c r="D87">
        <v>2021</v>
      </c>
      <c r="E87" s="14">
        <v>44440</v>
      </c>
      <c r="F87" t="s">
        <v>106</v>
      </c>
      <c r="G87" t="s">
        <v>770</v>
      </c>
      <c r="H87" t="s">
        <v>107</v>
      </c>
      <c r="I87">
        <v>194790</v>
      </c>
      <c r="J87">
        <v>360000</v>
      </c>
      <c r="K87">
        <v>0.54100000000000004</v>
      </c>
      <c r="L87">
        <v>1.8481441552441091</v>
      </c>
      <c r="M87" t="s">
        <v>13</v>
      </c>
      <c r="N87" t="s">
        <v>446</v>
      </c>
    </row>
    <row r="88" spans="1:14" hidden="1" x14ac:dyDescent="0.35">
      <c r="A88">
        <v>200652</v>
      </c>
      <c r="B88" s="3">
        <v>44376</v>
      </c>
      <c r="C88" t="s">
        <v>454</v>
      </c>
      <c r="D88">
        <v>2021</v>
      </c>
      <c r="E88" s="14">
        <v>44348</v>
      </c>
      <c r="F88" t="s">
        <v>73</v>
      </c>
      <c r="G88" t="s">
        <v>760</v>
      </c>
      <c r="H88" t="s">
        <v>75</v>
      </c>
      <c r="I88">
        <v>203470</v>
      </c>
      <c r="J88">
        <v>360000</v>
      </c>
      <c r="K88">
        <v>0.56510000000000005</v>
      </c>
      <c r="L88">
        <v>1.7693025998918759</v>
      </c>
      <c r="M88" t="s">
        <v>13</v>
      </c>
      <c r="N88" t="s">
        <v>446</v>
      </c>
    </row>
    <row r="89" spans="1:14" hidden="1" x14ac:dyDescent="0.35">
      <c r="A89">
        <v>2002299</v>
      </c>
      <c r="B89" s="3">
        <v>44412</v>
      </c>
      <c r="C89" t="s">
        <v>462</v>
      </c>
      <c r="D89">
        <v>2021</v>
      </c>
      <c r="E89" s="14">
        <v>44409</v>
      </c>
      <c r="F89" t="s">
        <v>181</v>
      </c>
      <c r="G89" t="s">
        <v>762</v>
      </c>
      <c r="H89" t="s">
        <v>234</v>
      </c>
      <c r="I89">
        <v>169050</v>
      </c>
      <c r="J89">
        <v>355000</v>
      </c>
      <c r="K89">
        <v>0.47610000000000002</v>
      </c>
      <c r="L89">
        <v>2.0999704229517895</v>
      </c>
      <c r="M89" t="s">
        <v>13</v>
      </c>
      <c r="N89" t="s">
        <v>445</v>
      </c>
    </row>
    <row r="90" spans="1:14" hidden="1" x14ac:dyDescent="0.35">
      <c r="A90">
        <v>202876</v>
      </c>
      <c r="B90" s="3">
        <v>44426</v>
      </c>
      <c r="C90" t="s">
        <v>462</v>
      </c>
      <c r="D90">
        <v>2021</v>
      </c>
      <c r="E90" s="14">
        <v>44409</v>
      </c>
      <c r="F90" t="s">
        <v>122</v>
      </c>
      <c r="G90" t="s">
        <v>757</v>
      </c>
      <c r="H90" t="s">
        <v>175</v>
      </c>
      <c r="I90">
        <v>256270</v>
      </c>
      <c r="J90">
        <v>355000</v>
      </c>
      <c r="K90">
        <v>0.7218</v>
      </c>
      <c r="L90">
        <v>1.3852577359815819</v>
      </c>
      <c r="M90" t="s">
        <v>13</v>
      </c>
      <c r="N90" t="s">
        <v>446</v>
      </c>
    </row>
    <row r="91" spans="1:14" hidden="1" x14ac:dyDescent="0.35">
      <c r="A91">
        <v>200086</v>
      </c>
      <c r="B91" s="3">
        <v>44418</v>
      </c>
      <c r="C91" t="s">
        <v>462</v>
      </c>
      <c r="D91">
        <v>2021</v>
      </c>
      <c r="E91" s="14">
        <v>44409</v>
      </c>
      <c r="F91" t="s">
        <v>25</v>
      </c>
      <c r="G91" t="s">
        <v>766</v>
      </c>
      <c r="H91" t="s">
        <v>26</v>
      </c>
      <c r="I91">
        <v>168900</v>
      </c>
      <c r="J91">
        <v>352000</v>
      </c>
      <c r="K91">
        <v>0.4798</v>
      </c>
      <c r="L91">
        <v>2.0840734162226169</v>
      </c>
      <c r="M91" t="s">
        <v>13</v>
      </c>
      <c r="N91" t="s">
        <v>445</v>
      </c>
    </row>
    <row r="92" spans="1:14" x14ac:dyDescent="0.35">
      <c r="A92">
        <v>200656</v>
      </c>
      <c r="B92" s="3">
        <v>44316</v>
      </c>
      <c r="C92" t="s">
        <v>452</v>
      </c>
      <c r="D92">
        <v>2021</v>
      </c>
      <c r="E92" s="14">
        <v>44287</v>
      </c>
      <c r="F92" t="s">
        <v>133</v>
      </c>
      <c r="G92" t="s">
        <v>757</v>
      </c>
      <c r="H92" t="s">
        <v>179</v>
      </c>
      <c r="I92">
        <v>262300</v>
      </c>
      <c r="J92">
        <v>352000</v>
      </c>
      <c r="K92">
        <v>0.74509999999999998</v>
      </c>
      <c r="L92">
        <v>1.341974837971788</v>
      </c>
      <c r="M92" t="s">
        <v>10</v>
      </c>
      <c r="N92" t="s">
        <v>446</v>
      </c>
    </row>
    <row r="93" spans="1:14" hidden="1" x14ac:dyDescent="0.35">
      <c r="A93">
        <v>200210</v>
      </c>
      <c r="B93" s="3">
        <v>44389</v>
      </c>
      <c r="C93" t="s">
        <v>458</v>
      </c>
      <c r="D93">
        <v>2021</v>
      </c>
      <c r="E93" s="14">
        <v>44378</v>
      </c>
      <c r="F93" t="s">
        <v>123</v>
      </c>
      <c r="G93" t="s">
        <v>765</v>
      </c>
      <c r="H93" t="s">
        <v>124</v>
      </c>
      <c r="I93">
        <v>169400</v>
      </c>
      <c r="J93">
        <v>345000</v>
      </c>
      <c r="K93">
        <v>0.49099999999999999</v>
      </c>
      <c r="L93">
        <v>2.0365997638724913</v>
      </c>
      <c r="M93" t="s">
        <v>13</v>
      </c>
      <c r="N93" t="s">
        <v>445</v>
      </c>
    </row>
    <row r="94" spans="1:14" hidden="1" x14ac:dyDescent="0.35">
      <c r="A94">
        <v>2000212</v>
      </c>
      <c r="B94" s="3">
        <v>44132</v>
      </c>
      <c r="C94" t="s">
        <v>469</v>
      </c>
      <c r="D94">
        <v>2020</v>
      </c>
      <c r="E94" s="14">
        <v>44105</v>
      </c>
      <c r="F94" t="s">
        <v>181</v>
      </c>
      <c r="G94" t="s">
        <v>762</v>
      </c>
      <c r="H94" t="s">
        <v>231</v>
      </c>
      <c r="I94">
        <v>199330</v>
      </c>
      <c r="J94">
        <v>342500</v>
      </c>
      <c r="K94">
        <v>0.58189999999999997</v>
      </c>
      <c r="L94">
        <v>1.7182561581297346</v>
      </c>
      <c r="M94" t="s">
        <v>13</v>
      </c>
      <c r="N94" t="s">
        <v>446</v>
      </c>
    </row>
    <row r="95" spans="1:14" hidden="1" x14ac:dyDescent="0.35">
      <c r="A95">
        <v>200149</v>
      </c>
      <c r="B95" s="3">
        <v>44389</v>
      </c>
      <c r="C95" t="s">
        <v>458</v>
      </c>
      <c r="D95">
        <v>2021</v>
      </c>
      <c r="E95" s="14">
        <v>44378</v>
      </c>
      <c r="F95" t="s">
        <v>244</v>
      </c>
      <c r="G95" t="s">
        <v>763</v>
      </c>
      <c r="H95" t="s">
        <v>245</v>
      </c>
      <c r="I95">
        <v>204000</v>
      </c>
      <c r="J95">
        <v>337500</v>
      </c>
      <c r="K95">
        <v>0.60440000000000005</v>
      </c>
      <c r="L95">
        <v>1.6544117647058822</v>
      </c>
      <c r="M95" t="s">
        <v>13</v>
      </c>
      <c r="N95" t="s">
        <v>446</v>
      </c>
    </row>
    <row r="96" spans="1:14" hidden="1" x14ac:dyDescent="0.35">
      <c r="A96">
        <v>20139</v>
      </c>
      <c r="B96" s="3">
        <v>44181</v>
      </c>
      <c r="C96" t="s">
        <v>450</v>
      </c>
      <c r="D96">
        <v>2020</v>
      </c>
      <c r="E96" s="14">
        <v>44166</v>
      </c>
      <c r="F96" t="s">
        <v>23</v>
      </c>
      <c r="G96" t="s">
        <v>766</v>
      </c>
      <c r="H96" t="s">
        <v>24</v>
      </c>
      <c r="I96">
        <v>171360</v>
      </c>
      <c r="J96">
        <v>335000</v>
      </c>
      <c r="K96">
        <v>0.51149999999999995</v>
      </c>
      <c r="L96">
        <v>1.9549486461251167</v>
      </c>
      <c r="M96" t="s">
        <v>13</v>
      </c>
      <c r="N96" t="s">
        <v>446</v>
      </c>
    </row>
    <row r="97" spans="1:14" hidden="1" x14ac:dyDescent="0.35">
      <c r="A97">
        <v>200522</v>
      </c>
      <c r="B97" s="3">
        <v>44259</v>
      </c>
      <c r="C97" t="s">
        <v>471</v>
      </c>
      <c r="D97">
        <v>2021</v>
      </c>
      <c r="E97" s="14">
        <v>44256</v>
      </c>
      <c r="F97" t="s">
        <v>133</v>
      </c>
      <c r="G97" t="s">
        <v>757</v>
      </c>
      <c r="H97" t="s">
        <v>178</v>
      </c>
      <c r="I97">
        <v>174400</v>
      </c>
      <c r="J97">
        <v>335000</v>
      </c>
      <c r="K97">
        <v>0.52049999999999996</v>
      </c>
      <c r="L97">
        <v>1.9208715596330275</v>
      </c>
      <c r="M97" t="s">
        <v>13</v>
      </c>
      <c r="N97" t="s">
        <v>446</v>
      </c>
    </row>
    <row r="98" spans="1:14" hidden="1" x14ac:dyDescent="0.35">
      <c r="A98">
        <v>200289</v>
      </c>
      <c r="B98" s="3">
        <v>44158</v>
      </c>
      <c r="C98" t="s">
        <v>475</v>
      </c>
      <c r="D98">
        <v>2020</v>
      </c>
      <c r="E98" s="14">
        <v>44136</v>
      </c>
      <c r="F98" t="s">
        <v>122</v>
      </c>
      <c r="G98" t="s">
        <v>757</v>
      </c>
      <c r="H98" t="s">
        <v>176</v>
      </c>
      <c r="I98">
        <v>173040</v>
      </c>
      <c r="J98">
        <v>330000</v>
      </c>
      <c r="K98">
        <v>0.52429999999999999</v>
      </c>
      <c r="L98">
        <v>1.9070735090152566</v>
      </c>
      <c r="M98" t="s">
        <v>13</v>
      </c>
      <c r="N98" t="s">
        <v>446</v>
      </c>
    </row>
    <row r="99" spans="1:14" hidden="1" x14ac:dyDescent="0.35">
      <c r="A99">
        <v>200494</v>
      </c>
      <c r="B99" s="3">
        <v>44246</v>
      </c>
      <c r="C99" t="s">
        <v>460</v>
      </c>
      <c r="D99">
        <v>2021</v>
      </c>
      <c r="E99" s="14">
        <v>44228</v>
      </c>
      <c r="F99" t="s">
        <v>192</v>
      </c>
      <c r="G99" t="s">
        <v>759</v>
      </c>
      <c r="H99" t="s">
        <v>275</v>
      </c>
      <c r="I99">
        <v>181720</v>
      </c>
      <c r="J99">
        <v>327900</v>
      </c>
      <c r="K99">
        <v>0.55410000000000004</v>
      </c>
      <c r="L99">
        <v>1.8044243891701519</v>
      </c>
      <c r="M99" t="s">
        <v>13</v>
      </c>
      <c r="N99" t="s">
        <v>446</v>
      </c>
    </row>
    <row r="100" spans="1:14" x14ac:dyDescent="0.35">
      <c r="A100">
        <v>2020348</v>
      </c>
      <c r="B100" s="3">
        <v>44452</v>
      </c>
      <c r="C100" t="s">
        <v>473</v>
      </c>
      <c r="D100">
        <v>2021</v>
      </c>
      <c r="E100" s="14">
        <v>44440</v>
      </c>
      <c r="F100" t="s">
        <v>8</v>
      </c>
      <c r="G100" t="s">
        <v>761</v>
      </c>
      <c r="H100" t="s">
        <v>9</v>
      </c>
      <c r="I100">
        <v>150500</v>
      </c>
      <c r="J100">
        <v>325000</v>
      </c>
      <c r="K100">
        <v>0.46300000000000002</v>
      </c>
      <c r="L100">
        <v>2.1594684385382061</v>
      </c>
      <c r="M100" t="s">
        <v>10</v>
      </c>
      <c r="N100" t="s">
        <v>445</v>
      </c>
    </row>
    <row r="101" spans="1:14" hidden="1" x14ac:dyDescent="0.35">
      <c r="A101">
        <v>201443</v>
      </c>
      <c r="B101" s="3">
        <v>44440</v>
      </c>
      <c r="C101" t="s">
        <v>473</v>
      </c>
      <c r="D101">
        <v>2021</v>
      </c>
      <c r="E101" s="14">
        <v>44440</v>
      </c>
      <c r="F101" t="s">
        <v>56</v>
      </c>
      <c r="G101" t="s">
        <v>758</v>
      </c>
      <c r="H101" t="s">
        <v>61</v>
      </c>
      <c r="I101">
        <v>158700</v>
      </c>
      <c r="J101">
        <v>325000</v>
      </c>
      <c r="K101">
        <v>0.48830000000000001</v>
      </c>
      <c r="L101">
        <v>2.0478890989287963</v>
      </c>
      <c r="M101" t="s">
        <v>13</v>
      </c>
      <c r="N101" t="s">
        <v>445</v>
      </c>
    </row>
    <row r="102" spans="1:14" hidden="1" x14ac:dyDescent="0.35">
      <c r="A102">
        <v>200175</v>
      </c>
      <c r="B102" s="3">
        <v>44133</v>
      </c>
      <c r="C102" t="s">
        <v>469</v>
      </c>
      <c r="D102">
        <v>2020</v>
      </c>
      <c r="E102" s="14">
        <v>44105</v>
      </c>
      <c r="F102" t="s">
        <v>108</v>
      </c>
      <c r="G102" t="s">
        <v>765</v>
      </c>
      <c r="H102" t="s">
        <v>134</v>
      </c>
      <c r="I102">
        <v>180950</v>
      </c>
      <c r="J102">
        <v>325000</v>
      </c>
      <c r="K102">
        <v>0.55669999999999997</v>
      </c>
      <c r="L102">
        <v>1.7960762641613706</v>
      </c>
      <c r="M102" t="s">
        <v>13</v>
      </c>
      <c r="N102" t="s">
        <v>446</v>
      </c>
    </row>
    <row r="103" spans="1:14" hidden="1" x14ac:dyDescent="0.35">
      <c r="A103">
        <v>2000448</v>
      </c>
      <c r="B103" s="3">
        <v>44364</v>
      </c>
      <c r="C103" t="s">
        <v>454</v>
      </c>
      <c r="D103">
        <v>2021</v>
      </c>
      <c r="E103" s="14">
        <v>44348</v>
      </c>
      <c r="F103" t="s">
        <v>277</v>
      </c>
      <c r="G103" t="s">
        <v>759</v>
      </c>
      <c r="H103" t="s">
        <v>278</v>
      </c>
      <c r="I103">
        <v>158870</v>
      </c>
      <c r="J103">
        <v>315000</v>
      </c>
      <c r="K103">
        <v>0.50429999999999997</v>
      </c>
      <c r="L103">
        <v>1.9827531944357022</v>
      </c>
      <c r="M103" t="s">
        <v>13</v>
      </c>
      <c r="N103" t="s">
        <v>446</v>
      </c>
    </row>
    <row r="104" spans="1:14" hidden="1" x14ac:dyDescent="0.35">
      <c r="A104">
        <v>20492</v>
      </c>
      <c r="B104" s="3">
        <v>44427</v>
      </c>
      <c r="C104" t="s">
        <v>462</v>
      </c>
      <c r="D104">
        <v>2021</v>
      </c>
      <c r="E104" s="14">
        <v>44409</v>
      </c>
      <c r="F104" t="s">
        <v>184</v>
      </c>
      <c r="G104" t="s">
        <v>764</v>
      </c>
      <c r="H104" t="s">
        <v>188</v>
      </c>
      <c r="I104">
        <v>142910</v>
      </c>
      <c r="J104">
        <v>310000</v>
      </c>
      <c r="K104">
        <v>0.46100000000000002</v>
      </c>
      <c r="L104">
        <v>2.1691973969631237</v>
      </c>
      <c r="M104" t="s">
        <v>13</v>
      </c>
      <c r="N104" t="s">
        <v>445</v>
      </c>
    </row>
    <row r="105" spans="1:14" hidden="1" x14ac:dyDescent="0.35">
      <c r="A105">
        <v>200700</v>
      </c>
      <c r="B105" s="3">
        <v>44390</v>
      </c>
      <c r="C105" t="s">
        <v>458</v>
      </c>
      <c r="D105">
        <v>2021</v>
      </c>
      <c r="E105" s="14">
        <v>44378</v>
      </c>
      <c r="F105" t="s">
        <v>73</v>
      </c>
      <c r="G105" t="s">
        <v>760</v>
      </c>
      <c r="H105" t="s">
        <v>420</v>
      </c>
      <c r="I105">
        <v>161590</v>
      </c>
      <c r="J105">
        <v>310000</v>
      </c>
      <c r="K105">
        <v>0.5212</v>
      </c>
      <c r="L105">
        <v>1.9184355467541307</v>
      </c>
      <c r="M105" t="s">
        <v>13</v>
      </c>
      <c r="N105" t="s">
        <v>446</v>
      </c>
    </row>
    <row r="106" spans="1:14" hidden="1" x14ac:dyDescent="0.35">
      <c r="A106">
        <v>200038</v>
      </c>
      <c r="B106" s="3">
        <v>44113</v>
      </c>
      <c r="C106" t="s">
        <v>469</v>
      </c>
      <c r="D106">
        <v>2020</v>
      </c>
      <c r="E106" s="14">
        <v>44105</v>
      </c>
      <c r="F106" t="s">
        <v>125</v>
      </c>
      <c r="G106" t="s">
        <v>765</v>
      </c>
      <c r="H106" t="s">
        <v>132</v>
      </c>
      <c r="I106">
        <v>209440</v>
      </c>
      <c r="J106">
        <v>307000</v>
      </c>
      <c r="K106">
        <v>0.68220000000000003</v>
      </c>
      <c r="L106">
        <v>1.4658135981665394</v>
      </c>
      <c r="M106" t="s">
        <v>13</v>
      </c>
      <c r="N106" t="s">
        <v>446</v>
      </c>
    </row>
    <row r="107" spans="1:14" hidden="1" x14ac:dyDescent="0.35">
      <c r="A107">
        <v>200961</v>
      </c>
      <c r="B107" s="3">
        <v>44378</v>
      </c>
      <c r="C107" t="s">
        <v>458</v>
      </c>
      <c r="D107">
        <v>2021</v>
      </c>
      <c r="E107" s="14">
        <v>44378</v>
      </c>
      <c r="F107" t="s">
        <v>125</v>
      </c>
      <c r="G107" t="s">
        <v>765</v>
      </c>
      <c r="H107" t="s">
        <v>128</v>
      </c>
      <c r="I107">
        <v>130340</v>
      </c>
      <c r="J107">
        <v>305000</v>
      </c>
      <c r="K107">
        <v>0.42730000000000001</v>
      </c>
      <c r="L107">
        <v>2.340033757864048</v>
      </c>
      <c r="M107" t="s">
        <v>13</v>
      </c>
      <c r="N107" t="s">
        <v>445</v>
      </c>
    </row>
    <row r="108" spans="1:14" hidden="1" x14ac:dyDescent="0.35">
      <c r="A108">
        <v>200557</v>
      </c>
      <c r="B108" s="3">
        <v>44267</v>
      </c>
      <c r="C108" t="s">
        <v>471</v>
      </c>
      <c r="D108">
        <v>2021</v>
      </c>
      <c r="E108" s="14">
        <v>44256</v>
      </c>
      <c r="F108" t="s">
        <v>192</v>
      </c>
      <c r="G108" t="s">
        <v>759</v>
      </c>
      <c r="H108" t="s">
        <v>276</v>
      </c>
      <c r="I108">
        <v>166670</v>
      </c>
      <c r="J108">
        <v>305000</v>
      </c>
      <c r="K108">
        <v>0.5464</v>
      </c>
      <c r="L108">
        <v>1.8299634007319854</v>
      </c>
      <c r="M108" t="s">
        <v>13</v>
      </c>
      <c r="N108" t="s">
        <v>446</v>
      </c>
    </row>
    <row r="109" spans="1:14" hidden="1" x14ac:dyDescent="0.35">
      <c r="A109">
        <v>20014</v>
      </c>
      <c r="B109" s="3">
        <v>44110</v>
      </c>
      <c r="C109" t="s">
        <v>469</v>
      </c>
      <c r="D109">
        <v>2020</v>
      </c>
      <c r="E109" s="14">
        <v>44105</v>
      </c>
      <c r="F109" t="s">
        <v>136</v>
      </c>
      <c r="G109" t="s">
        <v>765</v>
      </c>
      <c r="H109" t="s">
        <v>137</v>
      </c>
      <c r="I109">
        <v>189100</v>
      </c>
      <c r="J109">
        <v>305000</v>
      </c>
      <c r="K109">
        <v>0.62</v>
      </c>
      <c r="L109">
        <v>1.6129032258064515</v>
      </c>
      <c r="M109" t="s">
        <v>13</v>
      </c>
      <c r="N109" t="s">
        <v>446</v>
      </c>
    </row>
    <row r="110" spans="1:14" hidden="1" x14ac:dyDescent="0.35">
      <c r="A110">
        <v>200376</v>
      </c>
      <c r="B110" s="3">
        <v>44200</v>
      </c>
      <c r="C110" t="s">
        <v>464</v>
      </c>
      <c r="D110">
        <v>2021</v>
      </c>
      <c r="E110" s="14">
        <v>44197</v>
      </c>
      <c r="F110" t="s">
        <v>192</v>
      </c>
      <c r="G110" t="s">
        <v>759</v>
      </c>
      <c r="H110" t="s">
        <v>274</v>
      </c>
      <c r="I110">
        <v>216580</v>
      </c>
      <c r="J110">
        <v>305000</v>
      </c>
      <c r="K110">
        <v>0.71</v>
      </c>
      <c r="L110">
        <v>1.4082556099362822</v>
      </c>
      <c r="M110" t="s">
        <v>13</v>
      </c>
      <c r="N110" t="s">
        <v>446</v>
      </c>
    </row>
    <row r="111" spans="1:14" hidden="1" x14ac:dyDescent="0.35">
      <c r="A111">
        <v>201078</v>
      </c>
      <c r="B111" s="3">
        <v>44186</v>
      </c>
      <c r="C111" t="s">
        <v>450</v>
      </c>
      <c r="D111">
        <v>2020</v>
      </c>
      <c r="E111" s="14">
        <v>44166</v>
      </c>
      <c r="F111" t="s">
        <v>90</v>
      </c>
      <c r="G111" t="s">
        <v>756</v>
      </c>
      <c r="H111" t="s">
        <v>91</v>
      </c>
      <c r="I111">
        <v>173040</v>
      </c>
      <c r="J111">
        <v>302000</v>
      </c>
      <c r="K111">
        <v>0.57289999999999996</v>
      </c>
      <c r="L111">
        <v>1.7452612112806287</v>
      </c>
      <c r="M111" t="s">
        <v>13</v>
      </c>
      <c r="N111" t="s">
        <v>446</v>
      </c>
    </row>
    <row r="112" spans="1:14" hidden="1" x14ac:dyDescent="0.35">
      <c r="A112">
        <v>200484</v>
      </c>
      <c r="B112" s="3">
        <v>44389</v>
      </c>
      <c r="C112" t="s">
        <v>458</v>
      </c>
      <c r="D112">
        <v>2021</v>
      </c>
      <c r="E112" s="14">
        <v>44378</v>
      </c>
      <c r="F112" t="s">
        <v>187</v>
      </c>
      <c r="G112" t="s">
        <v>771</v>
      </c>
      <c r="H112" t="s">
        <v>259</v>
      </c>
      <c r="I112">
        <v>126800</v>
      </c>
      <c r="J112">
        <v>300000</v>
      </c>
      <c r="K112">
        <v>0.42259999999999998</v>
      </c>
      <c r="L112">
        <v>2.3659305993690851</v>
      </c>
      <c r="M112" t="s">
        <v>13</v>
      </c>
      <c r="N112" t="s">
        <v>445</v>
      </c>
    </row>
    <row r="113" spans="1:14" hidden="1" x14ac:dyDescent="0.35">
      <c r="A113">
        <v>200354</v>
      </c>
      <c r="B113" s="3">
        <v>44194</v>
      </c>
      <c r="C113" t="s">
        <v>450</v>
      </c>
      <c r="D113">
        <v>2020</v>
      </c>
      <c r="E113" s="14">
        <v>44166</v>
      </c>
      <c r="F113" t="s">
        <v>32</v>
      </c>
      <c r="G113" t="s">
        <v>766</v>
      </c>
      <c r="H113" t="s">
        <v>34</v>
      </c>
      <c r="I113">
        <v>173740</v>
      </c>
      <c r="J113">
        <v>299000</v>
      </c>
      <c r="K113">
        <v>0.58099999999999996</v>
      </c>
      <c r="L113">
        <v>1.720962357545758</v>
      </c>
      <c r="M113" t="s">
        <v>13</v>
      </c>
      <c r="N113" t="s">
        <v>446</v>
      </c>
    </row>
    <row r="114" spans="1:14" hidden="1" x14ac:dyDescent="0.35">
      <c r="A114">
        <v>200046</v>
      </c>
      <c r="B114" s="3">
        <v>44179</v>
      </c>
      <c r="C114" t="s">
        <v>450</v>
      </c>
      <c r="D114">
        <v>2020</v>
      </c>
      <c r="E114" s="14">
        <v>44166</v>
      </c>
      <c r="F114" t="s">
        <v>244</v>
      </c>
      <c r="G114" t="s">
        <v>763</v>
      </c>
      <c r="H114" t="s">
        <v>246</v>
      </c>
      <c r="I114">
        <v>133210</v>
      </c>
      <c r="J114">
        <v>289900</v>
      </c>
      <c r="K114">
        <v>0.45950000000000002</v>
      </c>
      <c r="L114">
        <v>2.1762630433150663</v>
      </c>
      <c r="M114" t="s">
        <v>13</v>
      </c>
      <c r="N114" t="s">
        <v>445</v>
      </c>
    </row>
    <row r="115" spans="1:14" hidden="1" x14ac:dyDescent="0.35">
      <c r="A115">
        <v>20200070</v>
      </c>
      <c r="B115" s="3">
        <v>44294</v>
      </c>
      <c r="C115" t="s">
        <v>452</v>
      </c>
      <c r="D115">
        <v>2021</v>
      </c>
      <c r="E115" s="14">
        <v>44287</v>
      </c>
      <c r="F115" t="s">
        <v>135</v>
      </c>
      <c r="G115" t="s">
        <v>762</v>
      </c>
      <c r="H115" t="s">
        <v>204</v>
      </c>
      <c r="I115">
        <v>170200</v>
      </c>
      <c r="J115">
        <v>287000</v>
      </c>
      <c r="K115">
        <v>0.59299999999999997</v>
      </c>
      <c r="L115">
        <v>1.6862514688601644</v>
      </c>
      <c r="M115" t="s">
        <v>13</v>
      </c>
      <c r="N115" t="s">
        <v>446</v>
      </c>
    </row>
    <row r="116" spans="1:14" hidden="1" x14ac:dyDescent="0.35">
      <c r="A116">
        <v>200709</v>
      </c>
      <c r="B116" s="3">
        <v>44302</v>
      </c>
      <c r="C116" t="s">
        <v>452</v>
      </c>
      <c r="D116">
        <v>2021</v>
      </c>
      <c r="E116" s="14">
        <v>44287</v>
      </c>
      <c r="F116" t="s">
        <v>117</v>
      </c>
      <c r="G116" t="s">
        <v>765</v>
      </c>
      <c r="H116" t="s">
        <v>118</v>
      </c>
      <c r="I116">
        <v>138100</v>
      </c>
      <c r="J116">
        <v>282500</v>
      </c>
      <c r="K116">
        <v>0.48884955800000002</v>
      </c>
      <c r="L116">
        <v>2.0456191165821869</v>
      </c>
      <c r="M116" t="s">
        <v>13</v>
      </c>
      <c r="N116" t="s">
        <v>445</v>
      </c>
    </row>
    <row r="117" spans="1:14" hidden="1" x14ac:dyDescent="0.35">
      <c r="A117">
        <v>200117</v>
      </c>
      <c r="B117" s="3">
        <v>44298</v>
      </c>
      <c r="C117" t="s">
        <v>452</v>
      </c>
      <c r="D117">
        <v>2021</v>
      </c>
      <c r="E117" s="14">
        <v>44287</v>
      </c>
      <c r="F117" t="s">
        <v>41</v>
      </c>
      <c r="G117" t="s">
        <v>755</v>
      </c>
      <c r="H117" t="s">
        <v>42</v>
      </c>
      <c r="I117">
        <v>160850</v>
      </c>
      <c r="J117">
        <v>280000</v>
      </c>
      <c r="K117">
        <v>0.57440000000000002</v>
      </c>
      <c r="L117">
        <v>1.7407522536524713</v>
      </c>
      <c r="M117" t="s">
        <v>13</v>
      </c>
      <c r="N117" t="s">
        <v>446</v>
      </c>
    </row>
    <row r="118" spans="1:14" hidden="1" x14ac:dyDescent="0.35">
      <c r="A118">
        <v>2000327</v>
      </c>
      <c r="B118" s="3">
        <v>44258</v>
      </c>
      <c r="C118" t="s">
        <v>471</v>
      </c>
      <c r="D118">
        <v>2021</v>
      </c>
      <c r="E118" s="14">
        <v>44256</v>
      </c>
      <c r="F118" t="s">
        <v>140</v>
      </c>
      <c r="G118" t="s">
        <v>757</v>
      </c>
      <c r="H118" t="s">
        <v>428</v>
      </c>
      <c r="I118">
        <v>157810</v>
      </c>
      <c r="J118">
        <v>276500</v>
      </c>
      <c r="K118">
        <v>0.57069999999999999</v>
      </c>
      <c r="L118">
        <v>1.7521069640707179</v>
      </c>
      <c r="M118" t="s">
        <v>13</v>
      </c>
      <c r="N118" t="s">
        <v>446</v>
      </c>
    </row>
    <row r="119" spans="1:14" hidden="1" x14ac:dyDescent="0.35">
      <c r="A119">
        <v>20200059</v>
      </c>
      <c r="B119" s="3">
        <v>44117</v>
      </c>
      <c r="C119" t="s">
        <v>469</v>
      </c>
      <c r="D119">
        <v>2020</v>
      </c>
      <c r="E119" s="14">
        <v>44105</v>
      </c>
      <c r="F119" t="s">
        <v>129</v>
      </c>
      <c r="G119" t="s">
        <v>762</v>
      </c>
      <c r="H119" t="s">
        <v>240</v>
      </c>
      <c r="I119">
        <v>156380</v>
      </c>
      <c r="J119">
        <v>276000</v>
      </c>
      <c r="K119">
        <v>0.5665</v>
      </c>
      <c r="L119">
        <v>1.7649315769279958</v>
      </c>
      <c r="M119" t="s">
        <v>13</v>
      </c>
      <c r="N119" t="s">
        <v>446</v>
      </c>
    </row>
    <row r="120" spans="1:14" hidden="1" x14ac:dyDescent="0.35">
      <c r="A120">
        <v>200025</v>
      </c>
      <c r="B120" s="3">
        <v>44124</v>
      </c>
      <c r="C120" t="s">
        <v>469</v>
      </c>
      <c r="D120">
        <v>2020</v>
      </c>
      <c r="E120" s="14">
        <v>44105</v>
      </c>
      <c r="F120" t="s">
        <v>241</v>
      </c>
      <c r="G120" t="s">
        <v>762</v>
      </c>
      <c r="H120" t="s">
        <v>243</v>
      </c>
      <c r="I120">
        <v>159180</v>
      </c>
      <c r="J120">
        <v>261000</v>
      </c>
      <c r="K120">
        <v>0.60980000000000001</v>
      </c>
      <c r="L120">
        <v>1.6396532227666791</v>
      </c>
      <c r="M120" t="s">
        <v>13</v>
      </c>
      <c r="N120" t="s">
        <v>446</v>
      </c>
    </row>
    <row r="121" spans="1:14" hidden="1" x14ac:dyDescent="0.35">
      <c r="A121">
        <v>201245</v>
      </c>
      <c r="B121" s="3">
        <v>44453</v>
      </c>
      <c r="C121" t="s">
        <v>473</v>
      </c>
      <c r="D121">
        <v>2021</v>
      </c>
      <c r="E121" s="14">
        <v>44440</v>
      </c>
      <c r="F121" t="s">
        <v>125</v>
      </c>
      <c r="G121" t="s">
        <v>765</v>
      </c>
      <c r="H121" t="s">
        <v>131</v>
      </c>
      <c r="I121">
        <v>128170</v>
      </c>
      <c r="J121">
        <v>260000</v>
      </c>
      <c r="K121">
        <v>0.4929</v>
      </c>
      <c r="L121">
        <v>2.0285558242958572</v>
      </c>
      <c r="M121" t="s">
        <v>13</v>
      </c>
      <c r="N121" t="s">
        <v>445</v>
      </c>
    </row>
    <row r="122" spans="1:14" hidden="1" x14ac:dyDescent="0.35">
      <c r="A122">
        <v>200408</v>
      </c>
      <c r="B122" s="3">
        <v>44189</v>
      </c>
      <c r="C122" t="s">
        <v>450</v>
      </c>
      <c r="D122">
        <v>2020</v>
      </c>
      <c r="E122" s="14">
        <v>44166</v>
      </c>
      <c r="F122" t="s">
        <v>56</v>
      </c>
      <c r="G122" t="s">
        <v>758</v>
      </c>
      <c r="H122" t="s">
        <v>63</v>
      </c>
      <c r="I122">
        <v>130800</v>
      </c>
      <c r="J122">
        <v>260000</v>
      </c>
      <c r="K122">
        <v>0.503</v>
      </c>
      <c r="L122">
        <v>1.9877675840978593</v>
      </c>
      <c r="M122" t="s">
        <v>13</v>
      </c>
      <c r="N122" t="s">
        <v>446</v>
      </c>
    </row>
    <row r="123" spans="1:14" hidden="1" x14ac:dyDescent="0.35">
      <c r="A123">
        <v>2000513</v>
      </c>
      <c r="B123" s="3">
        <v>44397</v>
      </c>
      <c r="C123" t="s">
        <v>458</v>
      </c>
      <c r="D123">
        <v>2021</v>
      </c>
      <c r="E123" s="14">
        <v>44378</v>
      </c>
      <c r="F123" t="s">
        <v>277</v>
      </c>
      <c r="G123" t="s">
        <v>759</v>
      </c>
      <c r="H123" t="s">
        <v>279</v>
      </c>
      <c r="I123">
        <v>144050</v>
      </c>
      <c r="J123">
        <v>257500</v>
      </c>
      <c r="K123">
        <v>0.55940000000000001</v>
      </c>
      <c r="L123">
        <v>1.7875737591114196</v>
      </c>
      <c r="M123" t="s">
        <v>13</v>
      </c>
      <c r="N123" t="s">
        <v>446</v>
      </c>
    </row>
    <row r="124" spans="1:14" hidden="1" x14ac:dyDescent="0.35">
      <c r="A124">
        <v>20118</v>
      </c>
      <c r="B124" s="3">
        <v>44469</v>
      </c>
      <c r="C124" t="s">
        <v>473</v>
      </c>
      <c r="D124">
        <v>2021</v>
      </c>
      <c r="E124" s="14">
        <v>44440</v>
      </c>
      <c r="F124" t="s">
        <v>235</v>
      </c>
      <c r="G124" t="s">
        <v>762</v>
      </c>
      <c r="H124" t="s">
        <v>236</v>
      </c>
      <c r="I124">
        <v>92890</v>
      </c>
      <c r="J124">
        <v>255000</v>
      </c>
      <c r="K124">
        <v>0.36420000000000002</v>
      </c>
      <c r="L124">
        <v>2.7451824738938528</v>
      </c>
      <c r="M124" t="s">
        <v>13</v>
      </c>
      <c r="N124" t="s">
        <v>445</v>
      </c>
    </row>
    <row r="125" spans="1:14" hidden="1" x14ac:dyDescent="0.35">
      <c r="A125">
        <v>200002</v>
      </c>
      <c r="B125" s="3">
        <v>44105</v>
      </c>
      <c r="C125" t="s">
        <v>469</v>
      </c>
      <c r="D125">
        <v>2020</v>
      </c>
      <c r="E125" s="14">
        <v>44105</v>
      </c>
      <c r="F125" t="s">
        <v>210</v>
      </c>
      <c r="G125" t="s">
        <v>762</v>
      </c>
      <c r="H125" t="s">
        <v>213</v>
      </c>
      <c r="I125">
        <v>186610</v>
      </c>
      <c r="J125">
        <v>252000</v>
      </c>
      <c r="K125">
        <v>0.74050000000000005</v>
      </c>
      <c r="L125">
        <v>1.3504099458764267</v>
      </c>
      <c r="M125" t="s">
        <v>13</v>
      </c>
      <c r="N125" t="s">
        <v>446</v>
      </c>
    </row>
    <row r="126" spans="1:14" hidden="1" x14ac:dyDescent="0.35">
      <c r="A126">
        <v>2000381</v>
      </c>
      <c r="B126" s="3">
        <v>44452</v>
      </c>
      <c r="C126" t="s">
        <v>473</v>
      </c>
      <c r="D126">
        <v>2021</v>
      </c>
      <c r="E126" s="14">
        <v>44440</v>
      </c>
      <c r="F126" t="s">
        <v>27</v>
      </c>
      <c r="G126" t="s">
        <v>766</v>
      </c>
      <c r="H126" t="s">
        <v>28</v>
      </c>
      <c r="I126">
        <v>163730</v>
      </c>
      <c r="J126">
        <v>250000</v>
      </c>
      <c r="K126">
        <v>0.65490000000000004</v>
      </c>
      <c r="L126">
        <v>1.5269040493495389</v>
      </c>
      <c r="M126" t="s">
        <v>13</v>
      </c>
      <c r="N126" t="s">
        <v>446</v>
      </c>
    </row>
    <row r="127" spans="1:14" hidden="1" x14ac:dyDescent="0.35">
      <c r="A127">
        <v>201295</v>
      </c>
      <c r="B127" s="3">
        <v>44448</v>
      </c>
      <c r="C127" t="s">
        <v>473</v>
      </c>
      <c r="D127">
        <v>2021</v>
      </c>
      <c r="E127" s="14">
        <v>44440</v>
      </c>
      <c r="F127" t="s">
        <v>32</v>
      </c>
      <c r="G127" t="s">
        <v>766</v>
      </c>
      <c r="H127" t="s">
        <v>412</v>
      </c>
      <c r="I127">
        <v>144340</v>
      </c>
      <c r="J127">
        <v>249900</v>
      </c>
      <c r="K127">
        <v>0.57750000000000001</v>
      </c>
      <c r="L127">
        <v>1.7313288069835111</v>
      </c>
      <c r="M127" t="s">
        <v>13</v>
      </c>
      <c r="N127" t="s">
        <v>446</v>
      </c>
    </row>
    <row r="128" spans="1:14" hidden="1" x14ac:dyDescent="0.35">
      <c r="A128">
        <v>20565</v>
      </c>
      <c r="B128" s="3">
        <v>44284</v>
      </c>
      <c r="C128" t="s">
        <v>471</v>
      </c>
      <c r="D128">
        <v>2021</v>
      </c>
      <c r="E128" s="14">
        <v>44256</v>
      </c>
      <c r="F128" t="s">
        <v>98</v>
      </c>
      <c r="G128" t="s">
        <v>770</v>
      </c>
      <c r="H128" t="s">
        <v>426</v>
      </c>
      <c r="I128">
        <v>61915</v>
      </c>
      <c r="J128">
        <v>249000</v>
      </c>
      <c r="K128">
        <v>0.24859999999999999</v>
      </c>
      <c r="L128">
        <v>4.021642574497295</v>
      </c>
      <c r="M128" t="s">
        <v>13</v>
      </c>
      <c r="N128" t="s">
        <v>445</v>
      </c>
    </row>
    <row r="129" spans="1:14" hidden="1" x14ac:dyDescent="0.35">
      <c r="A129">
        <v>200537</v>
      </c>
      <c r="B129" s="3">
        <v>44337</v>
      </c>
      <c r="C129" t="s">
        <v>456</v>
      </c>
      <c r="D129">
        <v>2021</v>
      </c>
      <c r="E129" s="14">
        <v>44317</v>
      </c>
      <c r="F129" t="s">
        <v>73</v>
      </c>
      <c r="G129" t="s">
        <v>760</v>
      </c>
      <c r="H129" t="s">
        <v>74</v>
      </c>
      <c r="I129">
        <v>117380</v>
      </c>
      <c r="J129">
        <v>245000</v>
      </c>
      <c r="K129">
        <v>0.47910000000000003</v>
      </c>
      <c r="L129">
        <v>2.0872380303288467</v>
      </c>
      <c r="M129" t="s">
        <v>13</v>
      </c>
      <c r="N129" t="s">
        <v>445</v>
      </c>
    </row>
    <row r="130" spans="1:14" hidden="1" x14ac:dyDescent="0.35">
      <c r="A130">
        <v>200101</v>
      </c>
      <c r="B130" s="3">
        <v>44203</v>
      </c>
      <c r="C130" t="s">
        <v>464</v>
      </c>
      <c r="D130">
        <v>2021</v>
      </c>
      <c r="E130" s="14">
        <v>44197</v>
      </c>
      <c r="F130" t="s">
        <v>52</v>
      </c>
      <c r="G130" t="s">
        <v>755</v>
      </c>
      <c r="H130" t="s">
        <v>53</v>
      </c>
      <c r="I130">
        <v>142800</v>
      </c>
      <c r="J130">
        <v>245000</v>
      </c>
      <c r="K130">
        <v>0.58279999999999998</v>
      </c>
      <c r="L130">
        <v>1.7156862745098038</v>
      </c>
      <c r="M130" t="s">
        <v>13</v>
      </c>
      <c r="N130" t="s">
        <v>446</v>
      </c>
    </row>
    <row r="131" spans="1:14" hidden="1" x14ac:dyDescent="0.35">
      <c r="A131">
        <v>200264</v>
      </c>
      <c r="B131" s="3">
        <v>44357</v>
      </c>
      <c r="C131" t="s">
        <v>454</v>
      </c>
      <c r="D131">
        <v>2021</v>
      </c>
      <c r="E131" s="14">
        <v>44348</v>
      </c>
      <c r="F131" t="s">
        <v>155</v>
      </c>
      <c r="G131" t="s">
        <v>757</v>
      </c>
      <c r="H131" t="s">
        <v>156</v>
      </c>
      <c r="I131">
        <v>107500</v>
      </c>
      <c r="J131">
        <v>240000</v>
      </c>
      <c r="K131">
        <v>0.44790000000000002</v>
      </c>
      <c r="L131">
        <v>2.2325581395348837</v>
      </c>
      <c r="M131" t="s">
        <v>13</v>
      </c>
      <c r="N131" t="s">
        <v>445</v>
      </c>
    </row>
    <row r="132" spans="1:14" hidden="1" x14ac:dyDescent="0.35">
      <c r="A132">
        <v>200226</v>
      </c>
      <c r="B132" s="3">
        <v>44183</v>
      </c>
      <c r="C132" t="s">
        <v>450</v>
      </c>
      <c r="D132">
        <v>2020</v>
      </c>
      <c r="E132" s="14">
        <v>44166</v>
      </c>
      <c r="F132" t="s">
        <v>73</v>
      </c>
      <c r="G132" t="s">
        <v>760</v>
      </c>
      <c r="H132" t="s">
        <v>76</v>
      </c>
      <c r="I132">
        <v>145570</v>
      </c>
      <c r="J132">
        <v>240000</v>
      </c>
      <c r="K132">
        <v>0.60650000000000004</v>
      </c>
      <c r="L132">
        <v>1.6486913512399533</v>
      </c>
      <c r="M132" t="s">
        <v>13</v>
      </c>
      <c r="N132" t="s">
        <v>446</v>
      </c>
    </row>
    <row r="133" spans="1:14" hidden="1" x14ac:dyDescent="0.35">
      <c r="A133">
        <v>200886</v>
      </c>
      <c r="B133" s="3">
        <v>44319</v>
      </c>
      <c r="C133" t="s">
        <v>456</v>
      </c>
      <c r="D133">
        <v>2021</v>
      </c>
      <c r="E133" s="14">
        <v>44317</v>
      </c>
      <c r="F133" t="s">
        <v>56</v>
      </c>
      <c r="G133" t="s">
        <v>758</v>
      </c>
      <c r="H133" t="s">
        <v>58</v>
      </c>
      <c r="I133">
        <v>189800</v>
      </c>
      <c r="J133">
        <v>240000</v>
      </c>
      <c r="K133">
        <v>0.79079999999999995</v>
      </c>
      <c r="L133">
        <v>1.2644889357218125</v>
      </c>
      <c r="M133" t="s">
        <v>13</v>
      </c>
      <c r="N133" t="s">
        <v>446</v>
      </c>
    </row>
    <row r="134" spans="1:14" hidden="1" x14ac:dyDescent="0.35">
      <c r="A134">
        <v>201133</v>
      </c>
      <c r="B134" s="3">
        <v>44441</v>
      </c>
      <c r="C134" t="s">
        <v>473</v>
      </c>
      <c r="D134">
        <v>2021</v>
      </c>
      <c r="E134" s="14">
        <v>44440</v>
      </c>
      <c r="F134" t="s">
        <v>146</v>
      </c>
      <c r="G134" t="s">
        <v>757</v>
      </c>
      <c r="H134" t="s">
        <v>150</v>
      </c>
      <c r="I134">
        <v>123480</v>
      </c>
      <c r="J134">
        <v>235000</v>
      </c>
      <c r="K134">
        <v>0.52539999999999998</v>
      </c>
      <c r="L134">
        <v>1.9031422092646582</v>
      </c>
      <c r="M134" t="s">
        <v>13</v>
      </c>
      <c r="N134" t="s">
        <v>446</v>
      </c>
    </row>
    <row r="135" spans="1:14" hidden="1" x14ac:dyDescent="0.35">
      <c r="A135">
        <v>200207</v>
      </c>
      <c r="B135" s="3">
        <v>44357</v>
      </c>
      <c r="C135" t="s">
        <v>454</v>
      </c>
      <c r="D135">
        <v>2021</v>
      </c>
      <c r="E135" s="14">
        <v>44348</v>
      </c>
      <c r="F135" t="s">
        <v>200</v>
      </c>
      <c r="G135" t="s">
        <v>754</v>
      </c>
      <c r="H135" t="s">
        <v>201</v>
      </c>
      <c r="I135">
        <v>120890</v>
      </c>
      <c r="J135">
        <v>234900</v>
      </c>
      <c r="K135">
        <v>0.51459999999999995</v>
      </c>
      <c r="L135">
        <v>1.9430887583753826</v>
      </c>
      <c r="M135" t="s">
        <v>13</v>
      </c>
      <c r="N135" t="s">
        <v>446</v>
      </c>
    </row>
    <row r="136" spans="1:14" hidden="1" x14ac:dyDescent="0.35">
      <c r="A136">
        <v>200938</v>
      </c>
      <c r="B136" s="3">
        <v>44329</v>
      </c>
      <c r="C136" t="s">
        <v>456</v>
      </c>
      <c r="D136">
        <v>2021</v>
      </c>
      <c r="E136" s="14">
        <v>44317</v>
      </c>
      <c r="F136" t="s">
        <v>56</v>
      </c>
      <c r="G136" t="s">
        <v>758</v>
      </c>
      <c r="H136" t="s">
        <v>59</v>
      </c>
      <c r="I136">
        <v>118900</v>
      </c>
      <c r="J136">
        <v>230000</v>
      </c>
      <c r="K136">
        <v>0.51690000000000003</v>
      </c>
      <c r="L136">
        <v>1.9343986543313709</v>
      </c>
      <c r="M136" t="s">
        <v>13</v>
      </c>
      <c r="N136" t="s">
        <v>446</v>
      </c>
    </row>
    <row r="137" spans="1:14" hidden="1" x14ac:dyDescent="0.35">
      <c r="A137">
        <v>20059</v>
      </c>
      <c r="B137" s="3">
        <v>44245</v>
      </c>
      <c r="C137" t="s">
        <v>460</v>
      </c>
      <c r="D137">
        <v>2021</v>
      </c>
      <c r="E137" s="14">
        <v>44228</v>
      </c>
      <c r="F137" t="s">
        <v>113</v>
      </c>
      <c r="G137" t="s">
        <v>772</v>
      </c>
      <c r="H137" t="s">
        <v>114</v>
      </c>
      <c r="I137">
        <v>121510</v>
      </c>
      <c r="J137">
        <v>229900</v>
      </c>
      <c r="K137">
        <v>0.52849999999999997</v>
      </c>
      <c r="L137">
        <v>1.8920253477080076</v>
      </c>
      <c r="M137" t="s">
        <v>13</v>
      </c>
      <c r="N137" t="s">
        <v>446</v>
      </c>
    </row>
    <row r="138" spans="1:14" hidden="1" x14ac:dyDescent="0.35">
      <c r="A138">
        <v>200374</v>
      </c>
      <c r="B138" s="3">
        <v>44334</v>
      </c>
      <c r="C138" t="s">
        <v>456</v>
      </c>
      <c r="D138">
        <v>2021</v>
      </c>
      <c r="E138" s="14">
        <v>44317</v>
      </c>
      <c r="F138" t="s">
        <v>187</v>
      </c>
      <c r="G138" t="s">
        <v>771</v>
      </c>
      <c r="H138" t="s">
        <v>258</v>
      </c>
      <c r="I138">
        <v>129190</v>
      </c>
      <c r="J138">
        <v>226800</v>
      </c>
      <c r="K138">
        <v>0.5696</v>
      </c>
      <c r="L138">
        <v>1.7555538354361793</v>
      </c>
      <c r="M138" t="s">
        <v>13</v>
      </c>
      <c r="N138" t="s">
        <v>446</v>
      </c>
    </row>
    <row r="139" spans="1:14" hidden="1" x14ac:dyDescent="0.35">
      <c r="A139">
        <v>200106</v>
      </c>
      <c r="B139" s="3">
        <v>44137</v>
      </c>
      <c r="C139" t="s">
        <v>475</v>
      </c>
      <c r="D139">
        <v>2020</v>
      </c>
      <c r="E139" s="14">
        <v>44136</v>
      </c>
      <c r="F139" t="s">
        <v>139</v>
      </c>
      <c r="G139" t="s">
        <v>763</v>
      </c>
      <c r="H139" t="s">
        <v>250</v>
      </c>
      <c r="I139">
        <v>126570</v>
      </c>
      <c r="J139">
        <v>225005</v>
      </c>
      <c r="K139">
        <v>0.5625</v>
      </c>
      <c r="L139">
        <v>1.7777119380579915</v>
      </c>
      <c r="M139" t="s">
        <v>13</v>
      </c>
      <c r="N139" t="s">
        <v>446</v>
      </c>
    </row>
    <row r="140" spans="1:14" hidden="1" x14ac:dyDescent="0.35">
      <c r="A140">
        <v>20086</v>
      </c>
      <c r="B140" s="3">
        <v>44126</v>
      </c>
      <c r="C140" t="s">
        <v>469</v>
      </c>
      <c r="D140">
        <v>2020</v>
      </c>
      <c r="E140" s="14">
        <v>44105</v>
      </c>
      <c r="F140" t="s">
        <v>146</v>
      </c>
      <c r="G140" t="s">
        <v>757</v>
      </c>
      <c r="H140" t="s">
        <v>429</v>
      </c>
      <c r="I140">
        <v>122220</v>
      </c>
      <c r="J140">
        <v>223000</v>
      </c>
      <c r="K140">
        <v>0.54800000000000004</v>
      </c>
      <c r="L140">
        <v>1.82457862870234</v>
      </c>
      <c r="M140" t="s">
        <v>13</v>
      </c>
      <c r="N140" t="s">
        <v>446</v>
      </c>
    </row>
    <row r="141" spans="1:14" hidden="1" x14ac:dyDescent="0.35">
      <c r="A141">
        <v>20102</v>
      </c>
      <c r="B141" s="3">
        <v>44174</v>
      </c>
      <c r="C141" t="s">
        <v>450</v>
      </c>
      <c r="D141">
        <v>2020</v>
      </c>
      <c r="E141" s="14">
        <v>44166</v>
      </c>
      <c r="F141" t="s">
        <v>191</v>
      </c>
      <c r="G141" t="s">
        <v>759</v>
      </c>
      <c r="H141" t="s">
        <v>270</v>
      </c>
      <c r="I141">
        <v>127000</v>
      </c>
      <c r="J141">
        <v>223000</v>
      </c>
      <c r="K141">
        <v>0.56950000000000001</v>
      </c>
      <c r="L141">
        <v>1.7559055118110236</v>
      </c>
      <c r="M141" t="s">
        <v>13</v>
      </c>
      <c r="N141" t="s">
        <v>446</v>
      </c>
    </row>
    <row r="142" spans="1:14" hidden="1" x14ac:dyDescent="0.35">
      <c r="A142">
        <v>20614</v>
      </c>
      <c r="B142" s="3">
        <v>44294</v>
      </c>
      <c r="C142" t="s">
        <v>452</v>
      </c>
      <c r="D142">
        <v>2021</v>
      </c>
      <c r="E142" s="14">
        <v>44287</v>
      </c>
      <c r="F142" t="s">
        <v>98</v>
      </c>
      <c r="G142" t="s">
        <v>770</v>
      </c>
      <c r="H142" t="s">
        <v>101</v>
      </c>
      <c r="I142">
        <v>52500</v>
      </c>
      <c r="J142">
        <v>220000</v>
      </c>
      <c r="K142">
        <v>0.23860000000000001</v>
      </c>
      <c r="L142">
        <v>4.1904761904761907</v>
      </c>
      <c r="M142" t="s">
        <v>13</v>
      </c>
      <c r="N142" t="s">
        <v>445</v>
      </c>
    </row>
    <row r="143" spans="1:14" hidden="1" x14ac:dyDescent="0.35">
      <c r="A143">
        <v>200179</v>
      </c>
      <c r="B143" s="3">
        <v>44369</v>
      </c>
      <c r="C143" t="s">
        <v>454</v>
      </c>
      <c r="D143">
        <v>2021</v>
      </c>
      <c r="E143" s="14">
        <v>44348</v>
      </c>
      <c r="F143" t="s">
        <v>195</v>
      </c>
      <c r="G143" t="s">
        <v>764</v>
      </c>
      <c r="H143" t="s">
        <v>196</v>
      </c>
      <c r="I143">
        <v>134750</v>
      </c>
      <c r="J143">
        <v>220000</v>
      </c>
      <c r="K143">
        <v>0.61250000000000004</v>
      </c>
      <c r="L143">
        <v>1.6326530612244898</v>
      </c>
      <c r="M143" t="s">
        <v>13</v>
      </c>
      <c r="N143" t="s">
        <v>446</v>
      </c>
    </row>
    <row r="144" spans="1:14" hidden="1" x14ac:dyDescent="0.35">
      <c r="A144">
        <v>202611</v>
      </c>
      <c r="B144" s="3">
        <v>44383</v>
      </c>
      <c r="C144" t="s">
        <v>458</v>
      </c>
      <c r="D144">
        <v>2021</v>
      </c>
      <c r="E144" s="14">
        <v>44378</v>
      </c>
      <c r="F144" t="s">
        <v>122</v>
      </c>
      <c r="G144" t="s">
        <v>757</v>
      </c>
      <c r="H144" t="s">
        <v>173</v>
      </c>
      <c r="I144">
        <v>144380</v>
      </c>
      <c r="J144">
        <v>217500</v>
      </c>
      <c r="K144">
        <v>0.66379999999999995</v>
      </c>
      <c r="L144">
        <v>1.506441335365009</v>
      </c>
      <c r="M144" t="s">
        <v>13</v>
      </c>
      <c r="N144" t="s">
        <v>446</v>
      </c>
    </row>
    <row r="145" spans="1:14" hidden="1" x14ac:dyDescent="0.35">
      <c r="A145">
        <v>201440</v>
      </c>
      <c r="B145" s="3">
        <v>44454</v>
      </c>
      <c r="C145" t="s">
        <v>473</v>
      </c>
      <c r="D145">
        <v>2021</v>
      </c>
      <c r="E145" s="14">
        <v>44440</v>
      </c>
      <c r="F145" t="s">
        <v>159</v>
      </c>
      <c r="G145" t="s">
        <v>757</v>
      </c>
      <c r="H145" t="s">
        <v>163</v>
      </c>
      <c r="I145">
        <v>80150</v>
      </c>
      <c r="J145">
        <v>214000</v>
      </c>
      <c r="K145">
        <v>0.3745</v>
      </c>
      <c r="L145">
        <v>2.6699937616968183</v>
      </c>
      <c r="M145" t="s">
        <v>13</v>
      </c>
      <c r="N145" t="s">
        <v>445</v>
      </c>
    </row>
    <row r="146" spans="1:14" x14ac:dyDescent="0.35">
      <c r="A146">
        <v>20064</v>
      </c>
      <c r="B146" s="3">
        <v>44439</v>
      </c>
      <c r="C146" t="s">
        <v>462</v>
      </c>
      <c r="D146">
        <v>2021</v>
      </c>
      <c r="E146" s="14">
        <v>44409</v>
      </c>
      <c r="F146" t="s">
        <v>81</v>
      </c>
      <c r="G146" t="s">
        <v>769</v>
      </c>
      <c r="H146" t="s">
        <v>82</v>
      </c>
      <c r="I146">
        <v>186770</v>
      </c>
      <c r="J146">
        <v>209000</v>
      </c>
      <c r="K146">
        <v>0.89359999999999995</v>
      </c>
      <c r="L146">
        <v>1.1190233977619533</v>
      </c>
      <c r="M146" t="s">
        <v>10</v>
      </c>
      <c r="N146" t="s">
        <v>446</v>
      </c>
    </row>
    <row r="147" spans="1:14" hidden="1" x14ac:dyDescent="0.35">
      <c r="A147">
        <v>2000330</v>
      </c>
      <c r="B147" s="3">
        <v>44336</v>
      </c>
      <c r="C147" t="s">
        <v>456</v>
      </c>
      <c r="D147">
        <v>2021</v>
      </c>
      <c r="E147" s="14">
        <v>44317</v>
      </c>
      <c r="F147" t="s">
        <v>43</v>
      </c>
      <c r="G147" t="s">
        <v>755</v>
      </c>
      <c r="H147" t="s">
        <v>45</v>
      </c>
      <c r="I147">
        <v>144220</v>
      </c>
      <c r="J147">
        <v>204000</v>
      </c>
      <c r="K147">
        <v>0.70689999999999997</v>
      </c>
      <c r="L147">
        <v>1.4145056164193592</v>
      </c>
      <c r="M147" t="s">
        <v>13</v>
      </c>
      <c r="N147" t="s">
        <v>446</v>
      </c>
    </row>
    <row r="148" spans="1:14" hidden="1" x14ac:dyDescent="0.35">
      <c r="A148">
        <v>20135</v>
      </c>
      <c r="B148" s="3">
        <v>44217</v>
      </c>
      <c r="C148" t="s">
        <v>464</v>
      </c>
      <c r="D148">
        <v>2021</v>
      </c>
      <c r="E148" s="14">
        <v>44197</v>
      </c>
      <c r="F148" t="s">
        <v>184</v>
      </c>
      <c r="G148" t="s">
        <v>764</v>
      </c>
      <c r="H148" t="s">
        <v>185</v>
      </c>
      <c r="I148">
        <v>98580</v>
      </c>
      <c r="J148">
        <v>200000</v>
      </c>
      <c r="K148">
        <v>0.4929</v>
      </c>
      <c r="L148">
        <v>2.028809089064719</v>
      </c>
      <c r="M148" t="s">
        <v>13</v>
      </c>
      <c r="N148" t="s">
        <v>445</v>
      </c>
    </row>
    <row r="149" spans="1:14" hidden="1" x14ac:dyDescent="0.35">
      <c r="A149">
        <v>200052</v>
      </c>
      <c r="B149" s="3">
        <v>44151</v>
      </c>
      <c r="C149" t="s">
        <v>475</v>
      </c>
      <c r="D149">
        <v>2020</v>
      </c>
      <c r="E149" s="14">
        <v>44136</v>
      </c>
      <c r="F149" t="s">
        <v>115</v>
      </c>
      <c r="G149" t="s">
        <v>772</v>
      </c>
      <c r="H149" t="s">
        <v>116</v>
      </c>
      <c r="I149">
        <v>149570</v>
      </c>
      <c r="J149">
        <v>200000</v>
      </c>
      <c r="K149">
        <v>0.74780000000000002</v>
      </c>
      <c r="L149">
        <v>1.3371665440930669</v>
      </c>
      <c r="M149" t="s">
        <v>13</v>
      </c>
      <c r="N149" t="s">
        <v>446</v>
      </c>
    </row>
    <row r="150" spans="1:14" hidden="1" x14ac:dyDescent="0.35">
      <c r="A150">
        <v>2000857</v>
      </c>
      <c r="B150" s="3">
        <v>44217</v>
      </c>
      <c r="C150" t="s">
        <v>464</v>
      </c>
      <c r="D150">
        <v>2021</v>
      </c>
      <c r="E150" s="14">
        <v>44197</v>
      </c>
      <c r="F150" t="s">
        <v>181</v>
      </c>
      <c r="G150" t="s">
        <v>762</v>
      </c>
      <c r="H150" t="s">
        <v>222</v>
      </c>
      <c r="I150">
        <v>109420</v>
      </c>
      <c r="J150">
        <v>195000</v>
      </c>
      <c r="K150">
        <v>0.56110000000000004</v>
      </c>
      <c r="L150">
        <v>1.7821239261560957</v>
      </c>
      <c r="M150" t="s">
        <v>13</v>
      </c>
      <c r="N150" t="s">
        <v>446</v>
      </c>
    </row>
    <row r="151" spans="1:14" hidden="1" x14ac:dyDescent="0.35">
      <c r="A151">
        <v>2000296</v>
      </c>
      <c r="B151" s="3">
        <v>44239</v>
      </c>
      <c r="C151" t="s">
        <v>460</v>
      </c>
      <c r="D151">
        <v>2021</v>
      </c>
      <c r="E151" s="14">
        <v>44228</v>
      </c>
      <c r="F151" t="s">
        <v>140</v>
      </c>
      <c r="G151" t="s">
        <v>757</v>
      </c>
      <c r="H151" t="s">
        <v>141</v>
      </c>
      <c r="I151">
        <v>114660</v>
      </c>
      <c r="J151">
        <v>195000</v>
      </c>
      <c r="K151">
        <v>0.58799999999999997</v>
      </c>
      <c r="L151">
        <v>1.7006802721088434</v>
      </c>
      <c r="M151" t="s">
        <v>13</v>
      </c>
      <c r="N151" t="s">
        <v>446</v>
      </c>
    </row>
    <row r="152" spans="1:14" hidden="1" x14ac:dyDescent="0.35">
      <c r="A152">
        <v>2000022</v>
      </c>
      <c r="B152" s="3">
        <v>44117</v>
      </c>
      <c r="C152" t="s">
        <v>469</v>
      </c>
      <c r="D152">
        <v>2020</v>
      </c>
      <c r="E152" s="14">
        <v>44105</v>
      </c>
      <c r="F152" t="s">
        <v>140</v>
      </c>
      <c r="G152" t="s">
        <v>757</v>
      </c>
      <c r="H152" t="s">
        <v>145</v>
      </c>
      <c r="I152">
        <v>108070</v>
      </c>
      <c r="J152">
        <v>193500</v>
      </c>
      <c r="K152">
        <v>0.5585</v>
      </c>
      <c r="L152">
        <v>1.7905061534190803</v>
      </c>
      <c r="M152" t="s">
        <v>13</v>
      </c>
      <c r="N152" t="s">
        <v>446</v>
      </c>
    </row>
    <row r="153" spans="1:14" hidden="1" x14ac:dyDescent="0.35">
      <c r="A153">
        <v>200010</v>
      </c>
      <c r="B153" s="3">
        <v>44126</v>
      </c>
      <c r="C153" t="s">
        <v>469</v>
      </c>
      <c r="D153">
        <v>2020</v>
      </c>
      <c r="E153" s="14">
        <v>44105</v>
      </c>
      <c r="F153" t="s">
        <v>200</v>
      </c>
      <c r="G153" t="s">
        <v>754</v>
      </c>
      <c r="H153" t="s">
        <v>202</v>
      </c>
      <c r="I153">
        <v>128870</v>
      </c>
      <c r="J153">
        <v>193000</v>
      </c>
      <c r="K153">
        <v>0.66769999999999996</v>
      </c>
      <c r="L153">
        <v>1.4976332738418561</v>
      </c>
      <c r="M153" t="s">
        <v>13</v>
      </c>
      <c r="N153" t="s">
        <v>446</v>
      </c>
    </row>
    <row r="154" spans="1:14" hidden="1" x14ac:dyDescent="0.35">
      <c r="A154">
        <v>201176</v>
      </c>
      <c r="B154" s="3">
        <v>44264</v>
      </c>
      <c r="C154" t="s">
        <v>471</v>
      </c>
      <c r="D154">
        <v>2021</v>
      </c>
      <c r="E154" s="14">
        <v>44256</v>
      </c>
      <c r="F154" t="s">
        <v>144</v>
      </c>
      <c r="G154" t="s">
        <v>757</v>
      </c>
      <c r="H154" t="s">
        <v>165</v>
      </c>
      <c r="I154">
        <v>165550</v>
      </c>
      <c r="J154">
        <v>191000</v>
      </c>
      <c r="K154">
        <v>0.86670000000000003</v>
      </c>
      <c r="L154">
        <v>1.1537299909392933</v>
      </c>
      <c r="M154" t="s">
        <v>13</v>
      </c>
      <c r="N154" t="s">
        <v>446</v>
      </c>
    </row>
    <row r="155" spans="1:14" hidden="1" x14ac:dyDescent="0.35">
      <c r="A155">
        <v>200419</v>
      </c>
      <c r="B155" s="3">
        <v>44231</v>
      </c>
      <c r="C155" t="s">
        <v>460</v>
      </c>
      <c r="D155">
        <v>2021</v>
      </c>
      <c r="E155" s="14">
        <v>44228</v>
      </c>
      <c r="F155" t="s">
        <v>159</v>
      </c>
      <c r="G155" t="s">
        <v>757</v>
      </c>
      <c r="H155" t="s">
        <v>160</v>
      </c>
      <c r="I155">
        <v>74200</v>
      </c>
      <c r="J155">
        <v>190000</v>
      </c>
      <c r="K155">
        <v>0.39050000000000001</v>
      </c>
      <c r="L155">
        <v>2.5606469002695418</v>
      </c>
      <c r="M155" t="s">
        <v>13</v>
      </c>
      <c r="N155" t="s">
        <v>445</v>
      </c>
    </row>
    <row r="156" spans="1:14" hidden="1" x14ac:dyDescent="0.35">
      <c r="A156">
        <v>20486</v>
      </c>
      <c r="B156" s="3">
        <v>44362</v>
      </c>
      <c r="C156" t="s">
        <v>454</v>
      </c>
      <c r="D156">
        <v>2021</v>
      </c>
      <c r="E156" s="14">
        <v>44348</v>
      </c>
      <c r="F156" t="s">
        <v>216</v>
      </c>
      <c r="G156" t="s">
        <v>762</v>
      </c>
      <c r="H156" t="s">
        <v>217</v>
      </c>
      <c r="I156">
        <v>92080</v>
      </c>
      <c r="J156">
        <v>185000</v>
      </c>
      <c r="K156">
        <v>0.49769999999999998</v>
      </c>
      <c r="L156">
        <v>2.0091225021720245</v>
      </c>
      <c r="M156" t="s">
        <v>13</v>
      </c>
      <c r="N156" t="s">
        <v>445</v>
      </c>
    </row>
    <row r="157" spans="1:14" hidden="1" x14ac:dyDescent="0.35">
      <c r="A157">
        <v>200759</v>
      </c>
      <c r="B157" s="3">
        <v>44398</v>
      </c>
      <c r="C157" t="s">
        <v>458</v>
      </c>
      <c r="D157">
        <v>2021</v>
      </c>
      <c r="E157" s="14">
        <v>44378</v>
      </c>
      <c r="F157" t="s">
        <v>206</v>
      </c>
      <c r="G157" t="s">
        <v>762</v>
      </c>
      <c r="H157" t="s">
        <v>207</v>
      </c>
      <c r="I157">
        <v>144410</v>
      </c>
      <c r="J157">
        <v>185000</v>
      </c>
      <c r="K157">
        <v>0.78049999999999997</v>
      </c>
      <c r="L157">
        <v>1.2810747178173256</v>
      </c>
      <c r="M157" t="s">
        <v>13</v>
      </c>
      <c r="N157" t="s">
        <v>446</v>
      </c>
    </row>
    <row r="158" spans="1:14" hidden="1" x14ac:dyDescent="0.35">
      <c r="A158">
        <v>2000473</v>
      </c>
      <c r="B158" s="3">
        <v>44334</v>
      </c>
      <c r="C158" t="s">
        <v>456</v>
      </c>
      <c r="D158">
        <v>2021</v>
      </c>
      <c r="E158" s="14">
        <v>44317</v>
      </c>
      <c r="F158" t="s">
        <v>140</v>
      </c>
      <c r="G158" t="s">
        <v>757</v>
      </c>
      <c r="H158" t="s">
        <v>143</v>
      </c>
      <c r="I158">
        <v>98900</v>
      </c>
      <c r="J158">
        <v>184500</v>
      </c>
      <c r="K158">
        <v>0.53600000000000003</v>
      </c>
      <c r="L158">
        <v>1.865520728008089</v>
      </c>
      <c r="M158" t="s">
        <v>13</v>
      </c>
      <c r="N158" t="s">
        <v>446</v>
      </c>
    </row>
    <row r="159" spans="1:14" hidden="1" x14ac:dyDescent="0.35">
      <c r="A159">
        <v>200527</v>
      </c>
      <c r="B159" s="3">
        <v>44256</v>
      </c>
      <c r="C159" t="s">
        <v>471</v>
      </c>
      <c r="D159">
        <v>2021</v>
      </c>
      <c r="E159" s="14">
        <v>44256</v>
      </c>
      <c r="F159" t="s">
        <v>32</v>
      </c>
      <c r="G159" t="s">
        <v>766</v>
      </c>
      <c r="H159" t="s">
        <v>35</v>
      </c>
      <c r="I159">
        <v>85680</v>
      </c>
      <c r="J159">
        <v>183000</v>
      </c>
      <c r="K159">
        <v>0.46810000000000002</v>
      </c>
      <c r="L159">
        <v>2.1358543417366946</v>
      </c>
      <c r="M159" t="s">
        <v>13</v>
      </c>
      <c r="N159" t="s">
        <v>445</v>
      </c>
    </row>
    <row r="160" spans="1:14" hidden="1" x14ac:dyDescent="0.35">
      <c r="A160">
        <v>200362</v>
      </c>
      <c r="B160" s="3">
        <v>44340</v>
      </c>
      <c r="C160" t="s">
        <v>456</v>
      </c>
      <c r="D160">
        <v>2021</v>
      </c>
      <c r="E160" s="14">
        <v>44317</v>
      </c>
      <c r="F160" t="s">
        <v>210</v>
      </c>
      <c r="G160" t="s">
        <v>762</v>
      </c>
      <c r="H160" t="s">
        <v>211</v>
      </c>
      <c r="I160">
        <v>99660</v>
      </c>
      <c r="J160">
        <v>180000</v>
      </c>
      <c r="K160">
        <v>0.55359999999999998</v>
      </c>
      <c r="L160">
        <v>1.8061408789885611</v>
      </c>
      <c r="M160" t="s">
        <v>13</v>
      </c>
      <c r="N160" t="s">
        <v>446</v>
      </c>
    </row>
    <row r="161" spans="1:14" x14ac:dyDescent="0.35">
      <c r="A161">
        <v>20750</v>
      </c>
      <c r="B161" s="3">
        <v>44322</v>
      </c>
      <c r="C161" t="s">
        <v>456</v>
      </c>
      <c r="D161">
        <v>2021</v>
      </c>
      <c r="E161" s="14">
        <v>44317</v>
      </c>
      <c r="F161" t="s">
        <v>98</v>
      </c>
      <c r="G161" t="s">
        <v>770</v>
      </c>
      <c r="H161" t="s">
        <v>102</v>
      </c>
      <c r="I161">
        <v>126560</v>
      </c>
      <c r="J161">
        <v>180000</v>
      </c>
      <c r="K161">
        <v>0.70309999999999995</v>
      </c>
      <c r="L161">
        <v>1.4222503160556257</v>
      </c>
      <c r="M161" t="s">
        <v>10</v>
      </c>
      <c r="N161" t="s">
        <v>446</v>
      </c>
    </row>
    <row r="162" spans="1:14" hidden="1" x14ac:dyDescent="0.35">
      <c r="A162">
        <v>200212</v>
      </c>
      <c r="B162" s="3">
        <v>44264</v>
      </c>
      <c r="C162" t="s">
        <v>471</v>
      </c>
      <c r="D162">
        <v>2021</v>
      </c>
      <c r="E162" s="14">
        <v>44256</v>
      </c>
      <c r="F162" t="s">
        <v>14</v>
      </c>
      <c r="G162" t="s">
        <v>761</v>
      </c>
      <c r="H162" t="s">
        <v>15</v>
      </c>
      <c r="I162">
        <v>130400</v>
      </c>
      <c r="J162">
        <v>179900</v>
      </c>
      <c r="K162">
        <v>0.7248</v>
      </c>
      <c r="L162">
        <v>1.3796012269938651</v>
      </c>
      <c r="M162" t="s">
        <v>13</v>
      </c>
      <c r="N162" t="s">
        <v>446</v>
      </c>
    </row>
    <row r="163" spans="1:14" hidden="1" x14ac:dyDescent="0.35">
      <c r="A163">
        <v>200192</v>
      </c>
      <c r="B163" s="3">
        <v>44155</v>
      </c>
      <c r="C163" t="s">
        <v>475</v>
      </c>
      <c r="D163">
        <v>2020</v>
      </c>
      <c r="E163" s="14">
        <v>44136</v>
      </c>
      <c r="F163" t="s">
        <v>159</v>
      </c>
      <c r="G163" t="s">
        <v>757</v>
      </c>
      <c r="H163" t="s">
        <v>164</v>
      </c>
      <c r="I163">
        <v>71150</v>
      </c>
      <c r="J163">
        <v>170000</v>
      </c>
      <c r="K163">
        <v>0.41849999999999998</v>
      </c>
      <c r="L163">
        <v>2.3893183415319745</v>
      </c>
      <c r="M163" t="s">
        <v>13</v>
      </c>
      <c r="N163" t="s">
        <v>445</v>
      </c>
    </row>
    <row r="164" spans="1:14" hidden="1" x14ac:dyDescent="0.35">
      <c r="A164">
        <v>20000179</v>
      </c>
      <c r="B164" s="3">
        <v>44249</v>
      </c>
      <c r="C164" t="s">
        <v>460</v>
      </c>
      <c r="D164">
        <v>2021</v>
      </c>
      <c r="E164" s="14">
        <v>44228</v>
      </c>
      <c r="F164" t="s">
        <v>37</v>
      </c>
      <c r="G164" t="s">
        <v>766</v>
      </c>
      <c r="H164" t="s">
        <v>39</v>
      </c>
      <c r="I164">
        <v>94770</v>
      </c>
      <c r="J164">
        <v>170000</v>
      </c>
      <c r="K164">
        <v>0.55740000000000001</v>
      </c>
      <c r="L164">
        <v>1.7938166086314233</v>
      </c>
      <c r="M164" t="s">
        <v>13</v>
      </c>
      <c r="N164" t="s">
        <v>446</v>
      </c>
    </row>
    <row r="165" spans="1:14" hidden="1" x14ac:dyDescent="0.35">
      <c r="A165">
        <v>200468</v>
      </c>
      <c r="B165" s="3">
        <v>44239</v>
      </c>
      <c r="C165" t="s">
        <v>460</v>
      </c>
      <c r="D165">
        <v>2021</v>
      </c>
      <c r="E165" s="14">
        <v>44228</v>
      </c>
      <c r="F165" t="s">
        <v>125</v>
      </c>
      <c r="G165" t="s">
        <v>765</v>
      </c>
      <c r="H165" t="s">
        <v>126</v>
      </c>
      <c r="I165">
        <v>100520</v>
      </c>
      <c r="J165">
        <v>170000</v>
      </c>
      <c r="K165">
        <v>0.59119999999999995</v>
      </c>
      <c r="L165">
        <v>1.6912057302029446</v>
      </c>
      <c r="M165" t="s">
        <v>13</v>
      </c>
      <c r="N165" t="s">
        <v>446</v>
      </c>
    </row>
    <row r="166" spans="1:14" hidden="1" x14ac:dyDescent="0.35">
      <c r="A166">
        <v>200113</v>
      </c>
      <c r="B166" s="3">
        <v>44210</v>
      </c>
      <c r="C166" t="s">
        <v>464</v>
      </c>
      <c r="D166">
        <v>2021</v>
      </c>
      <c r="E166" s="14">
        <v>44197</v>
      </c>
      <c r="F166" t="s">
        <v>241</v>
      </c>
      <c r="G166" t="s">
        <v>762</v>
      </c>
      <c r="H166" t="s">
        <v>242</v>
      </c>
      <c r="I166">
        <v>98280</v>
      </c>
      <c r="J166">
        <v>169900</v>
      </c>
      <c r="K166">
        <v>0.57840000000000003</v>
      </c>
      <c r="L166">
        <v>1.7287342287342287</v>
      </c>
      <c r="M166" t="s">
        <v>13</v>
      </c>
      <c r="N166" t="s">
        <v>446</v>
      </c>
    </row>
    <row r="167" spans="1:14" hidden="1" x14ac:dyDescent="0.35">
      <c r="A167">
        <v>20522</v>
      </c>
      <c r="B167" s="3">
        <v>44266</v>
      </c>
      <c r="C167" t="s">
        <v>471</v>
      </c>
      <c r="D167">
        <v>2021</v>
      </c>
      <c r="E167" s="14">
        <v>44256</v>
      </c>
      <c r="F167" t="s">
        <v>98</v>
      </c>
      <c r="G167" t="s">
        <v>770</v>
      </c>
      <c r="H167" t="s">
        <v>100</v>
      </c>
      <c r="I167">
        <v>35875</v>
      </c>
      <c r="J167">
        <v>165000</v>
      </c>
      <c r="K167">
        <v>0.21740000000000001</v>
      </c>
      <c r="L167">
        <v>4.5993031358885021</v>
      </c>
      <c r="M167" t="s">
        <v>13</v>
      </c>
      <c r="N167" t="s">
        <v>445</v>
      </c>
    </row>
    <row r="168" spans="1:14" hidden="1" x14ac:dyDescent="0.35">
      <c r="A168">
        <v>20513</v>
      </c>
      <c r="B168" s="3">
        <v>44266</v>
      </c>
      <c r="C168" t="s">
        <v>471</v>
      </c>
      <c r="D168">
        <v>2021</v>
      </c>
      <c r="E168" s="14">
        <v>44256</v>
      </c>
      <c r="F168" t="s">
        <v>146</v>
      </c>
      <c r="G168" t="s">
        <v>757</v>
      </c>
      <c r="H168" t="s">
        <v>147</v>
      </c>
      <c r="I168">
        <v>97580</v>
      </c>
      <c r="J168">
        <v>163300</v>
      </c>
      <c r="K168">
        <v>0.59750000000000003</v>
      </c>
      <c r="L168">
        <v>1.673498667759787</v>
      </c>
      <c r="M168" t="s">
        <v>13</v>
      </c>
      <c r="N168" t="s">
        <v>446</v>
      </c>
    </row>
    <row r="169" spans="1:14" hidden="1" x14ac:dyDescent="0.35">
      <c r="A169">
        <v>200991</v>
      </c>
      <c r="B169" s="3">
        <v>44385</v>
      </c>
      <c r="C169" t="s">
        <v>458</v>
      </c>
      <c r="D169">
        <v>2021</v>
      </c>
      <c r="E169" s="14">
        <v>44378</v>
      </c>
      <c r="F169" t="s">
        <v>117</v>
      </c>
      <c r="G169" t="s">
        <v>765</v>
      </c>
      <c r="H169" t="s">
        <v>120</v>
      </c>
      <c r="I169">
        <v>104300</v>
      </c>
      <c r="J169">
        <v>160000</v>
      </c>
      <c r="K169">
        <v>0.65180000000000005</v>
      </c>
      <c r="L169">
        <v>1.5340364333652925</v>
      </c>
      <c r="M169" t="s">
        <v>13</v>
      </c>
      <c r="N169" t="s">
        <v>446</v>
      </c>
    </row>
    <row r="170" spans="1:14" hidden="1" x14ac:dyDescent="0.35">
      <c r="A170">
        <v>20000050</v>
      </c>
      <c r="B170" s="3">
        <v>44140</v>
      </c>
      <c r="C170" t="s">
        <v>475</v>
      </c>
      <c r="D170">
        <v>2020</v>
      </c>
      <c r="E170" s="14">
        <v>44136</v>
      </c>
      <c r="F170" t="s">
        <v>37</v>
      </c>
      <c r="G170" t="s">
        <v>766</v>
      </c>
      <c r="H170" t="s">
        <v>38</v>
      </c>
      <c r="I170">
        <v>105110</v>
      </c>
      <c r="J170">
        <v>160000</v>
      </c>
      <c r="K170">
        <v>0.65693749999999995</v>
      </c>
      <c r="L170">
        <v>1.5222148225668348</v>
      </c>
      <c r="M170" t="s">
        <v>13</v>
      </c>
      <c r="N170" t="s">
        <v>446</v>
      </c>
    </row>
    <row r="171" spans="1:14" hidden="1" x14ac:dyDescent="0.35">
      <c r="A171">
        <v>200032</v>
      </c>
      <c r="B171" s="3">
        <v>44112</v>
      </c>
      <c r="C171" t="s">
        <v>469</v>
      </c>
      <c r="D171">
        <v>2020</v>
      </c>
      <c r="E171" s="14">
        <v>44105</v>
      </c>
      <c r="F171" t="s">
        <v>32</v>
      </c>
      <c r="G171" t="s">
        <v>766</v>
      </c>
      <c r="H171" t="s">
        <v>33</v>
      </c>
      <c r="I171">
        <v>94920</v>
      </c>
      <c r="J171">
        <v>155000</v>
      </c>
      <c r="K171">
        <v>0.61229999999999996</v>
      </c>
      <c r="L171">
        <v>1.6329540665823852</v>
      </c>
      <c r="M171" t="s">
        <v>13</v>
      </c>
      <c r="N171" t="s">
        <v>446</v>
      </c>
    </row>
    <row r="172" spans="1:14" hidden="1" x14ac:dyDescent="0.35">
      <c r="A172">
        <v>201777</v>
      </c>
      <c r="B172" s="3">
        <v>44355</v>
      </c>
      <c r="C172" t="s">
        <v>454</v>
      </c>
      <c r="D172">
        <v>2021</v>
      </c>
      <c r="E172" s="14">
        <v>44348</v>
      </c>
      <c r="F172" t="s">
        <v>264</v>
      </c>
      <c r="G172" t="s">
        <v>759</v>
      </c>
      <c r="H172" t="s">
        <v>266</v>
      </c>
      <c r="I172">
        <v>36770</v>
      </c>
      <c r="J172">
        <v>150000</v>
      </c>
      <c r="K172">
        <v>0.24510000000000001</v>
      </c>
      <c r="L172">
        <v>4.0794125645906991</v>
      </c>
      <c r="M172" t="s">
        <v>13</v>
      </c>
      <c r="N172" t="s">
        <v>445</v>
      </c>
    </row>
    <row r="173" spans="1:14" hidden="1" x14ac:dyDescent="0.35">
      <c r="A173">
        <v>200285</v>
      </c>
      <c r="B173" s="3">
        <v>44298</v>
      </c>
      <c r="C173" t="s">
        <v>452</v>
      </c>
      <c r="D173">
        <v>2021</v>
      </c>
      <c r="E173" s="14">
        <v>44287</v>
      </c>
      <c r="F173" t="s">
        <v>96</v>
      </c>
      <c r="G173" t="s">
        <v>756</v>
      </c>
      <c r="H173" t="s">
        <v>97</v>
      </c>
      <c r="I173">
        <v>77840</v>
      </c>
      <c r="J173">
        <v>150000</v>
      </c>
      <c r="K173">
        <v>0.51890000000000003</v>
      </c>
      <c r="L173">
        <v>1.9270298047276464</v>
      </c>
      <c r="M173" t="s">
        <v>13</v>
      </c>
      <c r="N173" t="s">
        <v>446</v>
      </c>
    </row>
    <row r="174" spans="1:14" hidden="1" x14ac:dyDescent="0.35">
      <c r="A174">
        <v>201018</v>
      </c>
      <c r="B174" s="3">
        <v>44350</v>
      </c>
      <c r="C174" t="s">
        <v>454</v>
      </c>
      <c r="D174">
        <v>2021</v>
      </c>
      <c r="E174" s="14">
        <v>44348</v>
      </c>
      <c r="F174" t="s">
        <v>56</v>
      </c>
      <c r="G174" t="s">
        <v>758</v>
      </c>
      <c r="H174" t="s">
        <v>416</v>
      </c>
      <c r="I174">
        <v>136900</v>
      </c>
      <c r="J174">
        <v>150000</v>
      </c>
      <c r="K174">
        <v>0.91259999999999997</v>
      </c>
      <c r="L174">
        <v>1.0956902848794741</v>
      </c>
      <c r="M174" t="s">
        <v>13</v>
      </c>
      <c r="N174" t="s">
        <v>446</v>
      </c>
    </row>
    <row r="175" spans="1:14" hidden="1" x14ac:dyDescent="0.35">
      <c r="A175">
        <v>200375</v>
      </c>
      <c r="B175" s="3">
        <v>44292</v>
      </c>
      <c r="C175" t="s">
        <v>452</v>
      </c>
      <c r="D175">
        <v>2021</v>
      </c>
      <c r="E175" s="14">
        <v>44287</v>
      </c>
      <c r="F175" t="s">
        <v>66</v>
      </c>
      <c r="G175" t="s">
        <v>760</v>
      </c>
      <c r="H175" t="s">
        <v>417</v>
      </c>
      <c r="I175">
        <v>76960</v>
      </c>
      <c r="J175">
        <v>140000</v>
      </c>
      <c r="K175">
        <v>0.54969999999999997</v>
      </c>
      <c r="L175">
        <v>1.8191268191268191</v>
      </c>
      <c r="M175" t="s">
        <v>13</v>
      </c>
      <c r="N175" t="s">
        <v>446</v>
      </c>
    </row>
    <row r="176" spans="1:14" hidden="1" x14ac:dyDescent="0.35">
      <c r="A176">
        <v>202250</v>
      </c>
      <c r="B176" s="3">
        <v>44417</v>
      </c>
      <c r="C176" t="s">
        <v>462</v>
      </c>
      <c r="D176">
        <v>2021</v>
      </c>
      <c r="E176" s="14">
        <v>44409</v>
      </c>
      <c r="F176" t="s">
        <v>264</v>
      </c>
      <c r="G176" t="s">
        <v>759</v>
      </c>
      <c r="H176" t="s">
        <v>267</v>
      </c>
      <c r="I176">
        <v>63100</v>
      </c>
      <c r="J176">
        <v>139900</v>
      </c>
      <c r="K176">
        <v>0.45100000000000001</v>
      </c>
      <c r="L176">
        <v>2.2171156893819335</v>
      </c>
      <c r="M176" t="s">
        <v>13</v>
      </c>
      <c r="N176" t="s">
        <v>445</v>
      </c>
    </row>
    <row r="177" spans="1:14" hidden="1" x14ac:dyDescent="0.35">
      <c r="A177">
        <v>200436</v>
      </c>
      <c r="B177" s="3">
        <v>44320</v>
      </c>
      <c r="C177" t="s">
        <v>456</v>
      </c>
      <c r="D177">
        <v>2021</v>
      </c>
      <c r="E177" s="14">
        <v>44317</v>
      </c>
      <c r="F177" t="s">
        <v>92</v>
      </c>
      <c r="G177" t="s">
        <v>756</v>
      </c>
      <c r="H177" t="s">
        <v>93</v>
      </c>
      <c r="I177">
        <v>71960</v>
      </c>
      <c r="J177">
        <v>130000</v>
      </c>
      <c r="K177">
        <v>0.55349999999999999</v>
      </c>
      <c r="L177">
        <v>1.8065591995553085</v>
      </c>
      <c r="M177" t="s">
        <v>13</v>
      </c>
      <c r="N177" t="s">
        <v>446</v>
      </c>
    </row>
    <row r="178" spans="1:14" hidden="1" x14ac:dyDescent="0.35">
      <c r="A178">
        <v>200377</v>
      </c>
      <c r="B178" s="3">
        <v>44344</v>
      </c>
      <c r="C178" t="s">
        <v>456</v>
      </c>
      <c r="D178">
        <v>2021</v>
      </c>
      <c r="E178" s="14">
        <v>44317</v>
      </c>
      <c r="F178" t="s">
        <v>210</v>
      </c>
      <c r="G178" t="s">
        <v>762</v>
      </c>
      <c r="H178" t="s">
        <v>212</v>
      </c>
      <c r="I178">
        <v>80010</v>
      </c>
      <c r="J178">
        <v>130000</v>
      </c>
      <c r="K178">
        <v>0.61539999999999995</v>
      </c>
      <c r="L178">
        <v>1.6247969003874516</v>
      </c>
      <c r="M178" t="s">
        <v>13</v>
      </c>
      <c r="N178" t="s">
        <v>446</v>
      </c>
    </row>
    <row r="179" spans="1:14" hidden="1" x14ac:dyDescent="0.35">
      <c r="A179">
        <v>20273</v>
      </c>
      <c r="B179" s="3">
        <v>44207</v>
      </c>
      <c r="C179" t="s">
        <v>464</v>
      </c>
      <c r="D179">
        <v>2021</v>
      </c>
      <c r="E179" s="14">
        <v>44197</v>
      </c>
      <c r="F179" t="s">
        <v>142</v>
      </c>
      <c r="G179" t="s">
        <v>754</v>
      </c>
      <c r="H179" t="s">
        <v>199</v>
      </c>
      <c r="I179">
        <v>89810</v>
      </c>
      <c r="J179">
        <v>128300</v>
      </c>
      <c r="K179">
        <v>0.7</v>
      </c>
      <c r="L179">
        <v>1.4285714285714286</v>
      </c>
      <c r="M179" t="s">
        <v>13</v>
      </c>
      <c r="N179" t="s">
        <v>446</v>
      </c>
    </row>
    <row r="180" spans="1:14" hidden="1" x14ac:dyDescent="0.35">
      <c r="A180">
        <v>200174</v>
      </c>
      <c r="B180" s="3">
        <v>44155</v>
      </c>
      <c r="C180" t="s">
        <v>475</v>
      </c>
      <c r="D180">
        <v>2020</v>
      </c>
      <c r="E180" s="14">
        <v>44136</v>
      </c>
      <c r="F180" t="s">
        <v>139</v>
      </c>
      <c r="G180" t="s">
        <v>763</v>
      </c>
      <c r="H180" t="s">
        <v>251</v>
      </c>
      <c r="I180">
        <v>58020</v>
      </c>
      <c r="J180">
        <v>122500</v>
      </c>
      <c r="K180">
        <v>0.47360000000000002</v>
      </c>
      <c r="L180">
        <v>2.1113409169251982</v>
      </c>
      <c r="M180" t="s">
        <v>13</v>
      </c>
      <c r="N180" t="s">
        <v>445</v>
      </c>
    </row>
    <row r="181" spans="1:14" hidden="1" x14ac:dyDescent="0.35">
      <c r="A181">
        <v>201592</v>
      </c>
      <c r="B181" s="3">
        <v>44328</v>
      </c>
      <c r="C181" t="s">
        <v>456</v>
      </c>
      <c r="D181">
        <v>2021</v>
      </c>
      <c r="E181" s="14">
        <v>44317</v>
      </c>
      <c r="F181" t="s">
        <v>264</v>
      </c>
      <c r="G181" t="s">
        <v>759</v>
      </c>
      <c r="H181" t="s">
        <v>265</v>
      </c>
      <c r="I181">
        <v>73860</v>
      </c>
      <c r="J181">
        <v>122000</v>
      </c>
      <c r="K181">
        <v>0.60540000000000005</v>
      </c>
      <c r="L181">
        <v>1.6517736257784998</v>
      </c>
      <c r="M181" t="s">
        <v>13</v>
      </c>
      <c r="N181" t="s">
        <v>446</v>
      </c>
    </row>
    <row r="182" spans="1:14" hidden="1" x14ac:dyDescent="0.35">
      <c r="A182">
        <v>200953</v>
      </c>
      <c r="B182" s="3">
        <v>44344</v>
      </c>
      <c r="C182" t="s">
        <v>456</v>
      </c>
      <c r="D182">
        <v>2021</v>
      </c>
      <c r="E182" s="14">
        <v>44317</v>
      </c>
      <c r="F182" t="s">
        <v>159</v>
      </c>
      <c r="G182" t="s">
        <v>757</v>
      </c>
      <c r="H182" t="s">
        <v>161</v>
      </c>
      <c r="I182">
        <v>64470</v>
      </c>
      <c r="J182">
        <v>105000</v>
      </c>
      <c r="K182">
        <v>0.61399999999999999</v>
      </c>
      <c r="L182">
        <v>1.6286644951140066</v>
      </c>
      <c r="M182" t="s">
        <v>13</v>
      </c>
      <c r="N182" t="s">
        <v>446</v>
      </c>
    </row>
    <row r="183" spans="1:14" hidden="1" x14ac:dyDescent="0.35">
      <c r="A183">
        <v>200007</v>
      </c>
      <c r="B183" s="3">
        <v>44106</v>
      </c>
      <c r="C183" t="s">
        <v>469</v>
      </c>
      <c r="D183">
        <v>2020</v>
      </c>
      <c r="E183" s="14">
        <v>44105</v>
      </c>
      <c r="F183" t="s">
        <v>219</v>
      </c>
      <c r="G183" t="s">
        <v>762</v>
      </c>
      <c r="H183" t="s">
        <v>220</v>
      </c>
      <c r="I183">
        <v>68300</v>
      </c>
      <c r="J183">
        <v>105000</v>
      </c>
      <c r="K183">
        <v>0.65039999999999998</v>
      </c>
      <c r="L183">
        <v>1.5373352855051245</v>
      </c>
      <c r="M183" t="s">
        <v>13</v>
      </c>
      <c r="N183" t="s">
        <v>446</v>
      </c>
    </row>
    <row r="184" spans="1:14" hidden="1" x14ac:dyDescent="0.35">
      <c r="A184">
        <v>201212</v>
      </c>
      <c r="B184" s="3">
        <v>44431</v>
      </c>
      <c r="C184" t="s">
        <v>462</v>
      </c>
      <c r="D184">
        <v>2021</v>
      </c>
      <c r="E184" s="14">
        <v>44409</v>
      </c>
      <c r="F184" t="s">
        <v>32</v>
      </c>
      <c r="G184" t="s">
        <v>766</v>
      </c>
      <c r="H184" t="s">
        <v>36</v>
      </c>
      <c r="I184">
        <v>88060</v>
      </c>
      <c r="J184">
        <v>91000</v>
      </c>
      <c r="K184">
        <v>0.96760000000000002</v>
      </c>
      <c r="L184">
        <v>1.0333863275039745</v>
      </c>
      <c r="M184" t="s">
        <v>13</v>
      </c>
      <c r="N184" t="s">
        <v>446</v>
      </c>
    </row>
    <row r="185" spans="1:14" hidden="1" x14ac:dyDescent="0.35">
      <c r="A185">
        <v>2020065</v>
      </c>
      <c r="B185" s="3">
        <v>44185</v>
      </c>
      <c r="C185" t="s">
        <v>450</v>
      </c>
      <c r="D185">
        <v>2020</v>
      </c>
      <c r="E185" s="14">
        <v>44166</v>
      </c>
      <c r="F185" t="s">
        <v>138</v>
      </c>
      <c r="G185" t="s">
        <v>763</v>
      </c>
      <c r="H185" t="s">
        <v>248</v>
      </c>
      <c r="I185">
        <v>55200</v>
      </c>
      <c r="J185">
        <v>90000</v>
      </c>
      <c r="K185">
        <v>0.61329999999999996</v>
      </c>
      <c r="L185">
        <v>1.6304347826086956</v>
      </c>
      <c r="M185" t="s">
        <v>13</v>
      </c>
      <c r="N185" t="s">
        <v>446</v>
      </c>
    </row>
    <row r="186" spans="1:14" hidden="1" x14ac:dyDescent="0.35">
      <c r="A186">
        <v>200377</v>
      </c>
      <c r="B186" s="3">
        <v>44424</v>
      </c>
      <c r="C186" t="s">
        <v>462</v>
      </c>
      <c r="D186">
        <v>2021</v>
      </c>
      <c r="E186" s="14">
        <v>44409</v>
      </c>
      <c r="F186" t="s">
        <v>189</v>
      </c>
      <c r="G186" t="s">
        <v>764</v>
      </c>
      <c r="H186" t="s">
        <v>190</v>
      </c>
      <c r="I186">
        <v>41090</v>
      </c>
      <c r="J186">
        <v>89900</v>
      </c>
      <c r="K186">
        <v>0.45700000000000002</v>
      </c>
      <c r="L186">
        <v>2.1878802628376732</v>
      </c>
      <c r="M186" t="s">
        <v>13</v>
      </c>
      <c r="N186" t="s">
        <v>445</v>
      </c>
    </row>
    <row r="187" spans="1:14" hidden="1" x14ac:dyDescent="0.35">
      <c r="A187">
        <v>2020256</v>
      </c>
      <c r="B187" s="3">
        <v>44370</v>
      </c>
      <c r="C187" t="s">
        <v>454</v>
      </c>
      <c r="D187">
        <v>2021</v>
      </c>
      <c r="E187" s="14">
        <v>44348</v>
      </c>
      <c r="F187" t="s">
        <v>138</v>
      </c>
      <c r="G187" t="s">
        <v>763</v>
      </c>
      <c r="H187" t="s">
        <v>247</v>
      </c>
      <c r="I187">
        <v>55200</v>
      </c>
      <c r="J187">
        <v>89900</v>
      </c>
      <c r="K187">
        <v>0.61401557299999998</v>
      </c>
      <c r="L187">
        <v>1.6286231884057971</v>
      </c>
      <c r="M187" t="s">
        <v>13</v>
      </c>
      <c r="N187" t="s">
        <v>446</v>
      </c>
    </row>
    <row r="188" spans="1:14" hidden="1" x14ac:dyDescent="0.35">
      <c r="A188">
        <v>200821</v>
      </c>
      <c r="B188" s="3">
        <v>44343</v>
      </c>
      <c r="C188" t="s">
        <v>456</v>
      </c>
      <c r="D188">
        <v>2021</v>
      </c>
      <c r="E188" s="14">
        <v>44317</v>
      </c>
      <c r="F188" t="s">
        <v>125</v>
      </c>
      <c r="G188" t="s">
        <v>765</v>
      </c>
      <c r="H188" t="s">
        <v>127</v>
      </c>
      <c r="I188">
        <v>67270</v>
      </c>
      <c r="J188">
        <v>82000</v>
      </c>
      <c r="K188">
        <v>0.82030000000000003</v>
      </c>
      <c r="L188">
        <v>1.2189683365541846</v>
      </c>
      <c r="M188" t="s">
        <v>13</v>
      </c>
      <c r="N188" t="s">
        <v>446</v>
      </c>
    </row>
    <row r="189" spans="1:14" hidden="1" x14ac:dyDescent="0.35">
      <c r="A189">
        <v>200242</v>
      </c>
      <c r="B189" s="3">
        <v>44223</v>
      </c>
      <c r="C189" t="s">
        <v>464</v>
      </c>
      <c r="D189">
        <v>2021</v>
      </c>
      <c r="E189" s="14">
        <v>44197</v>
      </c>
      <c r="F189" t="s">
        <v>66</v>
      </c>
      <c r="G189" t="s">
        <v>760</v>
      </c>
      <c r="H189" t="s">
        <v>67</v>
      </c>
      <c r="I189">
        <v>28240</v>
      </c>
      <c r="J189">
        <v>73000</v>
      </c>
      <c r="K189">
        <v>0.38684931500000003</v>
      </c>
      <c r="L189">
        <v>2.5849858356940509</v>
      </c>
      <c r="M189" t="s">
        <v>13</v>
      </c>
      <c r="N189" t="s">
        <v>445</v>
      </c>
    </row>
    <row r="190" spans="1:14" hidden="1" x14ac:dyDescent="0.35">
      <c r="A190">
        <v>2000720</v>
      </c>
      <c r="B190" s="3">
        <v>44201</v>
      </c>
      <c r="C190" t="s">
        <v>464</v>
      </c>
      <c r="D190">
        <v>2021</v>
      </c>
      <c r="E190" s="14">
        <v>44197</v>
      </c>
      <c r="F190" t="s">
        <v>181</v>
      </c>
      <c r="G190" t="s">
        <v>762</v>
      </c>
      <c r="H190" t="s">
        <v>221</v>
      </c>
      <c r="I190">
        <v>19110</v>
      </c>
      <c r="J190">
        <v>27500</v>
      </c>
      <c r="K190">
        <v>0.69489999999999996</v>
      </c>
      <c r="L190">
        <v>1.4390371533228676</v>
      </c>
      <c r="M190" t="s">
        <v>13</v>
      </c>
      <c r="N190" t="s">
        <v>446</v>
      </c>
    </row>
  </sheetData>
  <phoneticPr fontId="4"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66B78-1C03-466E-82AE-A85BAFFB16CC}">
  <dimension ref="A1:B13"/>
  <sheetViews>
    <sheetView workbookViewId="0">
      <selection activeCell="C17" sqref="C17"/>
    </sheetView>
  </sheetViews>
  <sheetFormatPr defaultRowHeight="14.5" x14ac:dyDescent="0.35"/>
  <cols>
    <col min="1" max="1" width="15" bestFit="1" customWidth="1"/>
    <col min="2" max="2" width="16.54296875" bestFit="1" customWidth="1"/>
  </cols>
  <sheetData>
    <row r="1" spans="1:2" x14ac:dyDescent="0.35">
      <c r="A1" t="s">
        <v>447</v>
      </c>
      <c r="B1" t="s">
        <v>774</v>
      </c>
    </row>
    <row r="2" spans="1:2" x14ac:dyDescent="0.35">
      <c r="A2" t="s">
        <v>450</v>
      </c>
      <c r="B2">
        <v>21019750</v>
      </c>
    </row>
    <row r="3" spans="1:2" x14ac:dyDescent="0.35">
      <c r="A3" t="s">
        <v>458</v>
      </c>
      <c r="B3">
        <v>19705766</v>
      </c>
    </row>
    <row r="4" spans="1:2" x14ac:dyDescent="0.35">
      <c r="A4" t="s">
        <v>456</v>
      </c>
      <c r="B4">
        <v>16335860</v>
      </c>
    </row>
    <row r="5" spans="1:2" x14ac:dyDescent="0.35">
      <c r="A5" t="s">
        <v>454</v>
      </c>
      <c r="B5">
        <v>13613338</v>
      </c>
    </row>
    <row r="6" spans="1:2" x14ac:dyDescent="0.35">
      <c r="A6" t="s">
        <v>473</v>
      </c>
      <c r="B6">
        <v>12590314</v>
      </c>
    </row>
    <row r="7" spans="1:2" x14ac:dyDescent="0.35">
      <c r="A7" t="s">
        <v>452</v>
      </c>
      <c r="B7">
        <v>10525618</v>
      </c>
    </row>
    <row r="8" spans="1:2" x14ac:dyDescent="0.35">
      <c r="A8" t="s">
        <v>471</v>
      </c>
      <c r="B8">
        <v>9929200</v>
      </c>
    </row>
    <row r="9" spans="1:2" x14ac:dyDescent="0.35">
      <c r="A9" t="s">
        <v>462</v>
      </c>
      <c r="B9">
        <v>8461250</v>
      </c>
    </row>
    <row r="10" spans="1:2" x14ac:dyDescent="0.35">
      <c r="A10" t="s">
        <v>469</v>
      </c>
      <c r="B10">
        <v>8302200</v>
      </c>
    </row>
    <row r="11" spans="1:2" x14ac:dyDescent="0.35">
      <c r="A11" t="s">
        <v>464</v>
      </c>
      <c r="B11">
        <v>7682911</v>
      </c>
    </row>
    <row r="12" spans="1:2" x14ac:dyDescent="0.35">
      <c r="A12" t="s">
        <v>460</v>
      </c>
      <c r="B12">
        <v>6840800</v>
      </c>
    </row>
    <row r="13" spans="1:2" x14ac:dyDescent="0.35">
      <c r="A13" t="s">
        <v>475</v>
      </c>
      <c r="B13">
        <v>5424626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C8C70-794B-4363-89B7-DB3255903196}">
  <dimension ref="A1:B13"/>
  <sheetViews>
    <sheetView workbookViewId="0">
      <selection sqref="A1:B13"/>
    </sheetView>
  </sheetViews>
  <sheetFormatPr defaultRowHeight="14.5" x14ac:dyDescent="0.35"/>
  <cols>
    <col min="1" max="1" width="15" bestFit="1" customWidth="1"/>
    <col min="2" max="2" width="15.26953125" bestFit="1" customWidth="1"/>
  </cols>
  <sheetData>
    <row r="1" spans="1:2" x14ac:dyDescent="0.35">
      <c r="A1" t="s">
        <v>447</v>
      </c>
      <c r="B1" t="s">
        <v>586</v>
      </c>
    </row>
    <row r="2" spans="1:2" x14ac:dyDescent="0.35">
      <c r="A2" t="s">
        <v>458</v>
      </c>
      <c r="B2" s="9">
        <v>18232500</v>
      </c>
    </row>
    <row r="3" spans="1:2" x14ac:dyDescent="0.35">
      <c r="A3" t="s">
        <v>456</v>
      </c>
      <c r="B3" s="9">
        <v>13799650</v>
      </c>
    </row>
    <row r="4" spans="1:2" x14ac:dyDescent="0.35">
      <c r="A4" t="s">
        <v>452</v>
      </c>
      <c r="B4" s="9">
        <v>9926618</v>
      </c>
    </row>
    <row r="5" spans="1:2" x14ac:dyDescent="0.35">
      <c r="A5" t="s">
        <v>454</v>
      </c>
      <c r="B5" s="9">
        <v>9165300</v>
      </c>
    </row>
    <row r="6" spans="1:2" x14ac:dyDescent="0.35">
      <c r="A6" t="s">
        <v>473</v>
      </c>
      <c r="B6" s="9">
        <v>9003365</v>
      </c>
    </row>
    <row r="7" spans="1:2" x14ac:dyDescent="0.35">
      <c r="A7" t="s">
        <v>471</v>
      </c>
      <c r="B7" s="9">
        <v>8580700</v>
      </c>
    </row>
    <row r="8" spans="1:2" x14ac:dyDescent="0.35">
      <c r="A8" t="s">
        <v>462</v>
      </c>
      <c r="B8" s="9">
        <v>7569800</v>
      </c>
    </row>
    <row r="9" spans="1:2" x14ac:dyDescent="0.35">
      <c r="A9" t="s">
        <v>464</v>
      </c>
      <c r="B9" s="9">
        <v>7332711</v>
      </c>
    </row>
    <row r="10" spans="1:2" x14ac:dyDescent="0.35">
      <c r="A10" t="s">
        <v>469</v>
      </c>
      <c r="B10" s="9">
        <v>6832000</v>
      </c>
    </row>
    <row r="11" spans="1:2" x14ac:dyDescent="0.35">
      <c r="A11" t="s">
        <v>460</v>
      </c>
      <c r="B11" s="9">
        <v>6027800</v>
      </c>
    </row>
    <row r="12" spans="1:2" x14ac:dyDescent="0.35">
      <c r="A12" t="s">
        <v>450</v>
      </c>
      <c r="B12" s="9">
        <v>5553900</v>
      </c>
    </row>
    <row r="13" spans="1:2" x14ac:dyDescent="0.35">
      <c r="A13" t="s">
        <v>475</v>
      </c>
      <c r="B13" s="9">
        <v>3652005</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5D867-CB8F-4E92-9FD5-7FE2CCF84855}">
  <dimension ref="A1:R207"/>
  <sheetViews>
    <sheetView workbookViewId="0">
      <selection activeCell="D19" sqref="D19"/>
    </sheetView>
  </sheetViews>
  <sheetFormatPr defaultRowHeight="14.5" x14ac:dyDescent="0.35"/>
  <cols>
    <col min="1" max="1" width="13.81640625" bestFit="1" customWidth="1"/>
    <col min="2" max="2" width="14.1796875" bestFit="1" customWidth="1"/>
    <col min="3" max="3" width="12.7265625" bestFit="1" customWidth="1"/>
    <col min="4" max="4" width="5" bestFit="1" customWidth="1"/>
    <col min="5" max="5" width="11.81640625" bestFit="1" customWidth="1"/>
    <col min="6" max="6" width="14.1796875" bestFit="1" customWidth="1"/>
    <col min="7" max="7" width="12.26953125" bestFit="1" customWidth="1"/>
    <col min="8" max="8" width="31.54296875" bestFit="1" customWidth="1"/>
    <col min="9" max="9" width="14.81640625" bestFit="1" customWidth="1"/>
    <col min="10" max="10" width="12.26953125" bestFit="1" customWidth="1"/>
    <col min="11" max="12" width="12" bestFit="1" customWidth="1"/>
    <col min="13" max="13" width="13.54296875" bestFit="1" customWidth="1"/>
    <col min="14" max="14" width="12.453125" bestFit="1" customWidth="1"/>
    <col min="15" max="15" width="8.81640625" bestFit="1" customWidth="1"/>
    <col min="16" max="16" width="9.81640625" bestFit="1" customWidth="1"/>
    <col min="17" max="18" width="8.81640625" bestFit="1" customWidth="1"/>
  </cols>
  <sheetData>
    <row r="1" spans="1:18" x14ac:dyDescent="0.35">
      <c r="A1" t="s">
        <v>0</v>
      </c>
      <c r="B1" t="s">
        <v>1</v>
      </c>
      <c r="C1" t="s">
        <v>447</v>
      </c>
      <c r="D1" t="s">
        <v>448</v>
      </c>
      <c r="E1" t="s">
        <v>449</v>
      </c>
      <c r="F1" t="s">
        <v>2</v>
      </c>
      <c r="G1" t="s">
        <v>753</v>
      </c>
      <c r="H1" t="s">
        <v>3</v>
      </c>
      <c r="I1" t="s">
        <v>4</v>
      </c>
      <c r="J1" t="s">
        <v>5</v>
      </c>
      <c r="K1" t="s">
        <v>6</v>
      </c>
      <c r="L1" t="s">
        <v>438</v>
      </c>
      <c r="M1" t="s">
        <v>7</v>
      </c>
      <c r="N1" t="s">
        <v>444</v>
      </c>
      <c r="O1" t="s">
        <v>547</v>
      </c>
      <c r="P1" t="s">
        <v>775</v>
      </c>
      <c r="Q1" t="s">
        <v>588</v>
      </c>
      <c r="R1" t="s">
        <v>740</v>
      </c>
    </row>
    <row r="2" spans="1:18" x14ac:dyDescent="0.35">
      <c r="A2">
        <v>200195</v>
      </c>
      <c r="B2" t="s">
        <v>704</v>
      </c>
      <c r="C2" t="s">
        <v>452</v>
      </c>
      <c r="D2">
        <v>2021</v>
      </c>
      <c r="E2" s="14">
        <v>44287</v>
      </c>
      <c r="F2" t="s">
        <v>54</v>
      </c>
      <c r="G2" t="s">
        <v>755</v>
      </c>
      <c r="H2" t="s">
        <v>415</v>
      </c>
      <c r="I2">
        <v>3360000</v>
      </c>
      <c r="J2">
        <v>5214750</v>
      </c>
      <c r="K2">
        <v>0.64429999999999998</v>
      </c>
      <c r="L2">
        <v>1.5520089285714285</v>
      </c>
      <c r="M2" t="s">
        <v>10</v>
      </c>
      <c r="N2" t="s">
        <v>446</v>
      </c>
      <c r="P2" t="str">
        <f>TEXT(Table1_3__3__7[[#This Row],[Date Recorded]], "mmm")</f>
        <v>Apr</v>
      </c>
      <c r="Q2">
        <v>2021</v>
      </c>
      <c r="R2" cm="1">
        <f t="array" ref="R2">MONTH(Table1_3__3__7[Date Recorded])</f>
        <v>4</v>
      </c>
    </row>
    <row r="3" spans="1:18" x14ac:dyDescent="0.35">
      <c r="A3">
        <v>201233</v>
      </c>
      <c r="B3" t="s">
        <v>696</v>
      </c>
      <c r="C3" t="s">
        <v>454</v>
      </c>
      <c r="D3">
        <v>2021</v>
      </c>
      <c r="E3" s="14">
        <v>44348</v>
      </c>
      <c r="F3" t="s">
        <v>85</v>
      </c>
      <c r="G3" t="s">
        <v>756</v>
      </c>
      <c r="H3" t="s">
        <v>86</v>
      </c>
      <c r="I3">
        <v>4259500</v>
      </c>
      <c r="J3">
        <v>4300000</v>
      </c>
      <c r="K3">
        <v>0.99050000000000005</v>
      </c>
      <c r="L3">
        <v>1.0095081582345347</v>
      </c>
      <c r="M3" t="s">
        <v>13</v>
      </c>
      <c r="N3" t="s">
        <v>446</v>
      </c>
      <c r="P3" t="str">
        <f>TEXT(Table1_3__3__7[[#This Row],[Date Recorded]], "mmm")</f>
        <v>Jun</v>
      </c>
      <c r="Q3">
        <v>2021</v>
      </c>
      <c r="R3" cm="1">
        <f t="array" ref="R3">MONTH(Table1_3__3__7[Date Recorded])</f>
        <v>4</v>
      </c>
    </row>
    <row r="4" spans="1:18" x14ac:dyDescent="0.35">
      <c r="A4">
        <v>170261</v>
      </c>
      <c r="B4" t="s">
        <v>590</v>
      </c>
      <c r="C4" t="s">
        <v>456</v>
      </c>
      <c r="D4">
        <v>2018</v>
      </c>
      <c r="E4" s="14">
        <v>43221</v>
      </c>
      <c r="F4" t="s">
        <v>144</v>
      </c>
      <c r="G4" t="s">
        <v>757</v>
      </c>
      <c r="H4" t="s">
        <v>384</v>
      </c>
      <c r="I4">
        <v>30660</v>
      </c>
      <c r="J4">
        <v>3266250</v>
      </c>
      <c r="K4">
        <v>9.3869120000000007E-3</v>
      </c>
      <c r="L4">
        <v>106.53131115459882</v>
      </c>
      <c r="M4" t="s">
        <v>16</v>
      </c>
      <c r="N4" t="s">
        <v>445</v>
      </c>
      <c r="P4" t="str">
        <f>TEXT(Table1_3__3__7[[#This Row],[Date Recorded]], "mmm")</f>
        <v>May</v>
      </c>
      <c r="Q4">
        <v>2018</v>
      </c>
      <c r="R4" cm="1">
        <f t="array" ref="R4">MONTH(Table1_3__3__7[Date Recorded])</f>
        <v>4</v>
      </c>
    </row>
    <row r="5" spans="1:18" x14ac:dyDescent="0.35">
      <c r="A5">
        <v>170255</v>
      </c>
      <c r="B5" t="s">
        <v>590</v>
      </c>
      <c r="C5" t="s">
        <v>456</v>
      </c>
      <c r="D5">
        <v>2018</v>
      </c>
      <c r="E5" s="14">
        <v>43221</v>
      </c>
      <c r="F5" t="s">
        <v>144</v>
      </c>
      <c r="G5" t="s">
        <v>757</v>
      </c>
      <c r="H5" t="s">
        <v>390</v>
      </c>
      <c r="I5">
        <v>30660</v>
      </c>
      <c r="J5">
        <v>3266250</v>
      </c>
      <c r="K5">
        <v>9.3869120000000007E-3</v>
      </c>
      <c r="L5">
        <v>106.53131115459882</v>
      </c>
      <c r="M5" t="s">
        <v>16</v>
      </c>
      <c r="N5" t="s">
        <v>445</v>
      </c>
      <c r="P5" t="str">
        <f>TEXT(Table1_3__3__7[[#This Row],[Date Recorded]], "mmm")</f>
        <v>May</v>
      </c>
      <c r="Q5">
        <v>2018</v>
      </c>
      <c r="R5" cm="1">
        <f t="array" ref="R5">MONTH(Table1_3__3__7[Date Recorded])</f>
        <v>4</v>
      </c>
    </row>
    <row r="6" spans="1:18" x14ac:dyDescent="0.35">
      <c r="A6">
        <v>201186</v>
      </c>
      <c r="B6" t="s">
        <v>591</v>
      </c>
      <c r="C6" t="s">
        <v>458</v>
      </c>
      <c r="D6">
        <v>2021</v>
      </c>
      <c r="E6" s="14">
        <v>44378</v>
      </c>
      <c r="F6" t="s">
        <v>56</v>
      </c>
      <c r="G6" t="s">
        <v>758</v>
      </c>
      <c r="H6" t="s">
        <v>60</v>
      </c>
      <c r="I6">
        <v>695500</v>
      </c>
      <c r="J6">
        <v>3200000</v>
      </c>
      <c r="K6">
        <v>0.21734375</v>
      </c>
      <c r="L6">
        <v>4.6010064701653484</v>
      </c>
      <c r="M6" t="s">
        <v>10</v>
      </c>
      <c r="N6" t="s">
        <v>445</v>
      </c>
      <c r="P6" t="str">
        <f>TEXT(Table1_3__3__7[[#This Row],[Date Recorded]], "mmm")</f>
        <v>Jul</v>
      </c>
      <c r="Q6">
        <v>2021</v>
      </c>
      <c r="R6" cm="1">
        <f t="array" ref="R6">MONTH(Table1_3__3__7[Date Recorded])</f>
        <v>4</v>
      </c>
    </row>
    <row r="7" spans="1:18" x14ac:dyDescent="0.35">
      <c r="A7">
        <v>200645</v>
      </c>
      <c r="B7" t="s">
        <v>711</v>
      </c>
      <c r="C7" t="s">
        <v>460</v>
      </c>
      <c r="D7">
        <v>2021</v>
      </c>
      <c r="E7" s="14">
        <v>44228</v>
      </c>
      <c r="F7" t="s">
        <v>85</v>
      </c>
      <c r="G7" t="s">
        <v>756</v>
      </c>
      <c r="H7" t="s">
        <v>423</v>
      </c>
      <c r="I7">
        <v>2661200</v>
      </c>
      <c r="J7">
        <v>3000000</v>
      </c>
      <c r="K7">
        <v>0.88700000000000001</v>
      </c>
      <c r="L7">
        <v>1.1273109875244252</v>
      </c>
      <c r="M7" t="s">
        <v>13</v>
      </c>
      <c r="N7" t="s">
        <v>446</v>
      </c>
      <c r="P7" t="str">
        <f>TEXT(Table1_3__3__7[[#This Row],[Date Recorded]], "mmm")</f>
        <v>Feb</v>
      </c>
      <c r="Q7">
        <v>2021</v>
      </c>
      <c r="R7" cm="1">
        <f t="array" ref="R7">MONTH(Table1_3__3__7[Date Recorded])</f>
        <v>4</v>
      </c>
    </row>
    <row r="8" spans="1:18" x14ac:dyDescent="0.35">
      <c r="A8">
        <v>200661</v>
      </c>
      <c r="B8" t="s">
        <v>653</v>
      </c>
      <c r="C8" t="s">
        <v>462</v>
      </c>
      <c r="D8">
        <v>2021</v>
      </c>
      <c r="E8" s="14">
        <v>44409</v>
      </c>
      <c r="F8" t="s">
        <v>152</v>
      </c>
      <c r="G8" t="s">
        <v>757</v>
      </c>
      <c r="H8" t="s">
        <v>154</v>
      </c>
      <c r="I8">
        <v>1279460</v>
      </c>
      <c r="J8">
        <v>2400000</v>
      </c>
      <c r="K8">
        <v>0.53310000000000002</v>
      </c>
      <c r="L8">
        <v>1.87579134947556</v>
      </c>
      <c r="M8" t="s">
        <v>13</v>
      </c>
      <c r="N8" t="s">
        <v>446</v>
      </c>
      <c r="P8" t="str">
        <f>TEXT(Table1_3__3__7[[#This Row],[Date Recorded]], "mmm")</f>
        <v>Aug</v>
      </c>
      <c r="Q8">
        <v>2021</v>
      </c>
      <c r="R8" cm="1">
        <f t="array" ref="R8">MONTH(Table1_3__3__7[Date Recorded])</f>
        <v>4</v>
      </c>
    </row>
    <row r="9" spans="1:18" x14ac:dyDescent="0.35">
      <c r="A9">
        <v>201437</v>
      </c>
      <c r="B9" t="s">
        <v>650</v>
      </c>
      <c r="C9" t="s">
        <v>458</v>
      </c>
      <c r="D9">
        <v>2021</v>
      </c>
      <c r="E9" s="14">
        <v>44378</v>
      </c>
      <c r="F9" t="s">
        <v>85</v>
      </c>
      <c r="G9" t="s">
        <v>756</v>
      </c>
      <c r="H9" t="s">
        <v>87</v>
      </c>
      <c r="I9">
        <v>1337630</v>
      </c>
      <c r="J9">
        <v>2300000</v>
      </c>
      <c r="K9">
        <v>0.58150000000000002</v>
      </c>
      <c r="L9">
        <v>1.7194590432331811</v>
      </c>
      <c r="M9" t="s">
        <v>13</v>
      </c>
      <c r="N9" t="s">
        <v>446</v>
      </c>
      <c r="P9" t="str">
        <f>TEXT(Table1_3__3__7[[#This Row],[Date Recorded]], "mmm")</f>
        <v>Jul</v>
      </c>
      <c r="Q9">
        <v>2021</v>
      </c>
      <c r="R9" cm="1">
        <f t="array" ref="R9">MONTH(Table1_3__3__7[Date Recorded])</f>
        <v>4</v>
      </c>
    </row>
    <row r="10" spans="1:18" x14ac:dyDescent="0.35">
      <c r="A10">
        <v>200055</v>
      </c>
      <c r="B10" t="s">
        <v>614</v>
      </c>
      <c r="C10" t="s">
        <v>464</v>
      </c>
      <c r="D10">
        <v>2021</v>
      </c>
      <c r="E10" s="14">
        <v>44197</v>
      </c>
      <c r="F10" t="s">
        <v>262</v>
      </c>
      <c r="G10" t="s">
        <v>759</v>
      </c>
      <c r="H10" t="s">
        <v>263</v>
      </c>
      <c r="I10">
        <v>1030330</v>
      </c>
      <c r="J10">
        <v>2285000</v>
      </c>
      <c r="K10">
        <v>0.45090000000000002</v>
      </c>
      <c r="L10">
        <v>2.2177360651441771</v>
      </c>
      <c r="M10" t="s">
        <v>13</v>
      </c>
      <c r="N10" t="s">
        <v>445</v>
      </c>
      <c r="P10" t="str">
        <f>TEXT(Table1_3__3__7[[#This Row],[Date Recorded]], "mmm")</f>
        <v>Jan</v>
      </c>
      <c r="Q10">
        <v>2021</v>
      </c>
      <c r="R10" cm="1">
        <f t="array" ref="R10">MONTH(Table1_3__3__7[Date Recorded])</f>
        <v>4</v>
      </c>
    </row>
    <row r="11" spans="1:18" x14ac:dyDescent="0.35">
      <c r="A11">
        <v>2016743</v>
      </c>
      <c r="B11" t="s">
        <v>707</v>
      </c>
      <c r="C11" t="s">
        <v>458</v>
      </c>
      <c r="D11">
        <v>2021</v>
      </c>
      <c r="E11" s="14">
        <v>44378</v>
      </c>
      <c r="F11" t="s">
        <v>197</v>
      </c>
      <c r="G11" t="s">
        <v>754</v>
      </c>
      <c r="H11" t="s">
        <v>198</v>
      </c>
      <c r="I11">
        <v>1769800</v>
      </c>
      <c r="J11">
        <v>1800000</v>
      </c>
      <c r="K11">
        <v>0.98319999999999996</v>
      </c>
      <c r="L11">
        <v>1.0170640750367272</v>
      </c>
      <c r="M11" t="s">
        <v>10</v>
      </c>
      <c r="N11" t="s">
        <v>446</v>
      </c>
      <c r="P11" t="str">
        <f>TEXT(Table1_3__3__7[[#This Row],[Date Recorded]], "mmm")</f>
        <v>Jul</v>
      </c>
      <c r="Q11">
        <v>2021</v>
      </c>
      <c r="R11" cm="1">
        <f t="array" ref="R11">MONTH(Table1_3__3__7[Date Recorded])</f>
        <v>4</v>
      </c>
    </row>
    <row r="12" spans="1:18" x14ac:dyDescent="0.35">
      <c r="A12">
        <v>200320</v>
      </c>
      <c r="B12" t="s">
        <v>641</v>
      </c>
      <c r="C12" t="s">
        <v>456</v>
      </c>
      <c r="D12">
        <v>2021</v>
      </c>
      <c r="E12" s="14">
        <v>44317</v>
      </c>
      <c r="F12" t="s">
        <v>69</v>
      </c>
      <c r="G12" t="s">
        <v>760</v>
      </c>
      <c r="H12" t="s">
        <v>71</v>
      </c>
      <c r="I12">
        <v>776230</v>
      </c>
      <c r="J12">
        <v>1525000</v>
      </c>
      <c r="K12">
        <v>0.50900000000000001</v>
      </c>
      <c r="L12">
        <v>1.9646238872499131</v>
      </c>
      <c r="M12" t="s">
        <v>10</v>
      </c>
      <c r="N12" t="s">
        <v>446</v>
      </c>
      <c r="P12" t="str">
        <f>TEXT(Table1_3__3__7[[#This Row],[Date Recorded]], "mmm")</f>
        <v>May</v>
      </c>
      <c r="Q12">
        <v>2021</v>
      </c>
      <c r="R12" cm="1">
        <f t="array" ref="R12">MONTH(Table1_3__3__7[Date Recorded])</f>
        <v>4</v>
      </c>
    </row>
    <row r="13" spans="1:18" x14ac:dyDescent="0.35">
      <c r="A13">
        <v>200377</v>
      </c>
      <c r="B13" t="s">
        <v>673</v>
      </c>
      <c r="C13" t="s">
        <v>458</v>
      </c>
      <c r="D13">
        <v>2021</v>
      </c>
      <c r="E13" s="14">
        <v>44378</v>
      </c>
      <c r="F13" t="s">
        <v>14</v>
      </c>
      <c r="G13" t="s">
        <v>761</v>
      </c>
      <c r="H13" t="s">
        <v>17</v>
      </c>
      <c r="I13">
        <v>862330</v>
      </c>
      <c r="J13">
        <v>1447500</v>
      </c>
      <c r="K13">
        <v>0.59570000000000001</v>
      </c>
      <c r="L13">
        <v>1.6785917224264493</v>
      </c>
      <c r="M13" t="s">
        <v>13</v>
      </c>
      <c r="N13" t="s">
        <v>446</v>
      </c>
      <c r="P13" t="str">
        <f>TEXT(Table1_3__3__7[[#This Row],[Date Recorded]], "mmm")</f>
        <v>Jul</v>
      </c>
      <c r="Q13">
        <v>2021</v>
      </c>
      <c r="R13" cm="1">
        <f t="array" ref="R13">MONTH(Table1_3__3__7[Date Recorded])</f>
        <v>4</v>
      </c>
    </row>
    <row r="14" spans="1:18" x14ac:dyDescent="0.35">
      <c r="A14">
        <v>201494</v>
      </c>
      <c r="B14" t="s">
        <v>606</v>
      </c>
      <c r="C14" t="s">
        <v>458</v>
      </c>
      <c r="D14">
        <v>2021</v>
      </c>
      <c r="E14" s="14">
        <v>44378</v>
      </c>
      <c r="F14" t="s">
        <v>85</v>
      </c>
      <c r="G14" t="s">
        <v>756</v>
      </c>
      <c r="H14" t="s">
        <v>88</v>
      </c>
      <c r="I14">
        <v>632170</v>
      </c>
      <c r="J14">
        <v>1250000</v>
      </c>
      <c r="K14">
        <v>0.50570000000000004</v>
      </c>
      <c r="L14">
        <v>1.9773162282297483</v>
      </c>
      <c r="M14" t="s">
        <v>13</v>
      </c>
      <c r="N14" t="s">
        <v>446</v>
      </c>
      <c r="P14" t="str">
        <f>TEXT(Table1_3__3__7[[#This Row],[Date Recorded]], "mmm")</f>
        <v>Jul</v>
      </c>
      <c r="Q14">
        <v>2020</v>
      </c>
      <c r="R14" cm="1">
        <f t="array" ref="R14">MONTH(Table1_3__3__7[Date Recorded])</f>
        <v>4</v>
      </c>
    </row>
    <row r="15" spans="1:18" x14ac:dyDescent="0.35">
      <c r="A15">
        <v>200109</v>
      </c>
      <c r="B15" t="s">
        <v>660</v>
      </c>
      <c r="C15" t="s">
        <v>450</v>
      </c>
      <c r="D15">
        <v>2020</v>
      </c>
      <c r="E15" s="14">
        <v>44166</v>
      </c>
      <c r="F15" t="s">
        <v>14</v>
      </c>
      <c r="G15" t="s">
        <v>761</v>
      </c>
      <c r="H15" t="s">
        <v>18</v>
      </c>
      <c r="I15">
        <v>847520</v>
      </c>
      <c r="J15">
        <v>1250000</v>
      </c>
      <c r="K15">
        <v>0.67800000000000005</v>
      </c>
      <c r="L15">
        <v>1.474891447989428</v>
      </c>
      <c r="M15" t="s">
        <v>13</v>
      </c>
      <c r="N15" t="s">
        <v>446</v>
      </c>
      <c r="P15" t="str">
        <f>TEXT(Table1_3__3__7[[#This Row],[Date Recorded]], "mmm")</f>
        <v>Dec</v>
      </c>
      <c r="Q15">
        <v>2021</v>
      </c>
      <c r="R15" cm="1">
        <f t="array" ref="R15">MONTH(Table1_3__3__7[Date Recorded])</f>
        <v>4</v>
      </c>
    </row>
    <row r="16" spans="1:18" x14ac:dyDescent="0.35">
      <c r="A16">
        <v>200020</v>
      </c>
      <c r="B16" t="s">
        <v>699</v>
      </c>
      <c r="C16" t="s">
        <v>469</v>
      </c>
      <c r="D16">
        <v>2020</v>
      </c>
      <c r="E16" s="14">
        <v>44105</v>
      </c>
      <c r="F16" t="s">
        <v>92</v>
      </c>
      <c r="G16" t="s">
        <v>756</v>
      </c>
      <c r="H16" t="s">
        <v>95</v>
      </c>
      <c r="I16">
        <v>654570</v>
      </c>
      <c r="J16">
        <v>990000</v>
      </c>
      <c r="K16">
        <v>0.66118181799999998</v>
      </c>
      <c r="L16">
        <v>1.5124432833768733</v>
      </c>
      <c r="M16" t="s">
        <v>13</v>
      </c>
      <c r="N16" t="s">
        <v>446</v>
      </c>
      <c r="P16" t="str">
        <f>TEXT(Table1_3__3__7[[#This Row],[Date Recorded]], "mmm")</f>
        <v>Oct</v>
      </c>
      <c r="Q16">
        <v>2020</v>
      </c>
      <c r="R16" cm="1">
        <f t="array" ref="R16">MONTH(Table1_3__3__7[Date Recorded])</f>
        <v>4</v>
      </c>
    </row>
    <row r="17" spans="1:18" x14ac:dyDescent="0.35">
      <c r="A17">
        <v>2001101</v>
      </c>
      <c r="B17" t="s">
        <v>646</v>
      </c>
      <c r="C17" t="s">
        <v>471</v>
      </c>
      <c r="D17">
        <v>2021</v>
      </c>
      <c r="E17" s="14">
        <v>44256</v>
      </c>
      <c r="F17" t="s">
        <v>181</v>
      </c>
      <c r="G17" t="s">
        <v>762</v>
      </c>
      <c r="H17" t="s">
        <v>223</v>
      </c>
      <c r="I17">
        <v>599810</v>
      </c>
      <c r="J17">
        <v>950000</v>
      </c>
      <c r="K17">
        <v>0.63129999999999997</v>
      </c>
      <c r="L17">
        <v>1.5838348810456644</v>
      </c>
      <c r="M17" t="s">
        <v>13</v>
      </c>
      <c r="N17" t="s">
        <v>446</v>
      </c>
      <c r="P17" t="str">
        <f>TEXT(Table1_3__3__7[[#This Row],[Date Recorded]], "mmm")</f>
        <v>Mar</v>
      </c>
      <c r="Q17">
        <v>2021</v>
      </c>
      <c r="R17" cm="1">
        <f t="array" ref="R17">MONTH(Table1_3__3__7[Date Recorded])</f>
        <v>4</v>
      </c>
    </row>
    <row r="18" spans="1:18" x14ac:dyDescent="0.35">
      <c r="A18">
        <v>200427</v>
      </c>
      <c r="B18" t="s">
        <v>700</v>
      </c>
      <c r="C18" t="s">
        <v>460</v>
      </c>
      <c r="D18">
        <v>2021</v>
      </c>
      <c r="E18" s="14">
        <v>44228</v>
      </c>
      <c r="F18" t="s">
        <v>133</v>
      </c>
      <c r="G18" t="s">
        <v>757</v>
      </c>
      <c r="H18" t="s">
        <v>177</v>
      </c>
      <c r="I18">
        <v>587600</v>
      </c>
      <c r="J18">
        <v>939000</v>
      </c>
      <c r="K18">
        <v>0.62570000000000003</v>
      </c>
      <c r="L18">
        <v>1.5980258679373724</v>
      </c>
      <c r="M18" t="s">
        <v>10</v>
      </c>
      <c r="N18" t="s">
        <v>446</v>
      </c>
      <c r="P18" t="str">
        <f>TEXT(Table1_3__3__7[[#This Row],[Date Recorded]], "mmm")</f>
        <v>Feb</v>
      </c>
      <c r="Q18">
        <v>2021</v>
      </c>
      <c r="R18" cm="1">
        <f t="array" ref="R18">MONTH(Table1_3__3__7[Date Recorded])</f>
        <v>4</v>
      </c>
    </row>
    <row r="19" spans="1:18" x14ac:dyDescent="0.35">
      <c r="A19">
        <v>2001570</v>
      </c>
      <c r="B19" t="s">
        <v>648</v>
      </c>
      <c r="C19" t="s">
        <v>456</v>
      </c>
      <c r="D19">
        <v>2021</v>
      </c>
      <c r="E19" s="14">
        <v>44317</v>
      </c>
      <c r="F19" t="s">
        <v>181</v>
      </c>
      <c r="G19" t="s">
        <v>762</v>
      </c>
      <c r="H19" t="s">
        <v>227</v>
      </c>
      <c r="I19">
        <v>486230</v>
      </c>
      <c r="J19">
        <v>930000</v>
      </c>
      <c r="K19">
        <v>0.52280000000000004</v>
      </c>
      <c r="L19">
        <v>1.9126750714682352</v>
      </c>
      <c r="M19" t="s">
        <v>10</v>
      </c>
      <c r="N19" t="s">
        <v>446</v>
      </c>
      <c r="P19" t="str">
        <f>TEXT(Table1_3__3__7[[#This Row],[Date Recorded]], "mmm")</f>
        <v>May</v>
      </c>
      <c r="Q19">
        <v>2021</v>
      </c>
      <c r="R19" cm="1">
        <f t="array" ref="R19">MONTH(Table1_3__3__7[Date Recorded])</f>
        <v>4</v>
      </c>
    </row>
    <row r="20" spans="1:18" x14ac:dyDescent="0.35">
      <c r="A20">
        <v>20771</v>
      </c>
      <c r="B20" t="s">
        <v>636</v>
      </c>
      <c r="C20" t="s">
        <v>473</v>
      </c>
      <c r="D20">
        <v>2021</v>
      </c>
      <c r="E20" s="14">
        <v>44440</v>
      </c>
      <c r="F20" t="s">
        <v>166</v>
      </c>
      <c r="G20" t="s">
        <v>757</v>
      </c>
      <c r="H20" t="s">
        <v>169</v>
      </c>
      <c r="I20">
        <v>451770</v>
      </c>
      <c r="J20">
        <v>910000</v>
      </c>
      <c r="K20">
        <v>0.49645054900000002</v>
      </c>
      <c r="L20">
        <v>2.0142993115966088</v>
      </c>
      <c r="M20" t="s">
        <v>13</v>
      </c>
      <c r="N20" t="s">
        <v>445</v>
      </c>
      <c r="P20" t="str">
        <f>TEXT(Table1_3__3__7[[#This Row],[Date Recorded]], "mmm")</f>
        <v>Sep</v>
      </c>
      <c r="Q20">
        <v>2021</v>
      </c>
      <c r="R20" cm="1">
        <f t="array" ref="R20">MONTH(Table1_3__3__7[Date Recorded])</f>
        <v>4</v>
      </c>
    </row>
    <row r="21" spans="1:18" x14ac:dyDescent="0.35">
      <c r="A21">
        <v>200627</v>
      </c>
      <c r="B21" t="s">
        <v>650</v>
      </c>
      <c r="C21" t="s">
        <v>458</v>
      </c>
      <c r="D21">
        <v>2021</v>
      </c>
      <c r="E21" s="14">
        <v>44378</v>
      </c>
      <c r="F21" t="s">
        <v>252</v>
      </c>
      <c r="G21" t="s">
        <v>763</v>
      </c>
      <c r="H21" t="s">
        <v>255</v>
      </c>
      <c r="I21">
        <v>475160</v>
      </c>
      <c r="J21">
        <v>905000</v>
      </c>
      <c r="K21">
        <v>0.52500000000000002</v>
      </c>
      <c r="L21">
        <v>1.9046216011448776</v>
      </c>
      <c r="M21" t="s">
        <v>13</v>
      </c>
      <c r="N21" t="s">
        <v>446</v>
      </c>
      <c r="P21" t="str">
        <f>TEXT(Table1_3__3__7[[#This Row],[Date Recorded]], "mmm")</f>
        <v>Jul</v>
      </c>
      <c r="Q21">
        <v>2021</v>
      </c>
      <c r="R21" cm="1">
        <f t="array" ref="R21">MONTH(Table1_3__3__7[Date Recorded])</f>
        <v>4</v>
      </c>
    </row>
    <row r="22" spans="1:18" x14ac:dyDescent="0.35">
      <c r="A22">
        <v>200243</v>
      </c>
      <c r="B22" t="s">
        <v>715</v>
      </c>
      <c r="C22" t="s">
        <v>452</v>
      </c>
      <c r="D22">
        <v>2021</v>
      </c>
      <c r="E22" s="14">
        <v>44287</v>
      </c>
      <c r="F22" t="s">
        <v>14</v>
      </c>
      <c r="G22" t="s">
        <v>761</v>
      </c>
      <c r="H22" t="s">
        <v>410</v>
      </c>
      <c r="I22">
        <v>619290</v>
      </c>
      <c r="J22">
        <v>890000</v>
      </c>
      <c r="K22">
        <v>0.69579999999999997</v>
      </c>
      <c r="L22">
        <v>1.4371296161733598</v>
      </c>
      <c r="M22" t="s">
        <v>13</v>
      </c>
      <c r="N22" t="s">
        <v>446</v>
      </c>
      <c r="P22" t="str">
        <f>TEXT(Table1_3__3__7[[#This Row],[Date Recorded]], "mmm")</f>
        <v>Apr</v>
      </c>
      <c r="Q22">
        <v>2021</v>
      </c>
      <c r="R22" cm="1">
        <f t="array" ref="R22">MONTH(Table1_3__3__7[Date Recorded])</f>
        <v>4</v>
      </c>
    </row>
    <row r="23" spans="1:18" x14ac:dyDescent="0.35">
      <c r="A23">
        <v>20129</v>
      </c>
      <c r="B23" t="s">
        <v>607</v>
      </c>
      <c r="C23" t="s">
        <v>471</v>
      </c>
      <c r="D23">
        <v>2021</v>
      </c>
      <c r="E23" s="14">
        <v>44256</v>
      </c>
      <c r="F23" t="s">
        <v>64</v>
      </c>
      <c r="G23" t="s">
        <v>758</v>
      </c>
      <c r="H23" t="s">
        <v>65</v>
      </c>
      <c r="I23">
        <v>351260</v>
      </c>
      <c r="J23">
        <v>873000</v>
      </c>
      <c r="K23">
        <v>0.40229999999999999</v>
      </c>
      <c r="L23">
        <v>2.4853384957011899</v>
      </c>
      <c r="M23" t="s">
        <v>10</v>
      </c>
      <c r="N23" t="s">
        <v>445</v>
      </c>
      <c r="P23" t="str">
        <f>TEXT(Table1_3__3__7[[#This Row],[Date Recorded]], "mmm")</f>
        <v>Mar</v>
      </c>
      <c r="Q23">
        <v>2021</v>
      </c>
      <c r="R23" cm="1">
        <f t="array" ref="R23">MONTH(Table1_3__3__7[Date Recorded])</f>
        <v>4</v>
      </c>
    </row>
    <row r="24" spans="1:18" x14ac:dyDescent="0.35">
      <c r="A24">
        <v>201207</v>
      </c>
      <c r="B24" t="s">
        <v>611</v>
      </c>
      <c r="C24" t="s">
        <v>458</v>
      </c>
      <c r="D24">
        <v>2021</v>
      </c>
      <c r="E24" s="14">
        <v>44378</v>
      </c>
      <c r="F24" t="s">
        <v>159</v>
      </c>
      <c r="G24" t="s">
        <v>757</v>
      </c>
      <c r="H24" t="s">
        <v>162</v>
      </c>
      <c r="I24">
        <v>368130</v>
      </c>
      <c r="J24">
        <v>850000</v>
      </c>
      <c r="K24">
        <v>0.433</v>
      </c>
      <c r="L24">
        <v>2.3089669410262679</v>
      </c>
      <c r="M24" t="s">
        <v>13</v>
      </c>
      <c r="N24" t="s">
        <v>445</v>
      </c>
      <c r="P24" t="str">
        <f>TEXT(Table1_3__3__7[[#This Row],[Date Recorded]], "mmm")</f>
        <v>Jul</v>
      </c>
      <c r="Q24">
        <v>2021</v>
      </c>
      <c r="R24" cm="1">
        <f t="array" ref="R24">MONTH(Table1_3__3__7[Date Recorded])</f>
        <v>4</v>
      </c>
    </row>
    <row r="25" spans="1:18" x14ac:dyDescent="0.35">
      <c r="A25">
        <v>2000344</v>
      </c>
      <c r="B25" t="s">
        <v>701</v>
      </c>
      <c r="C25" t="s">
        <v>475</v>
      </c>
      <c r="D25">
        <v>2020</v>
      </c>
      <c r="E25" s="14">
        <v>44136</v>
      </c>
      <c r="F25" t="s">
        <v>181</v>
      </c>
      <c r="G25" t="s">
        <v>762</v>
      </c>
      <c r="H25" t="s">
        <v>232</v>
      </c>
      <c r="I25">
        <v>539700</v>
      </c>
      <c r="J25">
        <v>850000</v>
      </c>
      <c r="K25">
        <v>0.63490000000000002</v>
      </c>
      <c r="L25">
        <v>1.5749490457661663</v>
      </c>
      <c r="M25" t="s">
        <v>13</v>
      </c>
      <c r="N25" t="s">
        <v>446</v>
      </c>
      <c r="P25" t="str">
        <f>TEXT(Table1_3__3__7[[#This Row],[Date Recorded]], "mmm")</f>
        <v>Nov</v>
      </c>
      <c r="Q25">
        <v>2021</v>
      </c>
      <c r="R25" cm="1">
        <f t="array" ref="R25">MONTH(Table1_3__3__7[Date Recorded])</f>
        <v>4</v>
      </c>
    </row>
    <row r="26" spans="1:18" x14ac:dyDescent="0.35">
      <c r="A26">
        <v>200338</v>
      </c>
      <c r="B26" t="s">
        <v>726</v>
      </c>
      <c r="C26" t="s">
        <v>452</v>
      </c>
      <c r="D26">
        <v>2021</v>
      </c>
      <c r="E26" s="14">
        <v>44287</v>
      </c>
      <c r="F26" t="s">
        <v>152</v>
      </c>
      <c r="G26" t="s">
        <v>757</v>
      </c>
      <c r="H26" t="s">
        <v>153</v>
      </c>
      <c r="I26">
        <v>620760</v>
      </c>
      <c r="J26">
        <v>850000</v>
      </c>
      <c r="K26">
        <v>0.73029999999999995</v>
      </c>
      <c r="L26">
        <v>1.3692892583285006</v>
      </c>
      <c r="M26" t="s">
        <v>13</v>
      </c>
      <c r="N26" t="s">
        <v>446</v>
      </c>
      <c r="P26" t="str">
        <f>TEXT(Table1_3__3__7[[#This Row],[Date Recorded]], "mmm")</f>
        <v>Apr</v>
      </c>
      <c r="Q26">
        <v>2020</v>
      </c>
      <c r="R26" cm="1">
        <f t="array" ref="R26">MONTH(Table1_3__3__7[Date Recorded])</f>
        <v>4</v>
      </c>
    </row>
    <row r="27" spans="1:18" x14ac:dyDescent="0.35">
      <c r="A27">
        <v>202000106</v>
      </c>
      <c r="B27" t="s">
        <v>722</v>
      </c>
      <c r="C27" t="s">
        <v>464</v>
      </c>
      <c r="D27">
        <v>2021</v>
      </c>
      <c r="E27" s="14">
        <v>44197</v>
      </c>
      <c r="F27" t="s">
        <v>193</v>
      </c>
      <c r="G27" t="s">
        <v>764</v>
      </c>
      <c r="H27" t="s">
        <v>194</v>
      </c>
      <c r="I27">
        <v>596470</v>
      </c>
      <c r="J27">
        <v>833111</v>
      </c>
      <c r="K27">
        <v>0.71589999999999998</v>
      </c>
      <c r="L27">
        <v>1.3967357955974316</v>
      </c>
      <c r="M27" t="s">
        <v>10</v>
      </c>
      <c r="N27" t="s">
        <v>446</v>
      </c>
      <c r="P27" t="str">
        <f>TEXT(Table1_3__3__7[[#This Row],[Date Recorded]], "mmm")</f>
        <v>Jan</v>
      </c>
      <c r="Q27">
        <v>2021</v>
      </c>
      <c r="R27" cm="1">
        <f t="array" ref="R27">MONTH(Table1_3__3__7[Date Recorded])</f>
        <v>4</v>
      </c>
    </row>
    <row r="28" spans="1:18" x14ac:dyDescent="0.35">
      <c r="A28">
        <v>2001250</v>
      </c>
      <c r="B28" t="s">
        <v>638</v>
      </c>
      <c r="C28" t="s">
        <v>471</v>
      </c>
      <c r="D28">
        <v>2021</v>
      </c>
      <c r="E28" s="14">
        <v>44256</v>
      </c>
      <c r="F28" t="s">
        <v>181</v>
      </c>
      <c r="G28" t="s">
        <v>762</v>
      </c>
      <c r="H28" t="s">
        <v>224</v>
      </c>
      <c r="I28">
        <v>403190</v>
      </c>
      <c r="J28">
        <v>810000</v>
      </c>
      <c r="K28">
        <v>0.49769999999999998</v>
      </c>
      <c r="L28">
        <v>2.0089783972816786</v>
      </c>
      <c r="M28" t="s">
        <v>13</v>
      </c>
      <c r="N28" t="s">
        <v>445</v>
      </c>
      <c r="P28" t="str">
        <f>TEXT(Table1_3__3__7[[#This Row],[Date Recorded]], "mmm")</f>
        <v>Mar</v>
      </c>
      <c r="Q28">
        <v>2021</v>
      </c>
      <c r="R28" cm="1">
        <f t="array" ref="R28">MONTH(Table1_3__3__7[Date Recorded])</f>
        <v>4</v>
      </c>
    </row>
    <row r="29" spans="1:18" x14ac:dyDescent="0.35">
      <c r="A29">
        <v>201027</v>
      </c>
      <c r="B29" t="s">
        <v>707</v>
      </c>
      <c r="C29" t="s">
        <v>458</v>
      </c>
      <c r="D29">
        <v>2021</v>
      </c>
      <c r="E29" s="14">
        <v>44378</v>
      </c>
      <c r="F29" t="s">
        <v>117</v>
      </c>
      <c r="G29" t="s">
        <v>765</v>
      </c>
      <c r="H29" t="s">
        <v>121</v>
      </c>
      <c r="I29">
        <v>517700</v>
      </c>
      <c r="J29">
        <v>800000</v>
      </c>
      <c r="K29">
        <v>0.64710000000000001</v>
      </c>
      <c r="L29">
        <v>1.5452965037666602</v>
      </c>
      <c r="M29" t="s">
        <v>10</v>
      </c>
      <c r="N29" t="s">
        <v>446</v>
      </c>
      <c r="P29" t="str">
        <f>TEXT(Table1_3__3__7[[#This Row],[Date Recorded]], "mmm")</f>
        <v>Jul</v>
      </c>
      <c r="Q29">
        <v>2021</v>
      </c>
      <c r="R29" cm="1">
        <f t="array" ref="R29">MONTH(Table1_3__3__7[Date Recorded])</f>
        <v>4</v>
      </c>
    </row>
    <row r="30" spans="1:18" x14ac:dyDescent="0.35">
      <c r="A30">
        <v>2002453</v>
      </c>
      <c r="B30" t="s">
        <v>729</v>
      </c>
      <c r="C30" t="s">
        <v>462</v>
      </c>
      <c r="D30">
        <v>2021</v>
      </c>
      <c r="E30" s="14">
        <v>44409</v>
      </c>
      <c r="F30" t="s">
        <v>181</v>
      </c>
      <c r="G30" t="s">
        <v>762</v>
      </c>
      <c r="H30" t="s">
        <v>233</v>
      </c>
      <c r="I30">
        <v>596290</v>
      </c>
      <c r="J30">
        <v>800000</v>
      </c>
      <c r="K30">
        <v>0.74529999999999996</v>
      </c>
      <c r="L30">
        <v>1.3416290731020142</v>
      </c>
      <c r="M30" t="s">
        <v>10</v>
      </c>
      <c r="N30" t="s">
        <v>446</v>
      </c>
      <c r="P30" t="str">
        <f>TEXT(Table1_3__3__7[[#This Row],[Date Recorded]], "mmm")</f>
        <v>Aug</v>
      </c>
      <c r="Q30">
        <v>2021</v>
      </c>
      <c r="R30" cm="1">
        <f t="array" ref="R30">MONTH(Table1_3__3__7[Date Recorded])</f>
        <v>4</v>
      </c>
    </row>
    <row r="31" spans="1:18" x14ac:dyDescent="0.35">
      <c r="A31">
        <v>200097</v>
      </c>
      <c r="B31" t="s">
        <v>703</v>
      </c>
      <c r="C31" t="s">
        <v>454</v>
      </c>
      <c r="D31">
        <v>2021</v>
      </c>
      <c r="E31" s="14">
        <v>44348</v>
      </c>
      <c r="F31" t="s">
        <v>21</v>
      </c>
      <c r="G31" t="s">
        <v>766</v>
      </c>
      <c r="H31" t="s">
        <v>22</v>
      </c>
      <c r="I31">
        <v>511000</v>
      </c>
      <c r="J31">
        <v>795000</v>
      </c>
      <c r="K31">
        <v>0.64270000000000005</v>
      </c>
      <c r="L31">
        <v>1.5557729941291585</v>
      </c>
      <c r="M31" t="s">
        <v>10</v>
      </c>
      <c r="N31" t="s">
        <v>446</v>
      </c>
      <c r="P31" t="str">
        <f>TEXT(Table1_3__3__7[[#This Row],[Date Recorded]], "mmm")</f>
        <v>Jun</v>
      </c>
      <c r="Q31">
        <v>2021</v>
      </c>
      <c r="R31" cm="1">
        <f t="array" ref="R31">MONTH(Table1_3__3__7[Date Recorded])</f>
        <v>4</v>
      </c>
    </row>
    <row r="32" spans="1:18" x14ac:dyDescent="0.35">
      <c r="A32">
        <v>2002537</v>
      </c>
      <c r="B32" t="s">
        <v>657</v>
      </c>
      <c r="C32" t="s">
        <v>473</v>
      </c>
      <c r="D32">
        <v>2021</v>
      </c>
      <c r="E32" s="14">
        <v>44440</v>
      </c>
      <c r="F32" t="s">
        <v>181</v>
      </c>
      <c r="G32" t="s">
        <v>762</v>
      </c>
      <c r="H32" t="s">
        <v>229</v>
      </c>
      <c r="I32">
        <v>441560</v>
      </c>
      <c r="J32">
        <v>785000</v>
      </c>
      <c r="K32">
        <v>0.56240000000000001</v>
      </c>
      <c r="L32">
        <v>1.7777878431017302</v>
      </c>
      <c r="M32" t="s">
        <v>13</v>
      </c>
      <c r="N32" t="s">
        <v>446</v>
      </c>
      <c r="P32" t="str">
        <f>TEXT(Table1_3__3__7[[#This Row],[Date Recorded]], "mmm")</f>
        <v>Sep</v>
      </c>
      <c r="Q32">
        <v>2021</v>
      </c>
      <c r="R32" cm="1">
        <f t="array" ref="R32">MONTH(Table1_3__3__7[Date Recorded])</f>
        <v>4</v>
      </c>
    </row>
    <row r="33" spans="1:18" x14ac:dyDescent="0.35">
      <c r="A33">
        <v>20274</v>
      </c>
      <c r="B33" t="s">
        <v>656</v>
      </c>
      <c r="C33" t="s">
        <v>464</v>
      </c>
      <c r="D33">
        <v>2021</v>
      </c>
      <c r="E33" s="14">
        <v>44197</v>
      </c>
      <c r="F33" t="s">
        <v>166</v>
      </c>
      <c r="G33" t="s">
        <v>757</v>
      </c>
      <c r="H33" t="s">
        <v>167</v>
      </c>
      <c r="I33">
        <v>419590</v>
      </c>
      <c r="J33">
        <v>779000</v>
      </c>
      <c r="K33">
        <v>0.53859999999999997</v>
      </c>
      <c r="L33">
        <v>1.8565742748873901</v>
      </c>
      <c r="M33" t="s">
        <v>13</v>
      </c>
      <c r="N33" t="s">
        <v>446</v>
      </c>
      <c r="P33" t="str">
        <f>TEXT(Table1_3__3__7[[#This Row],[Date Recorded]], "mmm")</f>
        <v>Jan</v>
      </c>
      <c r="Q33">
        <v>2021</v>
      </c>
      <c r="R33" cm="1">
        <f t="array" ref="R33">MONTH(Table1_3__3__7[Date Recorded])</f>
        <v>4</v>
      </c>
    </row>
    <row r="34" spans="1:18" x14ac:dyDescent="0.35">
      <c r="A34">
        <v>2000120</v>
      </c>
      <c r="B34" t="s">
        <v>709</v>
      </c>
      <c r="C34" t="s">
        <v>469</v>
      </c>
      <c r="D34">
        <v>2020</v>
      </c>
      <c r="E34" s="14">
        <v>44105</v>
      </c>
      <c r="F34" t="s">
        <v>181</v>
      </c>
      <c r="G34" t="s">
        <v>762</v>
      </c>
      <c r="H34" t="s">
        <v>230</v>
      </c>
      <c r="I34">
        <v>497000</v>
      </c>
      <c r="J34">
        <v>755000</v>
      </c>
      <c r="K34">
        <v>0.65820000000000001</v>
      </c>
      <c r="L34">
        <v>1.5191146881287727</v>
      </c>
      <c r="M34" t="s">
        <v>13</v>
      </c>
      <c r="N34" t="s">
        <v>446</v>
      </c>
      <c r="P34" t="str">
        <f>TEXT(Table1_3__3__7[[#This Row],[Date Recorded]], "mmm")</f>
        <v>Oct</v>
      </c>
      <c r="Q34">
        <v>2020</v>
      </c>
      <c r="R34" cm="1">
        <f t="array" ref="R34">MONTH(Table1_3__3__7[Date Recorded])</f>
        <v>4</v>
      </c>
    </row>
    <row r="35" spans="1:18" x14ac:dyDescent="0.35">
      <c r="A35">
        <v>200098</v>
      </c>
      <c r="B35" t="s">
        <v>625</v>
      </c>
      <c r="C35" t="s">
        <v>475</v>
      </c>
      <c r="D35">
        <v>2020</v>
      </c>
      <c r="E35" s="14">
        <v>44136</v>
      </c>
      <c r="F35" t="s">
        <v>92</v>
      </c>
      <c r="G35" t="s">
        <v>756</v>
      </c>
      <c r="H35" t="s">
        <v>424</v>
      </c>
      <c r="I35">
        <v>354550</v>
      </c>
      <c r="J35">
        <v>742500</v>
      </c>
      <c r="K35">
        <v>0.47749999999999998</v>
      </c>
      <c r="L35">
        <v>2.094203920462558</v>
      </c>
      <c r="M35" t="s">
        <v>13</v>
      </c>
      <c r="N35" t="s">
        <v>445</v>
      </c>
      <c r="P35" t="str">
        <f>TEXT(Table1_3__3__7[[#This Row],[Date Recorded]], "mmm")</f>
        <v>Nov</v>
      </c>
      <c r="Q35">
        <v>2020</v>
      </c>
      <c r="R35" cm="1">
        <f t="array" ref="R35">MONTH(Table1_3__3__7[Date Recorded])</f>
        <v>4</v>
      </c>
    </row>
    <row r="36" spans="1:18" x14ac:dyDescent="0.35">
      <c r="A36">
        <v>201328</v>
      </c>
      <c r="B36" t="s">
        <v>667</v>
      </c>
      <c r="C36" t="s">
        <v>462</v>
      </c>
      <c r="D36">
        <v>2021</v>
      </c>
      <c r="E36" s="14">
        <v>44409</v>
      </c>
      <c r="F36" t="s">
        <v>54</v>
      </c>
      <c r="G36" t="s">
        <v>755</v>
      </c>
      <c r="H36" t="s">
        <v>55</v>
      </c>
      <c r="I36">
        <v>410670</v>
      </c>
      <c r="J36">
        <v>740000</v>
      </c>
      <c r="K36">
        <v>0.55489999999999995</v>
      </c>
      <c r="L36">
        <v>1.8019334258650499</v>
      </c>
      <c r="M36" t="s">
        <v>13</v>
      </c>
      <c r="N36" t="s">
        <v>446</v>
      </c>
      <c r="P36" t="str">
        <f>TEXT(Table1_3__3__7[[#This Row],[Date Recorded]], "mmm")</f>
        <v>Aug</v>
      </c>
      <c r="Q36">
        <v>2021</v>
      </c>
      <c r="R36" cm="1">
        <f t="array" ref="R36">MONTH(Table1_3__3__7[Date Recorded])</f>
        <v>4</v>
      </c>
    </row>
    <row r="37" spans="1:18" x14ac:dyDescent="0.35">
      <c r="A37">
        <v>200170</v>
      </c>
      <c r="B37" t="s">
        <v>600</v>
      </c>
      <c r="C37" t="s">
        <v>454</v>
      </c>
      <c r="D37">
        <v>2021</v>
      </c>
      <c r="E37" s="14">
        <v>44348</v>
      </c>
      <c r="F37" t="s">
        <v>271</v>
      </c>
      <c r="G37" t="s">
        <v>759</v>
      </c>
      <c r="H37" t="s">
        <v>272</v>
      </c>
      <c r="I37">
        <v>271120</v>
      </c>
      <c r="J37">
        <v>725000</v>
      </c>
      <c r="K37">
        <v>0.37390000000000001</v>
      </c>
      <c r="L37">
        <v>2.6740926526999114</v>
      </c>
      <c r="M37" t="s">
        <v>13</v>
      </c>
      <c r="N37" t="s">
        <v>445</v>
      </c>
      <c r="P37" t="str">
        <f>TEXT(Table1_3__3__7[[#This Row],[Date Recorded]], "mmm")</f>
        <v>Jun</v>
      </c>
      <c r="Q37">
        <v>2021</v>
      </c>
      <c r="R37" cm="1">
        <f t="array" ref="R37">MONTH(Table1_3__3__7[Date Recorded])</f>
        <v>4</v>
      </c>
    </row>
    <row r="38" spans="1:18" x14ac:dyDescent="0.35">
      <c r="A38">
        <v>20458</v>
      </c>
      <c r="B38" t="s">
        <v>602</v>
      </c>
      <c r="C38" t="s">
        <v>454</v>
      </c>
      <c r="D38">
        <v>2021</v>
      </c>
      <c r="E38" s="14">
        <v>44348</v>
      </c>
      <c r="F38" t="s">
        <v>268</v>
      </c>
      <c r="G38" t="s">
        <v>759</v>
      </c>
      <c r="H38" t="s">
        <v>269</v>
      </c>
      <c r="I38">
        <v>271240</v>
      </c>
      <c r="J38">
        <v>710000</v>
      </c>
      <c r="K38">
        <v>0.38200000000000001</v>
      </c>
      <c r="L38">
        <v>2.6176080224155731</v>
      </c>
      <c r="M38" t="s">
        <v>13</v>
      </c>
      <c r="N38" t="s">
        <v>445</v>
      </c>
      <c r="P38" t="str">
        <f>TEXT(Table1_3__3__7[[#This Row],[Date Recorded]], "mmm")</f>
        <v>Jun</v>
      </c>
      <c r="Q38">
        <v>2021</v>
      </c>
      <c r="R38" cm="1">
        <f t="array" ref="R38">MONTH(Table1_3__3__7[Date Recorded])</f>
        <v>4</v>
      </c>
    </row>
    <row r="39" spans="1:18" x14ac:dyDescent="0.35">
      <c r="A39">
        <v>200421</v>
      </c>
      <c r="B39" t="s">
        <v>608</v>
      </c>
      <c r="C39" t="s">
        <v>450</v>
      </c>
      <c r="D39">
        <v>2020</v>
      </c>
      <c r="E39" s="14">
        <v>44166</v>
      </c>
      <c r="F39" t="s">
        <v>85</v>
      </c>
      <c r="G39" t="s">
        <v>756</v>
      </c>
      <c r="H39" t="s">
        <v>89</v>
      </c>
      <c r="I39">
        <v>288190</v>
      </c>
      <c r="J39">
        <v>705000</v>
      </c>
      <c r="K39">
        <v>0.40870000000000001</v>
      </c>
      <c r="L39">
        <v>2.4463027863562234</v>
      </c>
      <c r="M39" t="s">
        <v>13</v>
      </c>
      <c r="N39" t="s">
        <v>445</v>
      </c>
      <c r="P39" t="str">
        <f>TEXT(Table1_3__3__7[[#This Row],[Date Recorded]], "mmm")</f>
        <v>Dec</v>
      </c>
      <c r="Q39">
        <v>2020</v>
      </c>
      <c r="R39" cm="1">
        <f t="array" ref="R39">MONTH(Table1_3__3__7[Date Recorded])</f>
        <v>4</v>
      </c>
    </row>
    <row r="40" spans="1:18" x14ac:dyDescent="0.35">
      <c r="A40">
        <v>200258</v>
      </c>
      <c r="B40" t="s">
        <v>605</v>
      </c>
      <c r="C40" t="s">
        <v>464</v>
      </c>
      <c r="D40">
        <v>2021</v>
      </c>
      <c r="E40" s="14">
        <v>44197</v>
      </c>
      <c r="F40" t="s">
        <v>29</v>
      </c>
      <c r="G40" t="s">
        <v>766</v>
      </c>
      <c r="H40" t="s">
        <v>30</v>
      </c>
      <c r="I40">
        <v>530500</v>
      </c>
      <c r="J40">
        <v>700000</v>
      </c>
      <c r="K40">
        <v>0.75780000000000003</v>
      </c>
      <c r="L40">
        <v>1.3195098963242224</v>
      </c>
      <c r="M40" t="s">
        <v>13</v>
      </c>
      <c r="N40" t="s">
        <v>446</v>
      </c>
      <c r="P40" t="str">
        <f>TEXT(Table1_3__3__7[[#This Row],[Date Recorded]], "mmm")</f>
        <v>Jan</v>
      </c>
      <c r="Q40">
        <v>2021</v>
      </c>
      <c r="R40" cm="1">
        <f t="array" ref="R40">MONTH(Table1_3__3__7[Date Recorded])</f>
        <v>4</v>
      </c>
    </row>
    <row r="41" spans="1:18" x14ac:dyDescent="0.35">
      <c r="A41">
        <v>2020313</v>
      </c>
      <c r="B41" t="s">
        <v>610</v>
      </c>
      <c r="C41" t="s">
        <v>458</v>
      </c>
      <c r="D41">
        <v>2021</v>
      </c>
      <c r="E41" s="14">
        <v>44378</v>
      </c>
      <c r="F41" t="s">
        <v>19</v>
      </c>
      <c r="G41" t="s">
        <v>766</v>
      </c>
      <c r="H41" t="s">
        <v>411</v>
      </c>
      <c r="I41">
        <v>412000</v>
      </c>
      <c r="J41">
        <v>677500</v>
      </c>
      <c r="K41">
        <v>0.60809999999999997</v>
      </c>
      <c r="L41">
        <v>1.6444174757281553</v>
      </c>
      <c r="M41" t="s">
        <v>13</v>
      </c>
      <c r="N41" t="s">
        <v>446</v>
      </c>
      <c r="P41" t="str">
        <f>TEXT(Table1_3__3__7[[#This Row],[Date Recorded]], "mmm")</f>
        <v>Jul</v>
      </c>
      <c r="Q41">
        <v>2021</v>
      </c>
      <c r="R41" cm="1">
        <f t="array" ref="R41">MONTH(Table1_3__3__7[Date Recorded])</f>
        <v>4</v>
      </c>
    </row>
    <row r="42" spans="1:18" x14ac:dyDescent="0.35">
      <c r="A42">
        <v>2001286</v>
      </c>
      <c r="B42" t="s">
        <v>607</v>
      </c>
      <c r="C42" t="s">
        <v>471</v>
      </c>
      <c r="D42">
        <v>2021</v>
      </c>
      <c r="E42" s="14">
        <v>44256</v>
      </c>
      <c r="F42" t="s">
        <v>181</v>
      </c>
      <c r="G42" t="s">
        <v>762</v>
      </c>
      <c r="H42" t="s">
        <v>225</v>
      </c>
      <c r="I42">
        <v>438860</v>
      </c>
      <c r="J42">
        <v>652000</v>
      </c>
      <c r="K42">
        <v>0.67300000000000004</v>
      </c>
      <c r="L42">
        <v>1.4856674110194594</v>
      </c>
      <c r="M42" t="s">
        <v>13</v>
      </c>
      <c r="N42" t="s">
        <v>446</v>
      </c>
      <c r="P42" t="str">
        <f>TEXT(Table1_3__3__7[[#This Row],[Date Recorded]], "mmm")</f>
        <v>Mar</v>
      </c>
      <c r="Q42">
        <v>2021</v>
      </c>
      <c r="R42" cm="1">
        <f t="array" ref="R42">MONTH(Table1_3__3__7[Date Recorded])</f>
        <v>4</v>
      </c>
    </row>
    <row r="43" spans="1:18" x14ac:dyDescent="0.35">
      <c r="A43">
        <v>200639</v>
      </c>
      <c r="B43" t="s">
        <v>606</v>
      </c>
      <c r="C43" t="s">
        <v>458</v>
      </c>
      <c r="D43">
        <v>2021</v>
      </c>
      <c r="E43" s="14">
        <v>44378</v>
      </c>
      <c r="F43" t="s">
        <v>92</v>
      </c>
      <c r="G43" t="s">
        <v>756</v>
      </c>
      <c r="H43" t="s">
        <v>94</v>
      </c>
      <c r="I43">
        <v>259770</v>
      </c>
      <c r="J43">
        <v>650000</v>
      </c>
      <c r="K43">
        <v>0.39964615399999998</v>
      </c>
      <c r="L43">
        <v>2.5022134965546443</v>
      </c>
      <c r="M43" t="s">
        <v>13</v>
      </c>
      <c r="N43" t="s">
        <v>445</v>
      </c>
      <c r="P43" t="str">
        <f>TEXT(Table1_3__3__7[[#This Row],[Date Recorded]], "mmm")</f>
        <v>Jul</v>
      </c>
      <c r="Q43">
        <v>2021</v>
      </c>
      <c r="R43" cm="1">
        <f t="array" ref="R43">MONTH(Table1_3__3__7[Date Recorded])</f>
        <v>4</v>
      </c>
    </row>
    <row r="44" spans="1:18" x14ac:dyDescent="0.35">
      <c r="A44">
        <v>20200578</v>
      </c>
      <c r="B44" t="s">
        <v>711</v>
      </c>
      <c r="C44" t="s">
        <v>460</v>
      </c>
      <c r="D44">
        <v>2021</v>
      </c>
      <c r="E44" s="14">
        <v>44228</v>
      </c>
      <c r="F44" t="s">
        <v>129</v>
      </c>
      <c r="G44" t="s">
        <v>762</v>
      </c>
      <c r="H44" t="s">
        <v>238</v>
      </c>
      <c r="I44">
        <v>429800</v>
      </c>
      <c r="J44">
        <v>650000</v>
      </c>
      <c r="K44">
        <v>0.66120000000000001</v>
      </c>
      <c r="L44">
        <v>1.5123313168915775</v>
      </c>
      <c r="M44" t="s">
        <v>10</v>
      </c>
      <c r="N44" t="s">
        <v>446</v>
      </c>
      <c r="P44" t="str">
        <f>TEXT(Table1_3__3__7[[#This Row],[Date Recorded]], "mmm")</f>
        <v>Feb</v>
      </c>
      <c r="Q44">
        <v>2021</v>
      </c>
      <c r="R44" cm="1">
        <f t="array" ref="R44">MONTH(Table1_3__3__7[Date Recorded])</f>
        <v>4</v>
      </c>
    </row>
    <row r="45" spans="1:18" x14ac:dyDescent="0.35">
      <c r="A45">
        <v>200804</v>
      </c>
      <c r="B45" t="s">
        <v>717</v>
      </c>
      <c r="C45" t="s">
        <v>473</v>
      </c>
      <c r="D45">
        <v>2021</v>
      </c>
      <c r="E45" s="14">
        <v>44440</v>
      </c>
      <c r="F45" t="s">
        <v>29</v>
      </c>
      <c r="G45" t="s">
        <v>766</v>
      </c>
      <c r="H45" t="s">
        <v>31</v>
      </c>
      <c r="I45">
        <v>455100</v>
      </c>
      <c r="J45">
        <v>650000</v>
      </c>
      <c r="K45">
        <v>0.70009999999999994</v>
      </c>
      <c r="L45">
        <v>1.4282575258185015</v>
      </c>
      <c r="M45" t="s">
        <v>10</v>
      </c>
      <c r="N45" t="s">
        <v>446</v>
      </c>
      <c r="P45" t="str">
        <f>TEXT(Table1_3__3__7[[#This Row],[Date Recorded]], "mmm")</f>
        <v>Sep</v>
      </c>
      <c r="Q45">
        <v>2021</v>
      </c>
      <c r="R45" cm="1">
        <f t="array" ref="R45">MONTH(Table1_3__3__7[Date Recorded])</f>
        <v>4</v>
      </c>
    </row>
    <row r="46" spans="1:18" x14ac:dyDescent="0.35">
      <c r="A46">
        <v>200043</v>
      </c>
      <c r="B46" t="s">
        <v>660</v>
      </c>
      <c r="C46" t="s">
        <v>450</v>
      </c>
      <c r="D46">
        <v>2020</v>
      </c>
      <c r="E46" s="14">
        <v>44166</v>
      </c>
      <c r="F46" t="s">
        <v>111</v>
      </c>
      <c r="G46" t="s">
        <v>767</v>
      </c>
      <c r="H46" t="s">
        <v>112</v>
      </c>
      <c r="I46">
        <v>354040</v>
      </c>
      <c r="J46">
        <v>645000</v>
      </c>
      <c r="K46">
        <v>0.54879999999999995</v>
      </c>
      <c r="L46">
        <v>1.8218280420291493</v>
      </c>
      <c r="M46" t="s">
        <v>13</v>
      </c>
      <c r="N46" t="s">
        <v>446</v>
      </c>
      <c r="P46" t="str">
        <f>TEXT(Table1_3__3__7[[#This Row],[Date Recorded]], "mmm")</f>
        <v>Dec</v>
      </c>
      <c r="Q46">
        <v>2020</v>
      </c>
      <c r="R46" cm="1">
        <f t="array" ref="R46">MONTH(Table1_3__3__7[Date Recorded])</f>
        <v>4</v>
      </c>
    </row>
    <row r="47" spans="1:18" x14ac:dyDescent="0.35">
      <c r="A47">
        <v>200042</v>
      </c>
      <c r="B47" t="s">
        <v>688</v>
      </c>
      <c r="C47" t="s">
        <v>456</v>
      </c>
      <c r="D47">
        <v>2021</v>
      </c>
      <c r="E47" s="14">
        <v>44317</v>
      </c>
      <c r="F47" t="s">
        <v>413</v>
      </c>
      <c r="G47" t="s">
        <v>755</v>
      </c>
      <c r="H47" t="s">
        <v>40</v>
      </c>
      <c r="I47">
        <v>355800</v>
      </c>
      <c r="J47">
        <v>599000</v>
      </c>
      <c r="K47">
        <v>0.59389999999999998</v>
      </c>
      <c r="L47">
        <v>1.6835300730747611</v>
      </c>
      <c r="M47" t="s">
        <v>13</v>
      </c>
      <c r="N47" t="s">
        <v>446</v>
      </c>
      <c r="P47" t="str">
        <f>TEXT(Table1_3__3__7[[#This Row],[Date Recorded]], "mmm")</f>
        <v>May</v>
      </c>
      <c r="Q47">
        <v>2021</v>
      </c>
      <c r="R47" cm="1">
        <f t="array" ref="R47">MONTH(Table1_3__3__7[Date Recorded])</f>
        <v>4</v>
      </c>
    </row>
    <row r="48" spans="1:18" x14ac:dyDescent="0.35">
      <c r="A48">
        <v>200002</v>
      </c>
      <c r="B48" t="s">
        <v>727</v>
      </c>
      <c r="C48" t="s">
        <v>469</v>
      </c>
      <c r="D48">
        <v>2020</v>
      </c>
      <c r="E48" s="14">
        <v>44105</v>
      </c>
      <c r="F48" t="s">
        <v>130</v>
      </c>
      <c r="G48" t="s">
        <v>754</v>
      </c>
      <c r="H48" t="s">
        <v>203</v>
      </c>
      <c r="I48">
        <v>439290</v>
      </c>
      <c r="J48">
        <v>575000</v>
      </c>
      <c r="K48">
        <v>0.76398260900000003</v>
      </c>
      <c r="L48">
        <v>1.3089303193789978</v>
      </c>
      <c r="M48" t="s">
        <v>13</v>
      </c>
      <c r="N48" t="s">
        <v>446</v>
      </c>
      <c r="P48" t="str">
        <f>TEXT(Table1_3__3__7[[#This Row],[Date Recorded]], "mmm")</f>
        <v>Oct</v>
      </c>
      <c r="Q48">
        <v>2020</v>
      </c>
      <c r="R48" cm="1">
        <f t="array" ref="R48">MONTH(Table1_3__3__7[Date Recorded])</f>
        <v>4</v>
      </c>
    </row>
    <row r="49" spans="1:18" x14ac:dyDescent="0.35">
      <c r="A49">
        <v>20249</v>
      </c>
      <c r="B49" t="s">
        <v>598</v>
      </c>
      <c r="C49" t="s">
        <v>473</v>
      </c>
      <c r="D49">
        <v>2021</v>
      </c>
      <c r="E49" s="14">
        <v>44440</v>
      </c>
      <c r="F49" t="s">
        <v>151</v>
      </c>
      <c r="G49" t="s">
        <v>768</v>
      </c>
      <c r="H49" t="s">
        <v>183</v>
      </c>
      <c r="I49">
        <v>297700</v>
      </c>
      <c r="J49">
        <v>550000</v>
      </c>
      <c r="K49">
        <v>0.54120000000000001</v>
      </c>
      <c r="L49">
        <v>1.8474974806852535</v>
      </c>
      <c r="M49" t="s">
        <v>13</v>
      </c>
      <c r="N49" t="s">
        <v>446</v>
      </c>
      <c r="P49" t="str">
        <f>TEXT(Table1_3__3__7[[#This Row],[Date Recorded]], "mmm")</f>
        <v>Sep</v>
      </c>
      <c r="Q49">
        <v>2020</v>
      </c>
      <c r="R49" cm="1">
        <f t="array" ref="R49">MONTH(Table1_3__3__7[Date Recorded])</f>
        <v>4</v>
      </c>
    </row>
    <row r="50" spans="1:18" x14ac:dyDescent="0.35">
      <c r="A50">
        <v>200742</v>
      </c>
      <c r="B50" t="s">
        <v>595</v>
      </c>
      <c r="C50" t="s">
        <v>471</v>
      </c>
      <c r="D50">
        <v>2021</v>
      </c>
      <c r="E50" s="14">
        <v>44256</v>
      </c>
      <c r="F50" t="s">
        <v>56</v>
      </c>
      <c r="G50" t="s">
        <v>758</v>
      </c>
      <c r="H50" t="s">
        <v>57</v>
      </c>
      <c r="I50">
        <v>339100</v>
      </c>
      <c r="J50">
        <v>550000</v>
      </c>
      <c r="K50">
        <v>0.61650000000000005</v>
      </c>
      <c r="L50">
        <v>1.6219404305514598</v>
      </c>
      <c r="M50" t="s">
        <v>13</v>
      </c>
      <c r="N50" t="s">
        <v>446</v>
      </c>
      <c r="P50" t="str">
        <f>TEXT(Table1_3__3__7[[#This Row],[Date Recorded]], "mmm")</f>
        <v>Mar</v>
      </c>
      <c r="Q50">
        <v>2021</v>
      </c>
      <c r="R50" cm="1">
        <f t="array" ref="R50">MONTH(Table1_3__3__7[Date Recorded])</f>
        <v>4</v>
      </c>
    </row>
    <row r="51" spans="1:18" x14ac:dyDescent="0.35">
      <c r="A51">
        <v>200151</v>
      </c>
      <c r="B51" t="s">
        <v>618</v>
      </c>
      <c r="C51" t="s">
        <v>450</v>
      </c>
      <c r="D51">
        <v>2020</v>
      </c>
      <c r="E51" s="14">
        <v>44166</v>
      </c>
      <c r="F51" t="s">
        <v>68</v>
      </c>
      <c r="G51" t="s">
        <v>769</v>
      </c>
      <c r="H51" t="s">
        <v>79</v>
      </c>
      <c r="I51">
        <v>356410</v>
      </c>
      <c r="J51">
        <v>550000</v>
      </c>
      <c r="K51">
        <v>0.64800000000000002</v>
      </c>
      <c r="L51">
        <v>1.543166577817682</v>
      </c>
      <c r="M51" t="s">
        <v>13</v>
      </c>
      <c r="N51" t="s">
        <v>446</v>
      </c>
      <c r="P51" t="str">
        <f>TEXT(Table1_3__3__7[[#This Row],[Date Recorded]], "mmm")</f>
        <v>Dec</v>
      </c>
      <c r="Q51">
        <v>2021</v>
      </c>
      <c r="R51" cm="1">
        <f t="array" ref="R51">MONTH(Table1_3__3__7[Date Recorded])</f>
        <v>4</v>
      </c>
    </row>
    <row r="52" spans="1:18" x14ac:dyDescent="0.35">
      <c r="A52">
        <v>2001590</v>
      </c>
      <c r="B52" t="s">
        <v>732</v>
      </c>
      <c r="C52" t="s">
        <v>456</v>
      </c>
      <c r="D52">
        <v>2021</v>
      </c>
      <c r="E52" s="14">
        <v>44317</v>
      </c>
      <c r="F52" t="s">
        <v>181</v>
      </c>
      <c r="G52" t="s">
        <v>762</v>
      </c>
      <c r="H52" t="s">
        <v>228</v>
      </c>
      <c r="I52">
        <v>423700</v>
      </c>
      <c r="J52">
        <v>533350</v>
      </c>
      <c r="K52">
        <v>0.7944</v>
      </c>
      <c r="L52">
        <v>1.2587915978286524</v>
      </c>
      <c r="M52" t="s">
        <v>13</v>
      </c>
      <c r="N52" t="s">
        <v>446</v>
      </c>
      <c r="P52" t="str">
        <f>TEXT(Table1_3__3__7[[#This Row],[Date Recorded]], "mmm")</f>
        <v>May</v>
      </c>
      <c r="Q52">
        <v>2021</v>
      </c>
      <c r="R52" cm="1">
        <f t="array" ref="R52">MONTH(Table1_3__3__7[Date Recorded])</f>
        <v>4</v>
      </c>
    </row>
    <row r="53" spans="1:18" x14ac:dyDescent="0.35">
      <c r="A53">
        <v>201580</v>
      </c>
      <c r="B53" t="s">
        <v>599</v>
      </c>
      <c r="C53" t="s">
        <v>473</v>
      </c>
      <c r="D53">
        <v>2021</v>
      </c>
      <c r="E53" s="14">
        <v>44440</v>
      </c>
      <c r="F53" t="s">
        <v>56</v>
      </c>
      <c r="G53" t="s">
        <v>758</v>
      </c>
      <c r="H53" t="s">
        <v>62</v>
      </c>
      <c r="I53">
        <v>192300</v>
      </c>
      <c r="J53">
        <v>525000</v>
      </c>
      <c r="K53">
        <v>0.36628571399999998</v>
      </c>
      <c r="L53">
        <v>2.7301092043681749</v>
      </c>
      <c r="M53" t="s">
        <v>13</v>
      </c>
      <c r="N53" t="s">
        <v>445</v>
      </c>
      <c r="P53" t="str">
        <f>TEXT(Table1_3__3__7[[#This Row],[Date Recorded]], "mmm")</f>
        <v>Sep</v>
      </c>
      <c r="Q53">
        <v>2021</v>
      </c>
      <c r="R53" cm="1">
        <f t="array" ref="R53">MONTH(Table1_3__3__7[Date Recorded])</f>
        <v>4</v>
      </c>
    </row>
    <row r="54" spans="1:18" x14ac:dyDescent="0.35">
      <c r="A54">
        <v>200374</v>
      </c>
      <c r="B54" t="s">
        <v>612</v>
      </c>
      <c r="C54" t="s">
        <v>471</v>
      </c>
      <c r="D54">
        <v>2021</v>
      </c>
      <c r="E54" s="14">
        <v>44256</v>
      </c>
      <c r="F54" t="s">
        <v>206</v>
      </c>
      <c r="G54" t="s">
        <v>762</v>
      </c>
      <c r="H54" t="s">
        <v>209</v>
      </c>
      <c r="I54">
        <v>227500</v>
      </c>
      <c r="J54">
        <v>525000</v>
      </c>
      <c r="K54">
        <v>0.43330000000000002</v>
      </c>
      <c r="L54">
        <v>2.3076923076923075</v>
      </c>
      <c r="M54" t="s">
        <v>13</v>
      </c>
      <c r="N54" t="s">
        <v>445</v>
      </c>
      <c r="P54" t="str">
        <f>TEXT(Table1_3__3__7[[#This Row],[Date Recorded]], "mmm")</f>
        <v>Mar</v>
      </c>
      <c r="Q54">
        <v>2021</v>
      </c>
      <c r="R54" cm="1">
        <f t="array" ref="R54">MONTH(Table1_3__3__7[Date Recorded])</f>
        <v>4</v>
      </c>
    </row>
    <row r="55" spans="1:18" x14ac:dyDescent="0.35">
      <c r="A55">
        <v>201023</v>
      </c>
      <c r="B55" t="s">
        <v>735</v>
      </c>
      <c r="C55" t="s">
        <v>458</v>
      </c>
      <c r="D55">
        <v>2021</v>
      </c>
      <c r="E55" s="14">
        <v>44378</v>
      </c>
      <c r="F55" t="s">
        <v>98</v>
      </c>
      <c r="G55" t="s">
        <v>770</v>
      </c>
      <c r="H55" t="s">
        <v>104</v>
      </c>
      <c r="I55">
        <v>435610</v>
      </c>
      <c r="J55">
        <v>525000</v>
      </c>
      <c r="K55">
        <v>0.82969999999999999</v>
      </c>
      <c r="L55">
        <v>1.2052064920456371</v>
      </c>
      <c r="M55" t="s">
        <v>10</v>
      </c>
      <c r="N55" t="s">
        <v>446</v>
      </c>
      <c r="P55" t="str">
        <f>TEXT(Table1_3__3__7[[#This Row],[Date Recorded]], "mmm")</f>
        <v>Jul</v>
      </c>
      <c r="Q55">
        <v>2021</v>
      </c>
      <c r="R55" cm="1">
        <f t="array" ref="R55">MONTH(Table1_3__3__7[Date Recorded])</f>
        <v>4</v>
      </c>
    </row>
    <row r="56" spans="1:18" x14ac:dyDescent="0.35">
      <c r="A56">
        <v>200827</v>
      </c>
      <c r="B56" t="s">
        <v>657</v>
      </c>
      <c r="C56" t="s">
        <v>473</v>
      </c>
      <c r="D56">
        <v>2021</v>
      </c>
      <c r="E56" s="14">
        <v>44440</v>
      </c>
      <c r="F56" t="s">
        <v>83</v>
      </c>
      <c r="G56" t="s">
        <v>756</v>
      </c>
      <c r="H56" t="s">
        <v>422</v>
      </c>
      <c r="I56">
        <v>332000</v>
      </c>
      <c r="J56">
        <v>520000</v>
      </c>
      <c r="K56">
        <v>0.63839999999999997</v>
      </c>
      <c r="L56">
        <v>1.5662650602409638</v>
      </c>
      <c r="M56" t="s">
        <v>13</v>
      </c>
      <c r="N56" t="s">
        <v>446</v>
      </c>
      <c r="P56" t="str">
        <f>TEXT(Table1_3__3__7[[#This Row],[Date Recorded]], "mmm")</f>
        <v>Sep</v>
      </c>
      <c r="Q56">
        <v>2021</v>
      </c>
      <c r="R56" cm="1">
        <f t="array" ref="R56">MONTH(Table1_3__3__7[Date Recorded])</f>
        <v>4</v>
      </c>
    </row>
    <row r="57" spans="1:18" x14ac:dyDescent="0.35">
      <c r="A57">
        <v>200140</v>
      </c>
      <c r="B57" t="s">
        <v>705</v>
      </c>
      <c r="C57" t="s">
        <v>452</v>
      </c>
      <c r="D57">
        <v>2021</v>
      </c>
      <c r="E57" s="14">
        <v>44287</v>
      </c>
      <c r="F57" t="s">
        <v>77</v>
      </c>
      <c r="G57" t="s">
        <v>760</v>
      </c>
      <c r="H57" t="s">
        <v>421</v>
      </c>
      <c r="I57">
        <v>335800</v>
      </c>
      <c r="J57">
        <v>520000</v>
      </c>
      <c r="K57">
        <v>0.64570000000000005</v>
      </c>
      <c r="L57">
        <v>1.5485407980941037</v>
      </c>
      <c r="M57" t="s">
        <v>13</v>
      </c>
      <c r="N57" t="s">
        <v>446</v>
      </c>
      <c r="P57" t="str">
        <f>TEXT(Table1_3__3__7[[#This Row],[Date Recorded]], "mmm")</f>
        <v>Apr</v>
      </c>
      <c r="Q57">
        <v>2021</v>
      </c>
      <c r="R57" cm="1">
        <f t="array" ref="R57">MONTH(Table1_3__3__7[Date Recorded])</f>
        <v>4</v>
      </c>
    </row>
    <row r="58" spans="1:18" x14ac:dyDescent="0.35">
      <c r="A58">
        <v>200499</v>
      </c>
      <c r="B58" t="s">
        <v>616</v>
      </c>
      <c r="C58" t="s">
        <v>473</v>
      </c>
      <c r="D58">
        <v>2021</v>
      </c>
      <c r="E58" s="14">
        <v>44440</v>
      </c>
      <c r="F58" t="s">
        <v>69</v>
      </c>
      <c r="G58" t="s">
        <v>760</v>
      </c>
      <c r="H58" t="s">
        <v>418</v>
      </c>
      <c r="I58">
        <v>233660</v>
      </c>
      <c r="J58">
        <v>517000</v>
      </c>
      <c r="K58">
        <v>0.45190000000000002</v>
      </c>
      <c r="L58">
        <v>2.2126166224428658</v>
      </c>
      <c r="M58" t="s">
        <v>13</v>
      </c>
      <c r="N58" t="s">
        <v>445</v>
      </c>
      <c r="P58" t="str">
        <f>TEXT(Table1_3__3__7[[#This Row],[Date Recorded]], "mmm")</f>
        <v>Sep</v>
      </c>
      <c r="Q58">
        <v>2021</v>
      </c>
      <c r="R58" cm="1">
        <f t="array" ref="R58">MONTH(Table1_3__3__7[Date Recorded])</f>
        <v>4</v>
      </c>
    </row>
    <row r="59" spans="1:18" x14ac:dyDescent="0.35">
      <c r="A59">
        <v>20588</v>
      </c>
      <c r="B59" t="s">
        <v>619</v>
      </c>
      <c r="C59" t="s">
        <v>458</v>
      </c>
      <c r="D59">
        <v>2021</v>
      </c>
      <c r="E59" s="14">
        <v>44378</v>
      </c>
      <c r="F59" t="s">
        <v>216</v>
      </c>
      <c r="G59" t="s">
        <v>762</v>
      </c>
      <c r="H59" t="s">
        <v>218</v>
      </c>
      <c r="I59">
        <v>235950</v>
      </c>
      <c r="J59">
        <v>510000</v>
      </c>
      <c r="K59">
        <v>0.46260000000000001</v>
      </c>
      <c r="L59">
        <v>2.1614748887476161</v>
      </c>
      <c r="M59" t="s">
        <v>13</v>
      </c>
      <c r="N59" t="s">
        <v>445</v>
      </c>
      <c r="P59" t="str">
        <f>TEXT(Table1_3__3__7[[#This Row],[Date Recorded]], "mmm")</f>
        <v>Jul</v>
      </c>
      <c r="Q59">
        <v>2021</v>
      </c>
      <c r="R59" cm="1">
        <f t="array" ref="R59">MONTH(Table1_3__3__7[Date Recorded])</f>
        <v>4</v>
      </c>
    </row>
    <row r="60" spans="1:18" x14ac:dyDescent="0.35">
      <c r="A60">
        <v>20742</v>
      </c>
      <c r="B60" t="s">
        <v>653</v>
      </c>
      <c r="C60" t="s">
        <v>462</v>
      </c>
      <c r="D60">
        <v>2021</v>
      </c>
      <c r="E60" s="14">
        <v>44409</v>
      </c>
      <c r="F60" t="s">
        <v>166</v>
      </c>
      <c r="G60" t="s">
        <v>757</v>
      </c>
      <c r="H60" t="s">
        <v>168</v>
      </c>
      <c r="I60">
        <v>325640</v>
      </c>
      <c r="J60">
        <v>508000</v>
      </c>
      <c r="K60">
        <v>0.64100000000000001</v>
      </c>
      <c r="L60">
        <v>1.5600049134013021</v>
      </c>
      <c r="M60" t="s">
        <v>13</v>
      </c>
      <c r="N60" t="s">
        <v>446</v>
      </c>
      <c r="P60" t="str">
        <f>TEXT(Table1_3__3__7[[#This Row],[Date Recorded]], "mmm")</f>
        <v>Aug</v>
      </c>
      <c r="Q60">
        <v>2021</v>
      </c>
      <c r="R60" cm="1">
        <f t="array" ref="R60">MONTH(Table1_3__3__7[Date Recorded])</f>
        <v>4</v>
      </c>
    </row>
    <row r="61" spans="1:18" x14ac:dyDescent="0.35">
      <c r="A61">
        <v>200080</v>
      </c>
      <c r="B61" t="s">
        <v>639</v>
      </c>
      <c r="C61" t="s">
        <v>475</v>
      </c>
      <c r="D61">
        <v>2020</v>
      </c>
      <c r="E61" s="14">
        <v>44136</v>
      </c>
      <c r="F61" t="s">
        <v>96</v>
      </c>
      <c r="G61" t="s">
        <v>756</v>
      </c>
      <c r="H61" t="s">
        <v>425</v>
      </c>
      <c r="I61">
        <v>239550</v>
      </c>
      <c r="J61">
        <v>480000</v>
      </c>
      <c r="K61">
        <v>0.499</v>
      </c>
      <c r="L61">
        <v>2.0037570444583594</v>
      </c>
      <c r="M61" t="s">
        <v>13</v>
      </c>
      <c r="N61" t="s">
        <v>445</v>
      </c>
      <c r="P61" t="str">
        <f>TEXT(Table1_3__3__7[[#This Row],[Date Recorded]], "mmm")</f>
        <v>Nov</v>
      </c>
      <c r="Q61">
        <v>2021</v>
      </c>
      <c r="R61" cm="1">
        <f t="array" ref="R61">MONTH(Table1_3__3__7[Date Recorded])</f>
        <v>4</v>
      </c>
    </row>
    <row r="62" spans="1:18" x14ac:dyDescent="0.35">
      <c r="A62">
        <v>200282</v>
      </c>
      <c r="B62" t="s">
        <v>731</v>
      </c>
      <c r="C62" t="s">
        <v>458</v>
      </c>
      <c r="D62">
        <v>2021</v>
      </c>
      <c r="E62" s="14">
        <v>44378</v>
      </c>
      <c r="F62" t="s">
        <v>52</v>
      </c>
      <c r="G62" t="s">
        <v>755</v>
      </c>
      <c r="H62" t="s">
        <v>414</v>
      </c>
      <c r="I62">
        <v>359800</v>
      </c>
      <c r="J62">
        <v>480000</v>
      </c>
      <c r="K62">
        <v>0.74950000000000006</v>
      </c>
      <c r="L62">
        <v>1.3340744858254585</v>
      </c>
      <c r="M62" t="s">
        <v>10</v>
      </c>
      <c r="N62" t="s">
        <v>446</v>
      </c>
      <c r="P62" t="str">
        <f>TEXT(Table1_3__3__7[[#This Row],[Date Recorded]], "mmm")</f>
        <v>Jul</v>
      </c>
      <c r="Q62">
        <v>2020</v>
      </c>
      <c r="R62" cm="1">
        <f t="array" ref="R62">MONTH(Table1_3__3__7[Date Recorded])</f>
        <v>4</v>
      </c>
    </row>
    <row r="63" spans="1:18" x14ac:dyDescent="0.35">
      <c r="A63">
        <v>200145</v>
      </c>
      <c r="B63" t="s">
        <v>615</v>
      </c>
      <c r="C63" t="s">
        <v>462</v>
      </c>
      <c r="D63">
        <v>2021</v>
      </c>
      <c r="E63" s="14">
        <v>44409</v>
      </c>
      <c r="F63" t="s">
        <v>157</v>
      </c>
      <c r="G63" t="s">
        <v>757</v>
      </c>
      <c r="H63" t="s">
        <v>158</v>
      </c>
      <c r="I63">
        <v>238980</v>
      </c>
      <c r="J63">
        <v>460000</v>
      </c>
      <c r="K63">
        <v>0.51949999999999996</v>
      </c>
      <c r="L63">
        <v>1.9248472675537702</v>
      </c>
      <c r="M63" t="s">
        <v>13</v>
      </c>
      <c r="N63" t="s">
        <v>446</v>
      </c>
      <c r="P63" t="str">
        <f>TEXT(Table1_3__3__7[[#This Row],[Date Recorded]], "mmm")</f>
        <v>Aug</v>
      </c>
      <c r="Q63">
        <v>2021</v>
      </c>
      <c r="R63" cm="1">
        <f t="array" ref="R63">MONTH(Table1_3__3__7[Date Recorded])</f>
        <v>4</v>
      </c>
    </row>
    <row r="64" spans="1:18" x14ac:dyDescent="0.35">
      <c r="A64">
        <v>200359</v>
      </c>
      <c r="B64" t="s">
        <v>675</v>
      </c>
      <c r="C64" t="s">
        <v>471</v>
      </c>
      <c r="D64">
        <v>2021</v>
      </c>
      <c r="E64" s="14">
        <v>44256</v>
      </c>
      <c r="F64" t="s">
        <v>252</v>
      </c>
      <c r="G64" t="s">
        <v>763</v>
      </c>
      <c r="H64" t="s">
        <v>253</v>
      </c>
      <c r="I64">
        <v>256550</v>
      </c>
      <c r="J64">
        <v>451000</v>
      </c>
      <c r="K64">
        <v>0.56879999999999997</v>
      </c>
      <c r="L64">
        <v>1.7579419216526992</v>
      </c>
      <c r="M64" t="s">
        <v>13</v>
      </c>
      <c r="N64" t="s">
        <v>446</v>
      </c>
      <c r="P64" t="str">
        <f>TEXT(Table1_3__3__7[[#This Row],[Date Recorded]], "mmm")</f>
        <v>Mar</v>
      </c>
      <c r="Q64">
        <v>2021</v>
      </c>
      <c r="R64" cm="1">
        <f t="array" ref="R64">MONTH(Table1_3__3__7[Date Recorded])</f>
        <v>4</v>
      </c>
    </row>
    <row r="65" spans="1:18" x14ac:dyDescent="0.35">
      <c r="A65">
        <v>20761</v>
      </c>
      <c r="B65" t="s">
        <v>623</v>
      </c>
      <c r="C65" t="s">
        <v>456</v>
      </c>
      <c r="D65">
        <v>2021</v>
      </c>
      <c r="E65" s="14">
        <v>44317</v>
      </c>
      <c r="F65" t="s">
        <v>146</v>
      </c>
      <c r="G65" t="s">
        <v>757</v>
      </c>
      <c r="H65" t="s">
        <v>148</v>
      </c>
      <c r="I65">
        <v>212310</v>
      </c>
      <c r="J65">
        <v>450000</v>
      </c>
      <c r="K65">
        <v>0.4718</v>
      </c>
      <c r="L65">
        <v>2.1195421788893598</v>
      </c>
      <c r="M65" t="s">
        <v>103</v>
      </c>
      <c r="N65" t="s">
        <v>445</v>
      </c>
      <c r="P65" t="str">
        <f>TEXT(Table1_3__3__7[[#This Row],[Date Recorded]], "mmm")</f>
        <v>May</v>
      </c>
      <c r="Q65">
        <v>2021</v>
      </c>
      <c r="R65" cm="1">
        <f t="array" ref="R65">MONTH(Table1_3__3__7[Date Recorded])</f>
        <v>4</v>
      </c>
    </row>
    <row r="66" spans="1:18" x14ac:dyDescent="0.35">
      <c r="A66">
        <v>201007</v>
      </c>
      <c r="B66" t="s">
        <v>683</v>
      </c>
      <c r="C66" t="s">
        <v>471</v>
      </c>
      <c r="D66">
        <v>2021</v>
      </c>
      <c r="E66" s="14">
        <v>44256</v>
      </c>
      <c r="F66" t="s">
        <v>122</v>
      </c>
      <c r="G66" t="s">
        <v>757</v>
      </c>
      <c r="H66" t="s">
        <v>172</v>
      </c>
      <c r="I66">
        <v>261800</v>
      </c>
      <c r="J66">
        <v>450000</v>
      </c>
      <c r="K66">
        <v>0.58169999999999999</v>
      </c>
      <c r="L66">
        <v>1.7188693659281895</v>
      </c>
      <c r="M66" t="s">
        <v>13</v>
      </c>
      <c r="N66" t="s">
        <v>446</v>
      </c>
      <c r="P66" t="str">
        <f>TEXT(Table1_3__3__7[[#This Row],[Date Recorded]], "mmm")</f>
        <v>Mar</v>
      </c>
      <c r="Q66">
        <v>2021</v>
      </c>
      <c r="R66" cm="1">
        <f t="array" ref="R66">MONTH(Table1_3__3__7[Date Recorded])</f>
        <v>4</v>
      </c>
    </row>
    <row r="67" spans="1:18" x14ac:dyDescent="0.35">
      <c r="A67">
        <v>202281</v>
      </c>
      <c r="B67" t="s">
        <v>657</v>
      </c>
      <c r="C67" t="s">
        <v>473</v>
      </c>
      <c r="D67">
        <v>2021</v>
      </c>
      <c r="E67" s="14">
        <v>44440</v>
      </c>
      <c r="F67" t="s">
        <v>170</v>
      </c>
      <c r="G67" t="s">
        <v>757</v>
      </c>
      <c r="H67" t="s">
        <v>171</v>
      </c>
      <c r="I67">
        <v>276010</v>
      </c>
      <c r="J67">
        <v>443165</v>
      </c>
      <c r="K67">
        <v>0.62280000000000002</v>
      </c>
      <c r="L67">
        <v>1.6056121155030614</v>
      </c>
      <c r="M67" t="s">
        <v>13</v>
      </c>
      <c r="N67" t="s">
        <v>446</v>
      </c>
      <c r="P67" t="str">
        <f>TEXT(Table1_3__3__7[[#This Row],[Date Recorded]], "mmm")</f>
        <v>Sep</v>
      </c>
      <c r="Q67">
        <v>2021</v>
      </c>
      <c r="R67" cm="1">
        <f t="array" ref="R67">MONTH(Table1_3__3__7[Date Recorded])</f>
        <v>4</v>
      </c>
    </row>
    <row r="68" spans="1:18" x14ac:dyDescent="0.35">
      <c r="A68">
        <v>20360</v>
      </c>
      <c r="B68" t="s">
        <v>605</v>
      </c>
      <c r="C68" t="s">
        <v>464</v>
      </c>
      <c r="D68">
        <v>2021</v>
      </c>
      <c r="E68" s="14">
        <v>44197</v>
      </c>
      <c r="F68" t="s">
        <v>98</v>
      </c>
      <c r="G68" t="s">
        <v>770</v>
      </c>
      <c r="H68" t="s">
        <v>99</v>
      </c>
      <c r="I68">
        <v>173670</v>
      </c>
      <c r="J68">
        <v>439900</v>
      </c>
      <c r="K68">
        <v>0.3947</v>
      </c>
      <c r="L68">
        <v>2.5329648183336211</v>
      </c>
      <c r="M68" t="s">
        <v>10</v>
      </c>
      <c r="N68" t="s">
        <v>445</v>
      </c>
      <c r="P68" t="str">
        <f>TEXT(Table1_3__3__7[[#This Row],[Date Recorded]], "mmm")</f>
        <v>Jan</v>
      </c>
      <c r="Q68">
        <v>2021</v>
      </c>
      <c r="R68" cm="1">
        <f t="array" ref="R68">MONTH(Table1_3__3__7[Date Recorded])</f>
        <v>4</v>
      </c>
    </row>
    <row r="69" spans="1:18" x14ac:dyDescent="0.35">
      <c r="A69">
        <v>200552</v>
      </c>
      <c r="B69" t="s">
        <v>631</v>
      </c>
      <c r="C69" t="s">
        <v>473</v>
      </c>
      <c r="D69">
        <v>2021</v>
      </c>
      <c r="E69" s="14">
        <v>44440</v>
      </c>
      <c r="F69" t="s">
        <v>180</v>
      </c>
      <c r="G69" t="s">
        <v>762</v>
      </c>
      <c r="H69" t="s">
        <v>237</v>
      </c>
      <c r="I69">
        <v>213100</v>
      </c>
      <c r="J69">
        <v>435000</v>
      </c>
      <c r="K69">
        <v>0.48980000000000001</v>
      </c>
      <c r="L69">
        <v>2.0412951665884562</v>
      </c>
      <c r="M69" t="s">
        <v>13</v>
      </c>
      <c r="N69" t="s">
        <v>445</v>
      </c>
      <c r="P69" t="str">
        <f>TEXT(Table1_3__3__7[[#This Row],[Date Recorded]], "mmm")</f>
        <v>Sep</v>
      </c>
      <c r="Q69">
        <v>2021</v>
      </c>
      <c r="R69" cm="1">
        <f t="array" ref="R69">MONTH(Table1_3__3__7[Date Recorded])</f>
        <v>4</v>
      </c>
    </row>
    <row r="70" spans="1:18" x14ac:dyDescent="0.35">
      <c r="A70">
        <v>20002</v>
      </c>
      <c r="B70" t="s">
        <v>687</v>
      </c>
      <c r="C70" t="s">
        <v>469</v>
      </c>
      <c r="D70">
        <v>2020</v>
      </c>
      <c r="E70" s="14">
        <v>44105</v>
      </c>
      <c r="F70" t="s">
        <v>11</v>
      </c>
      <c r="G70" t="s">
        <v>761</v>
      </c>
      <c r="H70" t="s">
        <v>12</v>
      </c>
      <c r="I70">
        <v>253000</v>
      </c>
      <c r="J70">
        <v>430000</v>
      </c>
      <c r="K70">
        <v>0.58830000000000005</v>
      </c>
      <c r="L70">
        <v>1.6996047430830039</v>
      </c>
      <c r="M70" t="s">
        <v>13</v>
      </c>
      <c r="N70" t="s">
        <v>446</v>
      </c>
      <c r="P70" t="str">
        <f>TEXT(Table1_3__3__7[[#This Row],[Date Recorded]], "mmm")</f>
        <v>Oct</v>
      </c>
      <c r="Q70">
        <v>2020</v>
      </c>
      <c r="R70" cm="1">
        <f t="array" ref="R70">MONTH(Table1_3__3__7[Date Recorded])</f>
        <v>4</v>
      </c>
    </row>
    <row r="71" spans="1:18" x14ac:dyDescent="0.35">
      <c r="A71">
        <v>200125</v>
      </c>
      <c r="B71" t="s">
        <v>644</v>
      </c>
      <c r="C71" t="s">
        <v>471</v>
      </c>
      <c r="D71">
        <v>2021</v>
      </c>
      <c r="E71" s="14">
        <v>44256</v>
      </c>
      <c r="F71" t="s">
        <v>77</v>
      </c>
      <c r="G71" t="s">
        <v>760</v>
      </c>
      <c r="H71" t="s">
        <v>78</v>
      </c>
      <c r="I71">
        <v>220500</v>
      </c>
      <c r="J71">
        <v>425000</v>
      </c>
      <c r="K71">
        <v>0.51880000000000004</v>
      </c>
      <c r="L71">
        <v>1.9274376417233561</v>
      </c>
      <c r="M71" t="s">
        <v>13</v>
      </c>
      <c r="N71" t="s">
        <v>446</v>
      </c>
      <c r="P71" t="str">
        <f>TEXT(Table1_3__3__7[[#This Row],[Date Recorded]], "mmm")</f>
        <v>Mar</v>
      </c>
      <c r="Q71">
        <v>2021</v>
      </c>
      <c r="R71" cm="1">
        <f t="array" ref="R71">MONTH(Table1_3__3__7[Date Recorded])</f>
        <v>4</v>
      </c>
    </row>
    <row r="72" spans="1:18" x14ac:dyDescent="0.35">
      <c r="A72">
        <v>200236</v>
      </c>
      <c r="B72" t="s">
        <v>674</v>
      </c>
      <c r="C72" t="s">
        <v>471</v>
      </c>
      <c r="D72">
        <v>2021</v>
      </c>
      <c r="E72" s="14">
        <v>44256</v>
      </c>
      <c r="F72" t="s">
        <v>69</v>
      </c>
      <c r="G72" t="s">
        <v>760</v>
      </c>
      <c r="H72" t="s">
        <v>70</v>
      </c>
      <c r="I72">
        <v>238140</v>
      </c>
      <c r="J72">
        <v>421000</v>
      </c>
      <c r="K72">
        <v>0.56559999999999999</v>
      </c>
      <c r="L72">
        <v>1.7678676408835139</v>
      </c>
      <c r="M72" t="s">
        <v>13</v>
      </c>
      <c r="N72" t="s">
        <v>446</v>
      </c>
      <c r="P72" t="str">
        <f>TEXT(Table1_3__3__7[[#This Row],[Date Recorded]], "mmm")</f>
        <v>Mar</v>
      </c>
      <c r="Q72">
        <v>2021</v>
      </c>
      <c r="R72" cm="1">
        <f t="array" ref="R72">MONTH(Table1_3__3__7[Date Recorded])</f>
        <v>4</v>
      </c>
    </row>
    <row r="73" spans="1:18" x14ac:dyDescent="0.35">
      <c r="A73">
        <v>200599</v>
      </c>
      <c r="B73" t="s">
        <v>673</v>
      </c>
      <c r="C73" t="s">
        <v>458</v>
      </c>
      <c r="D73">
        <v>2021</v>
      </c>
      <c r="E73" s="14">
        <v>44378</v>
      </c>
      <c r="F73" t="s">
        <v>252</v>
      </c>
      <c r="G73" t="s">
        <v>763</v>
      </c>
      <c r="H73" t="s">
        <v>254</v>
      </c>
      <c r="I73">
        <v>237440</v>
      </c>
      <c r="J73">
        <v>420000</v>
      </c>
      <c r="K73">
        <v>0.56530000000000002</v>
      </c>
      <c r="L73">
        <v>1.7688679245283019</v>
      </c>
      <c r="M73" t="s">
        <v>13</v>
      </c>
      <c r="N73" t="s">
        <v>446</v>
      </c>
      <c r="P73" t="str">
        <f>TEXT(Table1_3__3__7[[#This Row],[Date Recorded]], "mmm")</f>
        <v>Jul</v>
      </c>
      <c r="Q73">
        <v>2021</v>
      </c>
      <c r="R73" cm="1">
        <f t="array" ref="R73">MONTH(Table1_3__3__7[Date Recorded])</f>
        <v>4</v>
      </c>
    </row>
    <row r="74" spans="1:18" x14ac:dyDescent="0.35">
      <c r="A74">
        <v>200078</v>
      </c>
      <c r="B74" t="s">
        <v>689</v>
      </c>
      <c r="C74" t="s">
        <v>473</v>
      </c>
      <c r="D74">
        <v>2021</v>
      </c>
      <c r="E74" s="14">
        <v>44440</v>
      </c>
      <c r="F74" t="s">
        <v>46</v>
      </c>
      <c r="G74" t="s">
        <v>755</v>
      </c>
      <c r="H74" t="s">
        <v>47</v>
      </c>
      <c r="I74">
        <v>250100</v>
      </c>
      <c r="J74">
        <v>418800</v>
      </c>
      <c r="K74">
        <v>0.59709999999999996</v>
      </c>
      <c r="L74">
        <v>1.67453018792483</v>
      </c>
      <c r="M74" t="s">
        <v>13</v>
      </c>
      <c r="N74" t="s">
        <v>446</v>
      </c>
      <c r="P74" t="str">
        <f>TEXT(Table1_3__3__7[[#This Row],[Date Recorded]], "mmm")</f>
        <v>Sep</v>
      </c>
      <c r="Q74">
        <v>2021</v>
      </c>
      <c r="R74" cm="1">
        <f t="array" ref="R74">MONTH(Table1_3__3__7[Date Recorded])</f>
        <v>4</v>
      </c>
    </row>
    <row r="75" spans="1:18" x14ac:dyDescent="0.35">
      <c r="A75">
        <v>200305</v>
      </c>
      <c r="B75" t="s">
        <v>676</v>
      </c>
      <c r="C75" t="s">
        <v>464</v>
      </c>
      <c r="D75">
        <v>2021</v>
      </c>
      <c r="E75" s="14">
        <v>44197</v>
      </c>
      <c r="F75" t="s">
        <v>73</v>
      </c>
      <c r="G75" t="s">
        <v>760</v>
      </c>
      <c r="H75" t="s">
        <v>419</v>
      </c>
      <c r="I75">
        <v>233660</v>
      </c>
      <c r="J75">
        <v>410000</v>
      </c>
      <c r="K75">
        <v>0.56989999999999996</v>
      </c>
      <c r="L75">
        <v>1.7546862963279979</v>
      </c>
      <c r="M75" t="s">
        <v>13</v>
      </c>
      <c r="N75" t="s">
        <v>446</v>
      </c>
      <c r="P75" t="str">
        <f>TEXT(Table1_3__3__7[[#This Row],[Date Recorded]], "mmm")</f>
        <v>Jan</v>
      </c>
      <c r="Q75">
        <v>2021</v>
      </c>
      <c r="R75" cm="1">
        <f t="array" ref="R75">MONTH(Table1_3__3__7[Date Recorded])</f>
        <v>4</v>
      </c>
    </row>
    <row r="76" spans="1:18" x14ac:dyDescent="0.35">
      <c r="A76">
        <v>2001493</v>
      </c>
      <c r="B76" t="s">
        <v>630</v>
      </c>
      <c r="C76" t="s">
        <v>456</v>
      </c>
      <c r="D76">
        <v>2021</v>
      </c>
      <c r="E76" s="14">
        <v>44317</v>
      </c>
      <c r="F76" t="s">
        <v>181</v>
      </c>
      <c r="G76" t="s">
        <v>762</v>
      </c>
      <c r="H76" t="s">
        <v>226</v>
      </c>
      <c r="I76">
        <v>238890</v>
      </c>
      <c r="J76">
        <v>400000</v>
      </c>
      <c r="K76">
        <v>0.59719999999999995</v>
      </c>
      <c r="L76">
        <v>1.6744108166938758</v>
      </c>
      <c r="M76" t="s">
        <v>13</v>
      </c>
      <c r="N76" t="s">
        <v>446</v>
      </c>
      <c r="P76" t="str">
        <f>TEXT(Table1_3__3__7[[#This Row],[Date Recorded]], "mmm")</f>
        <v>May</v>
      </c>
      <c r="Q76">
        <v>2021</v>
      </c>
      <c r="R76" cm="1">
        <f t="array" ref="R76">MONTH(Table1_3__3__7[Date Recorded])</f>
        <v>4</v>
      </c>
    </row>
    <row r="77" spans="1:18" x14ac:dyDescent="0.35">
      <c r="A77">
        <v>201057</v>
      </c>
      <c r="B77" t="s">
        <v>710</v>
      </c>
      <c r="C77" t="s">
        <v>462</v>
      </c>
      <c r="D77">
        <v>2021</v>
      </c>
      <c r="E77" s="14">
        <v>44409</v>
      </c>
      <c r="F77" t="s">
        <v>146</v>
      </c>
      <c r="G77" t="s">
        <v>757</v>
      </c>
      <c r="H77" t="s">
        <v>149</v>
      </c>
      <c r="I77">
        <v>264390</v>
      </c>
      <c r="J77">
        <v>400000</v>
      </c>
      <c r="K77">
        <v>0.66090000000000004</v>
      </c>
      <c r="L77">
        <v>1.5129165248307426</v>
      </c>
      <c r="M77" t="s">
        <v>10</v>
      </c>
      <c r="N77" t="s">
        <v>446</v>
      </c>
      <c r="P77" t="str">
        <f>TEXT(Table1_3__3__7[[#This Row],[Date Recorded]], "mmm")</f>
        <v>Aug</v>
      </c>
      <c r="Q77">
        <v>2021</v>
      </c>
      <c r="R77" cm="1">
        <f t="array" ref="R77">MONTH(Table1_3__3__7[Date Recorded])</f>
        <v>4</v>
      </c>
    </row>
    <row r="78" spans="1:18" x14ac:dyDescent="0.35">
      <c r="A78">
        <v>20200824</v>
      </c>
      <c r="B78" t="s">
        <v>630</v>
      </c>
      <c r="C78" t="s">
        <v>456</v>
      </c>
      <c r="D78">
        <v>2021</v>
      </c>
      <c r="E78" s="14">
        <v>44317</v>
      </c>
      <c r="F78" t="s">
        <v>129</v>
      </c>
      <c r="G78" t="s">
        <v>762</v>
      </c>
      <c r="H78" t="s">
        <v>239</v>
      </c>
      <c r="I78">
        <v>193340</v>
      </c>
      <c r="J78">
        <v>395000</v>
      </c>
      <c r="K78">
        <v>0.4894</v>
      </c>
      <c r="L78">
        <v>2.0430329988621083</v>
      </c>
      <c r="M78" t="s">
        <v>13</v>
      </c>
      <c r="N78" t="s">
        <v>445</v>
      </c>
      <c r="P78" t="str">
        <f>TEXT(Table1_3__3__7[[#This Row],[Date Recorded]], "mmm")</f>
        <v>May</v>
      </c>
      <c r="Q78">
        <v>2021</v>
      </c>
      <c r="R78" cm="1">
        <f t="array" ref="R78">MONTH(Table1_3__3__7[Date Recorded])</f>
        <v>4</v>
      </c>
    </row>
    <row r="79" spans="1:18" x14ac:dyDescent="0.35">
      <c r="A79">
        <v>200035</v>
      </c>
      <c r="B79" t="s">
        <v>668</v>
      </c>
      <c r="C79" t="s">
        <v>469</v>
      </c>
      <c r="D79">
        <v>2020</v>
      </c>
      <c r="E79" s="14">
        <v>44105</v>
      </c>
      <c r="F79" t="s">
        <v>48</v>
      </c>
      <c r="G79" t="s">
        <v>755</v>
      </c>
      <c r="H79" t="s">
        <v>49</v>
      </c>
      <c r="I79">
        <v>223900</v>
      </c>
      <c r="J79">
        <v>392000</v>
      </c>
      <c r="K79">
        <v>0.57110000000000005</v>
      </c>
      <c r="L79">
        <v>1.7507815989280928</v>
      </c>
      <c r="M79" t="s">
        <v>13</v>
      </c>
      <c r="N79" t="s">
        <v>446</v>
      </c>
      <c r="P79" t="str">
        <f>TEXT(Table1_3__3__7[[#This Row],[Date Recorded]], "mmm")</f>
        <v>Oct</v>
      </c>
      <c r="Q79">
        <v>2020</v>
      </c>
      <c r="R79" cm="1">
        <f t="array" ref="R79">MONTH(Table1_3__3__7[Date Recorded])</f>
        <v>4</v>
      </c>
    </row>
    <row r="80" spans="1:18" x14ac:dyDescent="0.35">
      <c r="A80">
        <v>200510</v>
      </c>
      <c r="B80" t="s">
        <v>601</v>
      </c>
      <c r="C80" t="s">
        <v>473</v>
      </c>
      <c r="D80">
        <v>2021</v>
      </c>
      <c r="E80" s="14">
        <v>44440</v>
      </c>
      <c r="F80" t="s">
        <v>69</v>
      </c>
      <c r="G80" t="s">
        <v>760</v>
      </c>
      <c r="H80" t="s">
        <v>72</v>
      </c>
      <c r="I80">
        <v>212100</v>
      </c>
      <c r="J80">
        <v>390500</v>
      </c>
      <c r="K80">
        <v>0.54310000000000003</v>
      </c>
      <c r="L80">
        <v>1.8411126826968411</v>
      </c>
      <c r="M80" t="s">
        <v>13</v>
      </c>
      <c r="N80" t="s">
        <v>446</v>
      </c>
      <c r="P80" t="str">
        <f>TEXT(Table1_3__3__7[[#This Row],[Date Recorded]], "mmm")</f>
        <v>Sep</v>
      </c>
      <c r="Q80">
        <v>2021</v>
      </c>
      <c r="R80" cm="1">
        <f t="array" ref="R80">MONTH(Table1_3__3__7[Date Recorded])</f>
        <v>4</v>
      </c>
    </row>
    <row r="81" spans="1:18" x14ac:dyDescent="0.35">
      <c r="A81">
        <v>200074</v>
      </c>
      <c r="B81" t="s">
        <v>628</v>
      </c>
      <c r="C81" t="s">
        <v>473</v>
      </c>
      <c r="D81">
        <v>2021</v>
      </c>
      <c r="E81" s="14">
        <v>44440</v>
      </c>
      <c r="F81" t="s">
        <v>50</v>
      </c>
      <c r="G81" t="s">
        <v>755</v>
      </c>
      <c r="H81" t="s">
        <v>51</v>
      </c>
      <c r="I81">
        <v>246100</v>
      </c>
      <c r="J81">
        <v>385000</v>
      </c>
      <c r="K81">
        <v>0.63919999999999999</v>
      </c>
      <c r="L81">
        <v>1.564404713531085</v>
      </c>
      <c r="M81" t="s">
        <v>10</v>
      </c>
      <c r="N81" t="s">
        <v>446</v>
      </c>
      <c r="P81" t="str">
        <f>TEXT(Table1_3__3__7[[#This Row],[Date Recorded]], "mmm")</f>
        <v>Sep</v>
      </c>
      <c r="Q81">
        <v>2021</v>
      </c>
      <c r="R81" cm="1">
        <f t="array" ref="R81">MONTH(Table1_3__3__7[Date Recorded])</f>
        <v>4</v>
      </c>
    </row>
    <row r="82" spans="1:18" x14ac:dyDescent="0.35">
      <c r="A82">
        <v>200014</v>
      </c>
      <c r="B82" t="s">
        <v>635</v>
      </c>
      <c r="C82" t="s">
        <v>469</v>
      </c>
      <c r="D82">
        <v>2020</v>
      </c>
      <c r="E82" s="14">
        <v>44105</v>
      </c>
      <c r="F82" t="s">
        <v>271</v>
      </c>
      <c r="G82" t="s">
        <v>759</v>
      </c>
      <c r="H82" t="s">
        <v>273</v>
      </c>
      <c r="I82">
        <v>245790</v>
      </c>
      <c r="J82">
        <v>382000</v>
      </c>
      <c r="K82">
        <v>0.64339999999999997</v>
      </c>
      <c r="L82">
        <v>1.554172260873103</v>
      </c>
      <c r="M82" t="s">
        <v>13</v>
      </c>
      <c r="N82" t="s">
        <v>446</v>
      </c>
      <c r="P82" t="str">
        <f>TEXT(Table1_3__3__7[[#This Row],[Date Recorded]], "mmm")</f>
        <v>Oct</v>
      </c>
      <c r="Q82">
        <v>2020</v>
      </c>
      <c r="R82" cm="1">
        <f t="array" ref="R82">MONTH(Table1_3__3__7[Date Recorded])</f>
        <v>4</v>
      </c>
    </row>
    <row r="83" spans="1:18" x14ac:dyDescent="0.35">
      <c r="A83">
        <v>200245</v>
      </c>
      <c r="B83" t="s">
        <v>734</v>
      </c>
      <c r="C83" t="s">
        <v>464</v>
      </c>
      <c r="D83">
        <v>2021</v>
      </c>
      <c r="E83" s="14">
        <v>44197</v>
      </c>
      <c r="F83" t="s">
        <v>206</v>
      </c>
      <c r="G83" t="s">
        <v>762</v>
      </c>
      <c r="H83" t="s">
        <v>208</v>
      </c>
      <c r="I83">
        <v>310660</v>
      </c>
      <c r="J83">
        <v>375000</v>
      </c>
      <c r="K83">
        <v>0.82840000000000003</v>
      </c>
      <c r="L83">
        <v>1.2071074486576965</v>
      </c>
      <c r="M83" t="s">
        <v>10</v>
      </c>
      <c r="N83" t="s">
        <v>446</v>
      </c>
      <c r="P83" t="str">
        <f>TEXT(Table1_3__3__7[[#This Row],[Date Recorded]], "mmm")</f>
        <v>Jan</v>
      </c>
      <c r="Q83">
        <v>2021</v>
      </c>
      <c r="R83" cm="1">
        <f t="array" ref="R83">MONTH(Table1_3__3__7[Date Recorded])</f>
        <v>4</v>
      </c>
    </row>
    <row r="84" spans="1:18" x14ac:dyDescent="0.35">
      <c r="A84">
        <v>200081</v>
      </c>
      <c r="B84" t="s">
        <v>725</v>
      </c>
      <c r="C84" t="s">
        <v>475</v>
      </c>
      <c r="D84">
        <v>2020</v>
      </c>
      <c r="E84" s="14">
        <v>44136</v>
      </c>
      <c r="F84" t="s">
        <v>210</v>
      </c>
      <c r="G84" t="s">
        <v>762</v>
      </c>
      <c r="H84" t="s">
        <v>214</v>
      </c>
      <c r="I84">
        <v>270440</v>
      </c>
      <c r="J84">
        <v>372000</v>
      </c>
      <c r="K84">
        <v>0.72689999999999999</v>
      </c>
      <c r="L84">
        <v>1.3755361632894543</v>
      </c>
      <c r="M84" t="s">
        <v>13</v>
      </c>
      <c r="N84" t="s">
        <v>446</v>
      </c>
      <c r="P84" t="str">
        <f>TEXT(Table1_3__3__7[[#This Row],[Date Recorded]], "mmm")</f>
        <v>Nov</v>
      </c>
      <c r="Q84">
        <v>2020</v>
      </c>
      <c r="R84" cm="1">
        <f t="array" ref="R84">MONTH(Table1_3__3__7[Date Recorded])</f>
        <v>4</v>
      </c>
    </row>
    <row r="85" spans="1:18" x14ac:dyDescent="0.35">
      <c r="A85">
        <v>200011</v>
      </c>
      <c r="B85" t="s">
        <v>635</v>
      </c>
      <c r="C85" t="s">
        <v>469</v>
      </c>
      <c r="D85">
        <v>2020</v>
      </c>
      <c r="E85" s="14">
        <v>44105</v>
      </c>
      <c r="F85" t="s">
        <v>252</v>
      </c>
      <c r="G85" t="s">
        <v>763</v>
      </c>
      <c r="H85" t="s">
        <v>256</v>
      </c>
      <c r="I85">
        <v>183190</v>
      </c>
      <c r="J85">
        <v>370000</v>
      </c>
      <c r="K85">
        <v>0.49509999999999998</v>
      </c>
      <c r="L85">
        <v>2.0197609039794751</v>
      </c>
      <c r="M85" t="s">
        <v>13</v>
      </c>
      <c r="N85" t="s">
        <v>445</v>
      </c>
      <c r="P85" t="str">
        <f>TEXT(Table1_3__3__7[[#This Row],[Date Recorded]], "mmm")</f>
        <v>Oct</v>
      </c>
      <c r="Q85">
        <v>2020</v>
      </c>
      <c r="R85" cm="1">
        <f t="array" ref="R85">MONTH(Table1_3__3__7[Date Recorded])</f>
        <v>4</v>
      </c>
    </row>
    <row r="86" spans="1:18" x14ac:dyDescent="0.35">
      <c r="A86">
        <v>200233</v>
      </c>
      <c r="B86" t="s">
        <v>665</v>
      </c>
      <c r="C86" t="s">
        <v>450</v>
      </c>
      <c r="D86">
        <v>2020</v>
      </c>
      <c r="E86" s="14">
        <v>44166</v>
      </c>
      <c r="F86" t="s">
        <v>252</v>
      </c>
      <c r="G86" t="s">
        <v>763</v>
      </c>
      <c r="H86" t="s">
        <v>257</v>
      </c>
      <c r="I86">
        <v>202160</v>
      </c>
      <c r="J86">
        <v>365000</v>
      </c>
      <c r="K86">
        <v>0.55379999999999996</v>
      </c>
      <c r="L86">
        <v>1.8055005935892363</v>
      </c>
      <c r="M86" t="s">
        <v>13</v>
      </c>
      <c r="N86" t="s">
        <v>446</v>
      </c>
      <c r="P86" t="str">
        <f>TEXT(Table1_3__3__7[[#This Row],[Date Recorded]], "mmm")</f>
        <v>Dec</v>
      </c>
      <c r="Q86">
        <v>2020</v>
      </c>
      <c r="R86" cm="1">
        <f t="array" ref="R86">MONTH(Table1_3__3__7[Date Recorded])</f>
        <v>4</v>
      </c>
    </row>
    <row r="87" spans="1:18" x14ac:dyDescent="0.35">
      <c r="A87">
        <v>2000230</v>
      </c>
      <c r="B87" t="s">
        <v>680</v>
      </c>
      <c r="C87" t="s">
        <v>471</v>
      </c>
      <c r="D87">
        <v>2021</v>
      </c>
      <c r="E87" s="14">
        <v>44256</v>
      </c>
      <c r="F87" t="s">
        <v>43</v>
      </c>
      <c r="G87" t="s">
        <v>755</v>
      </c>
      <c r="H87" t="s">
        <v>44</v>
      </c>
      <c r="I87">
        <v>210940</v>
      </c>
      <c r="J87">
        <v>365000</v>
      </c>
      <c r="K87">
        <v>0.57789999999999997</v>
      </c>
      <c r="L87">
        <v>1.7303498625201479</v>
      </c>
      <c r="M87" t="s">
        <v>13</v>
      </c>
      <c r="N87" t="s">
        <v>446</v>
      </c>
      <c r="P87" t="str">
        <f>TEXT(Table1_3__3__7[[#This Row],[Date Recorded]], "mmm")</f>
        <v>Mar</v>
      </c>
      <c r="Q87">
        <v>2021</v>
      </c>
      <c r="R87" cm="1">
        <f t="array" ref="R87">MONTH(Table1_3__3__7[Date Recorded])</f>
        <v>4</v>
      </c>
    </row>
    <row r="88" spans="1:18" x14ac:dyDescent="0.35">
      <c r="A88">
        <v>201129</v>
      </c>
      <c r="B88" t="s">
        <v>597</v>
      </c>
      <c r="C88" t="s">
        <v>462</v>
      </c>
      <c r="D88">
        <v>2021</v>
      </c>
      <c r="E88" s="14">
        <v>44409</v>
      </c>
      <c r="F88" t="s">
        <v>98</v>
      </c>
      <c r="G88" t="s">
        <v>770</v>
      </c>
      <c r="H88" t="s">
        <v>105</v>
      </c>
      <c r="I88">
        <v>114954</v>
      </c>
      <c r="J88">
        <v>360000</v>
      </c>
      <c r="K88">
        <v>0.31929999999999997</v>
      </c>
      <c r="L88">
        <v>3.1316874575917324</v>
      </c>
      <c r="M88" t="s">
        <v>13</v>
      </c>
      <c r="N88" t="s">
        <v>445</v>
      </c>
      <c r="P88" t="str">
        <f>TEXT(Table1_3__3__7[[#This Row],[Date Recorded]], "mmm")</f>
        <v>Aug</v>
      </c>
      <c r="Q88">
        <v>2021</v>
      </c>
      <c r="R88" cm="1">
        <f t="array" ref="R88">MONTH(Table1_3__3__7[Date Recorded])</f>
        <v>4</v>
      </c>
    </row>
    <row r="89" spans="1:18" x14ac:dyDescent="0.35">
      <c r="A89">
        <v>20293</v>
      </c>
      <c r="B89" t="s">
        <v>655</v>
      </c>
      <c r="C89" t="s">
        <v>454</v>
      </c>
      <c r="D89">
        <v>2021</v>
      </c>
      <c r="E89" s="14">
        <v>44348</v>
      </c>
      <c r="F89" t="s">
        <v>184</v>
      </c>
      <c r="G89" t="s">
        <v>764</v>
      </c>
      <c r="H89" t="s">
        <v>186</v>
      </c>
      <c r="I89">
        <v>193560</v>
      </c>
      <c r="J89">
        <v>360000</v>
      </c>
      <c r="K89">
        <v>0.53759999999999997</v>
      </c>
      <c r="L89">
        <v>1.8598884066955983</v>
      </c>
      <c r="M89" t="s">
        <v>13</v>
      </c>
      <c r="N89" t="s">
        <v>446</v>
      </c>
      <c r="P89" t="str">
        <f>TEXT(Table1_3__3__7[[#This Row],[Date Recorded]], "mmm")</f>
        <v>Jun</v>
      </c>
      <c r="Q89">
        <v>2021</v>
      </c>
      <c r="R89" cm="1">
        <f t="array" ref="R89">MONTH(Table1_3__3__7[Date Recorded])</f>
        <v>4</v>
      </c>
    </row>
    <row r="90" spans="1:18" x14ac:dyDescent="0.35">
      <c r="A90">
        <v>200125</v>
      </c>
      <c r="B90" t="s">
        <v>657</v>
      </c>
      <c r="C90" t="s">
        <v>473</v>
      </c>
      <c r="D90">
        <v>2021</v>
      </c>
      <c r="E90" s="14">
        <v>44440</v>
      </c>
      <c r="F90" t="s">
        <v>106</v>
      </c>
      <c r="G90" t="s">
        <v>770</v>
      </c>
      <c r="H90" t="s">
        <v>107</v>
      </c>
      <c r="I90">
        <v>194790</v>
      </c>
      <c r="J90">
        <v>360000</v>
      </c>
      <c r="K90">
        <v>0.54100000000000004</v>
      </c>
      <c r="L90">
        <v>1.8481441552441091</v>
      </c>
      <c r="M90" t="s">
        <v>13</v>
      </c>
      <c r="N90" t="s">
        <v>446</v>
      </c>
      <c r="P90" t="str">
        <f>TEXT(Table1_3__3__7[[#This Row],[Date Recorded]], "mmm")</f>
        <v>Sep</v>
      </c>
      <c r="Q90">
        <v>2021</v>
      </c>
      <c r="R90" cm="1">
        <f t="array" ref="R90">MONTH(Table1_3__3__7[Date Recorded])</f>
        <v>4</v>
      </c>
    </row>
    <row r="91" spans="1:18" x14ac:dyDescent="0.35">
      <c r="A91">
        <v>200652</v>
      </c>
      <c r="B91" t="s">
        <v>672</v>
      </c>
      <c r="C91" t="s">
        <v>454</v>
      </c>
      <c r="D91">
        <v>2021</v>
      </c>
      <c r="E91" s="14">
        <v>44348</v>
      </c>
      <c r="F91" t="s">
        <v>73</v>
      </c>
      <c r="G91" t="s">
        <v>760</v>
      </c>
      <c r="H91" t="s">
        <v>75</v>
      </c>
      <c r="I91">
        <v>203470</v>
      </c>
      <c r="J91">
        <v>360000</v>
      </c>
      <c r="K91">
        <v>0.56510000000000005</v>
      </c>
      <c r="L91">
        <v>1.7693025998918759</v>
      </c>
      <c r="M91" t="s">
        <v>13</v>
      </c>
      <c r="N91" t="s">
        <v>446</v>
      </c>
      <c r="P91" t="str">
        <f>TEXT(Table1_3__3__7[[#This Row],[Date Recorded]], "mmm")</f>
        <v>Jun</v>
      </c>
      <c r="Q91">
        <v>2021</v>
      </c>
      <c r="R91" cm="1">
        <f t="array" ref="R91">MONTH(Table1_3__3__7[Date Recorded])</f>
        <v>4</v>
      </c>
    </row>
    <row r="92" spans="1:18" x14ac:dyDescent="0.35">
      <c r="A92">
        <v>2002299</v>
      </c>
      <c r="B92" t="s">
        <v>624</v>
      </c>
      <c r="C92" t="s">
        <v>462</v>
      </c>
      <c r="D92">
        <v>2021</v>
      </c>
      <c r="E92" s="14">
        <v>44409</v>
      </c>
      <c r="F92" t="s">
        <v>181</v>
      </c>
      <c r="G92" t="s">
        <v>762</v>
      </c>
      <c r="H92" t="s">
        <v>234</v>
      </c>
      <c r="I92">
        <v>169050</v>
      </c>
      <c r="J92">
        <v>355000</v>
      </c>
      <c r="K92">
        <v>0.47610000000000002</v>
      </c>
      <c r="L92">
        <v>2.0999704229517895</v>
      </c>
      <c r="M92" t="s">
        <v>13</v>
      </c>
      <c r="N92" t="s">
        <v>445</v>
      </c>
      <c r="P92" t="str">
        <f>TEXT(Table1_3__3__7[[#This Row],[Date Recorded]], "mmm")</f>
        <v>Aug</v>
      </c>
      <c r="Q92">
        <v>2021</v>
      </c>
      <c r="R92" cm="1">
        <f t="array" ref="R92">MONTH(Table1_3__3__7[Date Recorded])</f>
        <v>4</v>
      </c>
    </row>
    <row r="93" spans="1:18" x14ac:dyDescent="0.35">
      <c r="A93">
        <v>202876</v>
      </c>
      <c r="B93" t="s">
        <v>723</v>
      </c>
      <c r="C93" t="s">
        <v>462</v>
      </c>
      <c r="D93">
        <v>2021</v>
      </c>
      <c r="E93" s="14">
        <v>44409</v>
      </c>
      <c r="F93" t="s">
        <v>122</v>
      </c>
      <c r="G93" t="s">
        <v>757</v>
      </c>
      <c r="H93" t="s">
        <v>175</v>
      </c>
      <c r="I93">
        <v>256270</v>
      </c>
      <c r="J93">
        <v>355000</v>
      </c>
      <c r="K93">
        <v>0.7218</v>
      </c>
      <c r="L93">
        <v>1.3852577359815819</v>
      </c>
      <c r="M93" t="s">
        <v>13</v>
      </c>
      <c r="N93" t="s">
        <v>446</v>
      </c>
      <c r="P93" t="str">
        <f>TEXT(Table1_3__3__7[[#This Row],[Date Recorded]], "mmm")</f>
        <v>Aug</v>
      </c>
      <c r="Q93">
        <v>2021</v>
      </c>
      <c r="R93" cm="1">
        <f t="array" ref="R93">MONTH(Table1_3__3__7[Date Recorded])</f>
        <v>4</v>
      </c>
    </row>
    <row r="94" spans="1:18" x14ac:dyDescent="0.35">
      <c r="A94">
        <v>200086</v>
      </c>
      <c r="B94" t="s">
        <v>627</v>
      </c>
      <c r="C94" t="s">
        <v>462</v>
      </c>
      <c r="D94">
        <v>2021</v>
      </c>
      <c r="E94" s="14">
        <v>44409</v>
      </c>
      <c r="F94" t="s">
        <v>25</v>
      </c>
      <c r="G94" t="s">
        <v>766</v>
      </c>
      <c r="H94" t="s">
        <v>26</v>
      </c>
      <c r="I94">
        <v>168900</v>
      </c>
      <c r="J94">
        <v>352000</v>
      </c>
      <c r="K94">
        <v>0.4798</v>
      </c>
      <c r="L94">
        <v>2.0840734162226169</v>
      </c>
      <c r="M94" t="s">
        <v>13</v>
      </c>
      <c r="N94" t="s">
        <v>445</v>
      </c>
      <c r="P94" t="str">
        <f>TEXT(Table1_3__3__7[[#This Row],[Date Recorded]], "mmm")</f>
        <v>Aug</v>
      </c>
      <c r="Q94">
        <v>2021</v>
      </c>
      <c r="R94" cm="1">
        <f t="array" ref="R94">MONTH(Table1_3__3__7[Date Recorded])</f>
        <v>4</v>
      </c>
    </row>
    <row r="95" spans="1:18" x14ac:dyDescent="0.35">
      <c r="A95">
        <v>200656</v>
      </c>
      <c r="B95" t="s">
        <v>728</v>
      </c>
      <c r="C95" t="s">
        <v>452</v>
      </c>
      <c r="D95">
        <v>2021</v>
      </c>
      <c r="E95" s="14">
        <v>44287</v>
      </c>
      <c r="F95" t="s">
        <v>133</v>
      </c>
      <c r="G95" t="s">
        <v>757</v>
      </c>
      <c r="H95" t="s">
        <v>179</v>
      </c>
      <c r="I95">
        <v>262300</v>
      </c>
      <c r="J95">
        <v>352000</v>
      </c>
      <c r="K95">
        <v>0.74509999999999998</v>
      </c>
      <c r="L95">
        <v>1.341974837971788</v>
      </c>
      <c r="M95" t="s">
        <v>10</v>
      </c>
      <c r="N95" t="s">
        <v>446</v>
      </c>
      <c r="P95" t="str">
        <f>TEXT(Table1_3__3__7[[#This Row],[Date Recorded]], "mmm")</f>
        <v>Apr</v>
      </c>
      <c r="Q95">
        <v>2021</v>
      </c>
      <c r="R95" cm="1">
        <f t="array" ref="R95">MONTH(Table1_3__3__7[Date Recorded])</f>
        <v>4</v>
      </c>
    </row>
    <row r="96" spans="1:18" x14ac:dyDescent="0.35">
      <c r="A96">
        <v>200210</v>
      </c>
      <c r="B96" t="s">
        <v>591</v>
      </c>
      <c r="C96" t="s">
        <v>458</v>
      </c>
      <c r="D96">
        <v>2021</v>
      </c>
      <c r="E96" s="14">
        <v>44378</v>
      </c>
      <c r="F96" t="s">
        <v>123</v>
      </c>
      <c r="G96" t="s">
        <v>765</v>
      </c>
      <c r="H96" t="s">
        <v>124</v>
      </c>
      <c r="I96">
        <v>169400</v>
      </c>
      <c r="J96">
        <v>345000</v>
      </c>
      <c r="K96">
        <v>0.49099999999999999</v>
      </c>
      <c r="L96">
        <v>2.0365997638724913</v>
      </c>
      <c r="M96" t="s">
        <v>13</v>
      </c>
      <c r="N96" t="s">
        <v>445</v>
      </c>
      <c r="P96" t="str">
        <f>TEXT(Table1_3__3__7[[#This Row],[Date Recorded]], "mmm")</f>
        <v>Jul</v>
      </c>
      <c r="Q96">
        <v>2021</v>
      </c>
      <c r="R96" cm="1">
        <f t="array" ref="R96">MONTH(Table1_3__3__7[Date Recorded])</f>
        <v>4</v>
      </c>
    </row>
    <row r="97" spans="1:18" x14ac:dyDescent="0.35">
      <c r="A97">
        <v>2000212</v>
      </c>
      <c r="B97" t="s">
        <v>684</v>
      </c>
      <c r="C97" t="s">
        <v>469</v>
      </c>
      <c r="D97">
        <v>2020</v>
      </c>
      <c r="E97" s="14">
        <v>44105</v>
      </c>
      <c r="F97" t="s">
        <v>181</v>
      </c>
      <c r="G97" t="s">
        <v>762</v>
      </c>
      <c r="H97" t="s">
        <v>231</v>
      </c>
      <c r="I97">
        <v>199330</v>
      </c>
      <c r="J97">
        <v>342500</v>
      </c>
      <c r="K97">
        <v>0.58189999999999997</v>
      </c>
      <c r="L97">
        <v>1.7182561581297346</v>
      </c>
      <c r="M97" t="s">
        <v>13</v>
      </c>
      <c r="N97" t="s">
        <v>446</v>
      </c>
      <c r="P97" t="str">
        <f>TEXT(Table1_3__3__7[[#This Row],[Date Recorded]], "mmm")</f>
        <v>Oct</v>
      </c>
      <c r="Q97">
        <v>2020</v>
      </c>
      <c r="R97" cm="1">
        <f t="array" ref="R97">MONTH(Table1_3__3__7[Date Recorded])</f>
        <v>4</v>
      </c>
    </row>
    <row r="98" spans="1:18" x14ac:dyDescent="0.35">
      <c r="A98">
        <v>200149</v>
      </c>
      <c r="B98" t="s">
        <v>591</v>
      </c>
      <c r="C98" t="s">
        <v>458</v>
      </c>
      <c r="D98">
        <v>2021</v>
      </c>
      <c r="E98" s="14">
        <v>44378</v>
      </c>
      <c r="F98" t="s">
        <v>244</v>
      </c>
      <c r="G98" t="s">
        <v>763</v>
      </c>
      <c r="H98" t="s">
        <v>245</v>
      </c>
      <c r="I98">
        <v>204000</v>
      </c>
      <c r="J98">
        <v>337500</v>
      </c>
      <c r="K98">
        <v>0.60440000000000005</v>
      </c>
      <c r="L98">
        <v>1.6544117647058822</v>
      </c>
      <c r="M98" t="s">
        <v>13</v>
      </c>
      <c r="N98" t="s">
        <v>446</v>
      </c>
      <c r="P98" t="str">
        <f>TEXT(Table1_3__3__7[[#This Row],[Date Recorded]], "mmm")</f>
        <v>Jul</v>
      </c>
      <c r="Q98">
        <v>2021</v>
      </c>
      <c r="R98" cm="1">
        <f t="array" ref="R98">MONTH(Table1_3__3__7[Date Recorded])</f>
        <v>4</v>
      </c>
    </row>
    <row r="99" spans="1:18" x14ac:dyDescent="0.35">
      <c r="A99">
        <v>20139</v>
      </c>
      <c r="B99" t="s">
        <v>642</v>
      </c>
      <c r="C99" t="s">
        <v>450</v>
      </c>
      <c r="D99">
        <v>2020</v>
      </c>
      <c r="E99" s="14">
        <v>44166</v>
      </c>
      <c r="F99" t="s">
        <v>23</v>
      </c>
      <c r="G99" t="s">
        <v>766</v>
      </c>
      <c r="H99" t="s">
        <v>24</v>
      </c>
      <c r="I99">
        <v>171360</v>
      </c>
      <c r="J99">
        <v>335000</v>
      </c>
      <c r="K99">
        <v>0.51149999999999995</v>
      </c>
      <c r="L99">
        <v>1.9549486461251167</v>
      </c>
      <c r="M99" t="s">
        <v>13</v>
      </c>
      <c r="N99" t="s">
        <v>446</v>
      </c>
      <c r="P99" t="str">
        <f>TEXT(Table1_3__3__7[[#This Row],[Date Recorded]], "mmm")</f>
        <v>Dec</v>
      </c>
      <c r="Q99">
        <v>2020</v>
      </c>
      <c r="R99" cm="1">
        <f t="array" ref="R99">MONTH(Table1_3__3__7[Date Recorded])</f>
        <v>4</v>
      </c>
    </row>
    <row r="100" spans="1:18" x14ac:dyDescent="0.35">
      <c r="A100">
        <v>200522</v>
      </c>
      <c r="B100" t="s">
        <v>646</v>
      </c>
      <c r="C100" t="s">
        <v>471</v>
      </c>
      <c r="D100">
        <v>2021</v>
      </c>
      <c r="E100" s="14">
        <v>44256</v>
      </c>
      <c r="F100" t="s">
        <v>133</v>
      </c>
      <c r="G100" t="s">
        <v>757</v>
      </c>
      <c r="H100" t="s">
        <v>178</v>
      </c>
      <c r="I100">
        <v>174400</v>
      </c>
      <c r="J100">
        <v>335000</v>
      </c>
      <c r="K100">
        <v>0.52049999999999996</v>
      </c>
      <c r="L100">
        <v>1.9208715596330275</v>
      </c>
      <c r="M100" t="s">
        <v>13</v>
      </c>
      <c r="N100" t="s">
        <v>446</v>
      </c>
      <c r="P100" t="str">
        <f>TEXT(Table1_3__3__7[[#This Row],[Date Recorded]], "mmm")</f>
        <v>Mar</v>
      </c>
      <c r="Q100">
        <v>2021</v>
      </c>
      <c r="R100" cm="1">
        <f t="array" ref="R100">MONTH(Table1_3__3__7[Date Recorded])</f>
        <v>4</v>
      </c>
    </row>
    <row r="101" spans="1:18" x14ac:dyDescent="0.35">
      <c r="A101">
        <v>200289</v>
      </c>
      <c r="B101" t="s">
        <v>649</v>
      </c>
      <c r="C101" t="s">
        <v>475</v>
      </c>
      <c r="D101">
        <v>2020</v>
      </c>
      <c r="E101" s="14">
        <v>44136</v>
      </c>
      <c r="F101" t="s">
        <v>122</v>
      </c>
      <c r="G101" t="s">
        <v>757</v>
      </c>
      <c r="H101" t="s">
        <v>176</v>
      </c>
      <c r="I101">
        <v>173040</v>
      </c>
      <c r="J101">
        <v>330000</v>
      </c>
      <c r="K101">
        <v>0.52429999999999999</v>
      </c>
      <c r="L101">
        <v>1.9070735090152566</v>
      </c>
      <c r="M101" t="s">
        <v>13</v>
      </c>
      <c r="N101" t="s">
        <v>446</v>
      </c>
      <c r="P101" t="str">
        <f>TEXT(Table1_3__3__7[[#This Row],[Date Recorded]], "mmm")</f>
        <v>Nov</v>
      </c>
      <c r="Q101">
        <v>2020</v>
      </c>
      <c r="R101" cm="1">
        <f t="array" ref="R101">MONTH(Table1_3__3__7[Date Recorded])</f>
        <v>4</v>
      </c>
    </row>
    <row r="102" spans="1:18" x14ac:dyDescent="0.35">
      <c r="A102">
        <v>200494</v>
      </c>
      <c r="B102" t="s">
        <v>666</v>
      </c>
      <c r="C102" t="s">
        <v>460</v>
      </c>
      <c r="D102">
        <v>2021</v>
      </c>
      <c r="E102" s="14">
        <v>44228</v>
      </c>
      <c r="F102" t="s">
        <v>192</v>
      </c>
      <c r="G102" t="s">
        <v>759</v>
      </c>
      <c r="H102" t="s">
        <v>275</v>
      </c>
      <c r="I102">
        <v>181720</v>
      </c>
      <c r="J102">
        <v>327900</v>
      </c>
      <c r="K102">
        <v>0.55410000000000004</v>
      </c>
      <c r="L102">
        <v>1.8044243891701519</v>
      </c>
      <c r="M102" t="s">
        <v>13</v>
      </c>
      <c r="N102" t="s">
        <v>446</v>
      </c>
      <c r="P102" t="str">
        <f>TEXT(Table1_3__3__7[[#This Row],[Date Recorded]], "mmm")</f>
        <v>Feb</v>
      </c>
      <c r="Q102">
        <v>2021</v>
      </c>
      <c r="R102" cm="1">
        <f t="array" ref="R102">MONTH(Table1_3__3__7[Date Recorded])</f>
        <v>4</v>
      </c>
    </row>
    <row r="103" spans="1:18" x14ac:dyDescent="0.35">
      <c r="A103">
        <v>2020348</v>
      </c>
      <c r="B103" t="s">
        <v>620</v>
      </c>
      <c r="C103" t="s">
        <v>473</v>
      </c>
      <c r="D103">
        <v>2021</v>
      </c>
      <c r="E103" s="14">
        <v>44440</v>
      </c>
      <c r="F103" t="s">
        <v>8</v>
      </c>
      <c r="G103" t="s">
        <v>761</v>
      </c>
      <c r="H103" t="s">
        <v>9</v>
      </c>
      <c r="I103">
        <v>150500</v>
      </c>
      <c r="J103">
        <v>325000</v>
      </c>
      <c r="K103">
        <v>0.46300000000000002</v>
      </c>
      <c r="L103">
        <v>2.1594684385382061</v>
      </c>
      <c r="M103" t="s">
        <v>10</v>
      </c>
      <c r="N103" t="s">
        <v>445</v>
      </c>
      <c r="P103" t="str">
        <f>TEXT(Table1_3__3__7[[#This Row],[Date Recorded]], "mmm")</f>
        <v>Sep</v>
      </c>
      <c r="Q103">
        <v>2020</v>
      </c>
      <c r="R103" cm="1">
        <f t="array" ref="R103">MONTH(Table1_3__3__7[Date Recorded])</f>
        <v>4</v>
      </c>
    </row>
    <row r="104" spans="1:18" x14ac:dyDescent="0.35">
      <c r="A104">
        <v>201443</v>
      </c>
      <c r="B104" t="s">
        <v>628</v>
      </c>
      <c r="C104" t="s">
        <v>473</v>
      </c>
      <c r="D104">
        <v>2021</v>
      </c>
      <c r="E104" s="14">
        <v>44440</v>
      </c>
      <c r="F104" t="s">
        <v>56</v>
      </c>
      <c r="G104" t="s">
        <v>758</v>
      </c>
      <c r="H104" t="s">
        <v>61</v>
      </c>
      <c r="I104">
        <v>158700</v>
      </c>
      <c r="J104">
        <v>325000</v>
      </c>
      <c r="K104">
        <v>0.48830000000000001</v>
      </c>
      <c r="L104">
        <v>2.0478890989287963</v>
      </c>
      <c r="M104" t="s">
        <v>13</v>
      </c>
      <c r="N104" t="s">
        <v>445</v>
      </c>
      <c r="P104" t="str">
        <f>TEXT(Table1_3__3__7[[#This Row],[Date Recorded]], "mmm")</f>
        <v>Sep</v>
      </c>
      <c r="Q104">
        <v>2021</v>
      </c>
      <c r="R104" cm="1">
        <f t="array" ref="R104">MONTH(Table1_3__3__7[Date Recorded])</f>
        <v>4</v>
      </c>
    </row>
    <row r="105" spans="1:18" x14ac:dyDescent="0.35">
      <c r="A105">
        <v>200175</v>
      </c>
      <c r="B105" t="s">
        <v>668</v>
      </c>
      <c r="C105" t="s">
        <v>469</v>
      </c>
      <c r="D105">
        <v>2020</v>
      </c>
      <c r="E105" s="14">
        <v>44105</v>
      </c>
      <c r="F105" t="s">
        <v>108</v>
      </c>
      <c r="G105" t="s">
        <v>765</v>
      </c>
      <c r="H105" t="s">
        <v>134</v>
      </c>
      <c r="I105">
        <v>180950</v>
      </c>
      <c r="J105">
        <v>325000</v>
      </c>
      <c r="K105">
        <v>0.55669999999999997</v>
      </c>
      <c r="L105">
        <v>1.7960762641613706</v>
      </c>
      <c r="M105" t="s">
        <v>13</v>
      </c>
      <c r="N105" t="s">
        <v>446</v>
      </c>
      <c r="P105" t="str">
        <f>TEXT(Table1_3__3__7[[#This Row],[Date Recorded]], "mmm")</f>
        <v>Oct</v>
      </c>
      <c r="Q105">
        <v>2021</v>
      </c>
      <c r="R105" cm="1">
        <f t="array" ref="R105">MONTH(Table1_3__3__7[Date Recorded])</f>
        <v>4</v>
      </c>
    </row>
    <row r="106" spans="1:18" x14ac:dyDescent="0.35">
      <c r="A106">
        <v>2000448</v>
      </c>
      <c r="B106" t="s">
        <v>640</v>
      </c>
      <c r="C106" t="s">
        <v>454</v>
      </c>
      <c r="D106">
        <v>2021</v>
      </c>
      <c r="E106" s="14">
        <v>44348</v>
      </c>
      <c r="F106" t="s">
        <v>277</v>
      </c>
      <c r="G106" t="s">
        <v>759</v>
      </c>
      <c r="H106" t="s">
        <v>278</v>
      </c>
      <c r="I106">
        <v>158870</v>
      </c>
      <c r="J106">
        <v>315000</v>
      </c>
      <c r="K106">
        <v>0.50429999999999997</v>
      </c>
      <c r="L106">
        <v>1.9827531944357022</v>
      </c>
      <c r="M106" t="s">
        <v>13</v>
      </c>
      <c r="N106" t="s">
        <v>446</v>
      </c>
      <c r="P106" t="str">
        <f>TEXT(Table1_3__3__7[[#This Row],[Date Recorded]], "mmm")</f>
        <v>Jun</v>
      </c>
      <c r="Q106">
        <v>2021</v>
      </c>
      <c r="R106" cm="1">
        <f t="array" ref="R106">MONTH(Table1_3__3__7[Date Recorded])</f>
        <v>4</v>
      </c>
    </row>
    <row r="107" spans="1:18" x14ac:dyDescent="0.35">
      <c r="A107">
        <v>20492</v>
      </c>
      <c r="B107" t="s">
        <v>597</v>
      </c>
      <c r="C107" t="s">
        <v>462</v>
      </c>
      <c r="D107">
        <v>2021</v>
      </c>
      <c r="E107" s="14">
        <v>44409</v>
      </c>
      <c r="F107" t="s">
        <v>184</v>
      </c>
      <c r="G107" t="s">
        <v>764</v>
      </c>
      <c r="H107" t="s">
        <v>188</v>
      </c>
      <c r="I107">
        <v>142910</v>
      </c>
      <c r="J107">
        <v>310000</v>
      </c>
      <c r="K107">
        <v>0.46100000000000002</v>
      </c>
      <c r="L107">
        <v>2.1691973969631237</v>
      </c>
      <c r="M107" t="s">
        <v>13</v>
      </c>
      <c r="N107" t="s">
        <v>445</v>
      </c>
      <c r="P107" t="str">
        <f>TEXT(Table1_3__3__7[[#This Row],[Date Recorded]], "mmm")</f>
        <v>Aug</v>
      </c>
      <c r="Q107">
        <v>2021</v>
      </c>
      <c r="R107" cm="1">
        <f t="array" ref="R107">MONTH(Table1_3__3__7[Date Recorded])</f>
        <v>4</v>
      </c>
    </row>
    <row r="108" spans="1:18" x14ac:dyDescent="0.35">
      <c r="A108">
        <v>200700</v>
      </c>
      <c r="B108" t="s">
        <v>647</v>
      </c>
      <c r="C108" t="s">
        <v>458</v>
      </c>
      <c r="D108">
        <v>2021</v>
      </c>
      <c r="E108" s="14">
        <v>44378</v>
      </c>
      <c r="F108" t="s">
        <v>73</v>
      </c>
      <c r="G108" t="s">
        <v>760</v>
      </c>
      <c r="H108" t="s">
        <v>420</v>
      </c>
      <c r="I108">
        <v>161590</v>
      </c>
      <c r="J108">
        <v>310000</v>
      </c>
      <c r="K108">
        <v>0.5212</v>
      </c>
      <c r="L108">
        <v>1.9184355467541307</v>
      </c>
      <c r="M108" t="s">
        <v>13</v>
      </c>
      <c r="N108" t="s">
        <v>446</v>
      </c>
      <c r="P108" t="str">
        <f>TEXT(Table1_3__3__7[[#This Row],[Date Recorded]], "mmm")</f>
        <v>Jul</v>
      </c>
      <c r="Q108">
        <v>2021</v>
      </c>
      <c r="R108" cm="1">
        <f t="array" ref="R108">MONTH(Table1_3__3__7[Date Recorded])</f>
        <v>4</v>
      </c>
    </row>
    <row r="109" spans="1:18" x14ac:dyDescent="0.35">
      <c r="A109">
        <v>200038</v>
      </c>
      <c r="B109" t="s">
        <v>713</v>
      </c>
      <c r="C109" t="s">
        <v>469</v>
      </c>
      <c r="D109">
        <v>2020</v>
      </c>
      <c r="E109" s="14">
        <v>44105</v>
      </c>
      <c r="F109" t="s">
        <v>125</v>
      </c>
      <c r="G109" t="s">
        <v>765</v>
      </c>
      <c r="H109" t="s">
        <v>132</v>
      </c>
      <c r="I109">
        <v>209440</v>
      </c>
      <c r="J109">
        <v>307000</v>
      </c>
      <c r="K109">
        <v>0.68220000000000003</v>
      </c>
      <c r="L109">
        <v>1.4658135981665394</v>
      </c>
      <c r="M109" t="s">
        <v>13</v>
      </c>
      <c r="N109" t="s">
        <v>446</v>
      </c>
      <c r="P109" t="str">
        <f>TEXT(Table1_3__3__7[[#This Row],[Date Recorded]], "mmm")</f>
        <v>Oct</v>
      </c>
      <c r="Q109">
        <v>2020</v>
      </c>
      <c r="R109" cm="1">
        <f t="array" ref="R109">MONTH(Table1_3__3__7[Date Recorded])</f>
        <v>4</v>
      </c>
    </row>
    <row r="110" spans="1:18" x14ac:dyDescent="0.35">
      <c r="A110">
        <v>200961</v>
      </c>
      <c r="B110" t="s">
        <v>610</v>
      </c>
      <c r="C110" t="s">
        <v>458</v>
      </c>
      <c r="D110">
        <v>2021</v>
      </c>
      <c r="E110" s="14">
        <v>44378</v>
      </c>
      <c r="F110" t="s">
        <v>125</v>
      </c>
      <c r="G110" t="s">
        <v>765</v>
      </c>
      <c r="H110" t="s">
        <v>128</v>
      </c>
      <c r="I110">
        <v>130340</v>
      </c>
      <c r="J110">
        <v>305000</v>
      </c>
      <c r="K110">
        <v>0.42730000000000001</v>
      </c>
      <c r="L110">
        <v>2.340033757864048</v>
      </c>
      <c r="M110" t="s">
        <v>13</v>
      </c>
      <c r="N110" t="s">
        <v>445</v>
      </c>
      <c r="P110" t="str">
        <f>TEXT(Table1_3__3__7[[#This Row],[Date Recorded]], "mmm")</f>
        <v>Jul</v>
      </c>
      <c r="Q110">
        <v>2021</v>
      </c>
      <c r="R110" cm="1">
        <f t="array" ref="R110">MONTH(Table1_3__3__7[Date Recorded])</f>
        <v>4</v>
      </c>
    </row>
    <row r="111" spans="1:18" x14ac:dyDescent="0.35">
      <c r="A111">
        <v>200557</v>
      </c>
      <c r="B111" t="s">
        <v>658</v>
      </c>
      <c r="C111" t="s">
        <v>471</v>
      </c>
      <c r="D111">
        <v>2021</v>
      </c>
      <c r="E111" s="14">
        <v>44256</v>
      </c>
      <c r="F111" t="s">
        <v>192</v>
      </c>
      <c r="G111" t="s">
        <v>759</v>
      </c>
      <c r="H111" t="s">
        <v>276</v>
      </c>
      <c r="I111">
        <v>166670</v>
      </c>
      <c r="J111">
        <v>305000</v>
      </c>
      <c r="K111">
        <v>0.5464</v>
      </c>
      <c r="L111">
        <v>1.8299634007319854</v>
      </c>
      <c r="M111" t="s">
        <v>13</v>
      </c>
      <c r="N111" t="s">
        <v>446</v>
      </c>
      <c r="P111" t="str">
        <f>TEXT(Table1_3__3__7[[#This Row],[Date Recorded]], "mmm")</f>
        <v>Mar</v>
      </c>
      <c r="Q111">
        <v>2021</v>
      </c>
      <c r="R111" cm="1">
        <f t="array" ref="R111">MONTH(Table1_3__3__7[Date Recorded])</f>
        <v>4</v>
      </c>
    </row>
    <row r="112" spans="1:18" x14ac:dyDescent="0.35">
      <c r="A112">
        <v>20014</v>
      </c>
      <c r="B112" t="s">
        <v>699</v>
      </c>
      <c r="C112" t="s">
        <v>469</v>
      </c>
      <c r="D112">
        <v>2020</v>
      </c>
      <c r="E112" s="14">
        <v>44105</v>
      </c>
      <c r="F112" t="s">
        <v>136</v>
      </c>
      <c r="G112" t="s">
        <v>765</v>
      </c>
      <c r="H112" t="s">
        <v>137</v>
      </c>
      <c r="I112">
        <v>189100</v>
      </c>
      <c r="J112">
        <v>305000</v>
      </c>
      <c r="K112">
        <v>0.62</v>
      </c>
      <c r="L112">
        <v>1.6129032258064515</v>
      </c>
      <c r="M112" t="s">
        <v>13</v>
      </c>
      <c r="N112" t="s">
        <v>446</v>
      </c>
      <c r="P112" t="str">
        <f>TEXT(Table1_3__3__7[[#This Row],[Date Recorded]], "mmm")</f>
        <v>Oct</v>
      </c>
      <c r="Q112">
        <v>2021</v>
      </c>
      <c r="R112" cm="1">
        <f t="array" ref="R112">MONTH(Table1_3__3__7[Date Recorded])</f>
        <v>4</v>
      </c>
    </row>
    <row r="113" spans="1:18" x14ac:dyDescent="0.35">
      <c r="A113">
        <v>200376</v>
      </c>
      <c r="B113" t="s">
        <v>720</v>
      </c>
      <c r="C113" t="s">
        <v>464</v>
      </c>
      <c r="D113">
        <v>2021</v>
      </c>
      <c r="E113" s="14">
        <v>44197</v>
      </c>
      <c r="F113" t="s">
        <v>192</v>
      </c>
      <c r="G113" t="s">
        <v>759</v>
      </c>
      <c r="H113" t="s">
        <v>274</v>
      </c>
      <c r="I113">
        <v>216580</v>
      </c>
      <c r="J113">
        <v>305000</v>
      </c>
      <c r="K113">
        <v>0.71</v>
      </c>
      <c r="L113">
        <v>1.4082556099362822</v>
      </c>
      <c r="M113" t="s">
        <v>13</v>
      </c>
      <c r="N113" t="s">
        <v>446</v>
      </c>
      <c r="P113" t="str">
        <f>TEXT(Table1_3__3__7[[#This Row],[Date Recorded]], "mmm")</f>
        <v>Jan</v>
      </c>
      <c r="Q113">
        <v>2020</v>
      </c>
      <c r="R113" cm="1">
        <f t="array" ref="R113">MONTH(Table1_3__3__7[Date Recorded])</f>
        <v>4</v>
      </c>
    </row>
    <row r="114" spans="1:18" x14ac:dyDescent="0.35">
      <c r="A114">
        <v>201078</v>
      </c>
      <c r="B114" t="s">
        <v>678</v>
      </c>
      <c r="C114" t="s">
        <v>450</v>
      </c>
      <c r="D114">
        <v>2020</v>
      </c>
      <c r="E114" s="14">
        <v>44166</v>
      </c>
      <c r="F114" t="s">
        <v>90</v>
      </c>
      <c r="G114" t="s">
        <v>756</v>
      </c>
      <c r="H114" t="s">
        <v>91</v>
      </c>
      <c r="I114">
        <v>173040</v>
      </c>
      <c r="J114">
        <v>302000</v>
      </c>
      <c r="K114">
        <v>0.57289999999999996</v>
      </c>
      <c r="L114">
        <v>1.7452612112806287</v>
      </c>
      <c r="M114" t="s">
        <v>13</v>
      </c>
      <c r="N114" t="s">
        <v>446</v>
      </c>
      <c r="P114" t="str">
        <f>TEXT(Table1_3__3__7[[#This Row],[Date Recorded]], "mmm")</f>
        <v>Dec</v>
      </c>
      <c r="Q114">
        <v>2020</v>
      </c>
      <c r="R114" cm="1">
        <f t="array" ref="R114">MONTH(Table1_3__3__7[Date Recorded])</f>
        <v>4</v>
      </c>
    </row>
    <row r="115" spans="1:18" x14ac:dyDescent="0.35">
      <c r="A115">
        <v>200484</v>
      </c>
      <c r="B115" t="s">
        <v>591</v>
      </c>
      <c r="C115" t="s">
        <v>458</v>
      </c>
      <c r="D115">
        <v>2021</v>
      </c>
      <c r="E115" s="14">
        <v>44378</v>
      </c>
      <c r="F115" t="s">
        <v>187</v>
      </c>
      <c r="G115" t="s">
        <v>771</v>
      </c>
      <c r="H115" t="s">
        <v>259</v>
      </c>
      <c r="I115">
        <v>126800</v>
      </c>
      <c r="J115">
        <v>300000</v>
      </c>
      <c r="K115">
        <v>0.42259999999999998</v>
      </c>
      <c r="L115">
        <v>2.3659305993690851</v>
      </c>
      <c r="M115" t="s">
        <v>13</v>
      </c>
      <c r="N115" t="s">
        <v>445</v>
      </c>
      <c r="P115" t="str">
        <f>TEXT(Table1_3__3__7[[#This Row],[Date Recorded]], "mmm")</f>
        <v>Jul</v>
      </c>
      <c r="Q115">
        <v>2021</v>
      </c>
      <c r="R115" cm="1">
        <f t="array" ref="R115">MONTH(Table1_3__3__7[Date Recorded])</f>
        <v>4</v>
      </c>
    </row>
    <row r="116" spans="1:18" x14ac:dyDescent="0.35">
      <c r="A116">
        <v>200354</v>
      </c>
      <c r="B116" t="s">
        <v>682</v>
      </c>
      <c r="C116" t="s">
        <v>450</v>
      </c>
      <c r="D116">
        <v>2020</v>
      </c>
      <c r="E116" s="14">
        <v>44166</v>
      </c>
      <c r="F116" t="s">
        <v>32</v>
      </c>
      <c r="G116" t="s">
        <v>766</v>
      </c>
      <c r="H116" t="s">
        <v>34</v>
      </c>
      <c r="I116">
        <v>173740</v>
      </c>
      <c r="J116">
        <v>299000</v>
      </c>
      <c r="K116">
        <v>0.58099999999999996</v>
      </c>
      <c r="L116">
        <v>1.720962357545758</v>
      </c>
      <c r="M116" t="s">
        <v>13</v>
      </c>
      <c r="N116" t="s">
        <v>446</v>
      </c>
      <c r="P116" t="str">
        <f>TEXT(Table1_3__3__7[[#This Row],[Date Recorded]], "mmm")</f>
        <v>Dec</v>
      </c>
      <c r="Q116">
        <v>2020</v>
      </c>
      <c r="R116" cm="1">
        <f t="array" ref="R116">MONTH(Table1_3__3__7[Date Recorded])</f>
        <v>4</v>
      </c>
    </row>
    <row r="117" spans="1:18" x14ac:dyDescent="0.35">
      <c r="A117">
        <v>200046</v>
      </c>
      <c r="B117" t="s">
        <v>618</v>
      </c>
      <c r="C117" t="s">
        <v>450</v>
      </c>
      <c r="D117">
        <v>2020</v>
      </c>
      <c r="E117" s="14">
        <v>44166</v>
      </c>
      <c r="F117" t="s">
        <v>244</v>
      </c>
      <c r="G117" t="s">
        <v>763</v>
      </c>
      <c r="H117" t="s">
        <v>246</v>
      </c>
      <c r="I117">
        <v>133210</v>
      </c>
      <c r="J117">
        <v>289900</v>
      </c>
      <c r="K117">
        <v>0.45950000000000002</v>
      </c>
      <c r="L117">
        <v>2.1762630433150663</v>
      </c>
      <c r="M117" t="s">
        <v>13</v>
      </c>
      <c r="N117" t="s">
        <v>445</v>
      </c>
      <c r="P117" t="str">
        <f>TEXT(Table1_3__3__7[[#This Row],[Date Recorded]], "mmm")</f>
        <v>Dec</v>
      </c>
      <c r="Q117">
        <v>2020</v>
      </c>
      <c r="R117" cm="1">
        <f t="array" ref="R117">MONTH(Table1_3__3__7[Date Recorded])</f>
        <v>4</v>
      </c>
    </row>
    <row r="118" spans="1:18" x14ac:dyDescent="0.35">
      <c r="A118">
        <v>20200070</v>
      </c>
      <c r="B118" t="s">
        <v>593</v>
      </c>
      <c r="C118" t="s">
        <v>452</v>
      </c>
      <c r="D118">
        <v>2021</v>
      </c>
      <c r="E118" s="14">
        <v>44287</v>
      </c>
      <c r="F118" t="s">
        <v>135</v>
      </c>
      <c r="G118" t="s">
        <v>762</v>
      </c>
      <c r="H118" t="s">
        <v>204</v>
      </c>
      <c r="I118">
        <v>170200</v>
      </c>
      <c r="J118">
        <v>287000</v>
      </c>
      <c r="K118">
        <v>0.59299999999999997</v>
      </c>
      <c r="L118">
        <v>1.6862514688601644</v>
      </c>
      <c r="M118" t="s">
        <v>13</v>
      </c>
      <c r="N118" t="s">
        <v>446</v>
      </c>
      <c r="P118" t="str">
        <f>TEXT(Table1_3__3__7[[#This Row],[Date Recorded]], "mmm")</f>
        <v>Apr</v>
      </c>
      <c r="Q118">
        <v>2021</v>
      </c>
      <c r="R118" cm="1">
        <f t="array" ref="R118">MONTH(Table1_3__3__7[Date Recorded])</f>
        <v>4</v>
      </c>
    </row>
    <row r="119" spans="1:18" x14ac:dyDescent="0.35">
      <c r="A119">
        <v>200709</v>
      </c>
      <c r="B119" t="s">
        <v>629</v>
      </c>
      <c r="C119" t="s">
        <v>452</v>
      </c>
      <c r="D119">
        <v>2021</v>
      </c>
      <c r="E119" s="14">
        <v>44287</v>
      </c>
      <c r="F119" t="s">
        <v>117</v>
      </c>
      <c r="G119" t="s">
        <v>765</v>
      </c>
      <c r="H119" t="s">
        <v>118</v>
      </c>
      <c r="I119">
        <v>138100</v>
      </c>
      <c r="J119">
        <v>282500</v>
      </c>
      <c r="K119">
        <v>0.48884955800000002</v>
      </c>
      <c r="L119">
        <v>2.0456191165821869</v>
      </c>
      <c r="M119" t="s">
        <v>13</v>
      </c>
      <c r="N119" t="s">
        <v>445</v>
      </c>
      <c r="P119" t="str">
        <f>TEXT(Table1_3__3__7[[#This Row],[Date Recorded]], "mmm")</f>
        <v>Apr</v>
      </c>
      <c r="Q119">
        <v>2021</v>
      </c>
      <c r="R119" cm="1">
        <f t="array" ref="R119">MONTH(Table1_3__3__7[Date Recorded])</f>
        <v>4</v>
      </c>
    </row>
    <row r="120" spans="1:18" x14ac:dyDescent="0.35">
      <c r="A120">
        <v>200117</v>
      </c>
      <c r="B120" t="s">
        <v>645</v>
      </c>
      <c r="C120" t="s">
        <v>452</v>
      </c>
      <c r="D120">
        <v>2021</v>
      </c>
      <c r="E120" s="14">
        <v>44287</v>
      </c>
      <c r="F120" t="s">
        <v>41</v>
      </c>
      <c r="G120" t="s">
        <v>755</v>
      </c>
      <c r="H120" t="s">
        <v>42</v>
      </c>
      <c r="I120">
        <v>160850</v>
      </c>
      <c r="J120">
        <v>280000</v>
      </c>
      <c r="K120">
        <v>0.57440000000000002</v>
      </c>
      <c r="L120">
        <v>1.7407522536524713</v>
      </c>
      <c r="M120" t="s">
        <v>13</v>
      </c>
      <c r="N120" t="s">
        <v>446</v>
      </c>
      <c r="P120" t="str">
        <f>TEXT(Table1_3__3__7[[#This Row],[Date Recorded]], "mmm")</f>
        <v>Apr</v>
      </c>
      <c r="Q120">
        <v>2021</v>
      </c>
      <c r="R120" cm="1">
        <f t="array" ref="R120">MONTH(Table1_3__3__7[Date Recorded])</f>
        <v>4</v>
      </c>
    </row>
    <row r="121" spans="1:18" x14ac:dyDescent="0.35">
      <c r="A121">
        <v>20899</v>
      </c>
      <c r="B121" t="s">
        <v>632</v>
      </c>
      <c r="C121" t="s">
        <v>454</v>
      </c>
      <c r="D121">
        <v>2021</v>
      </c>
      <c r="E121" s="14">
        <v>44348</v>
      </c>
      <c r="F121" t="s">
        <v>98</v>
      </c>
      <c r="G121" t="s">
        <v>770</v>
      </c>
      <c r="H121" t="s">
        <v>427</v>
      </c>
      <c r="I121">
        <v>137270</v>
      </c>
      <c r="J121">
        <v>278500</v>
      </c>
      <c r="K121">
        <v>0.49280000000000002</v>
      </c>
      <c r="L121">
        <v>2.0288482552633496</v>
      </c>
      <c r="M121" t="s">
        <v>103</v>
      </c>
      <c r="N121" t="s">
        <v>445</v>
      </c>
      <c r="P121" t="str">
        <f>TEXT(Table1_3__3__7[[#This Row],[Date Recorded]], "mmm")</f>
        <v>Jun</v>
      </c>
      <c r="Q121">
        <v>2021</v>
      </c>
      <c r="R121" cm="1">
        <f t="array" ref="R121">MONTH(Table1_3__3__7[Date Recorded])</f>
        <v>4</v>
      </c>
    </row>
    <row r="122" spans="1:18" x14ac:dyDescent="0.35">
      <c r="A122">
        <v>2000327</v>
      </c>
      <c r="B122" t="s">
        <v>677</v>
      </c>
      <c r="C122" t="s">
        <v>471</v>
      </c>
      <c r="D122">
        <v>2021</v>
      </c>
      <c r="E122" s="14">
        <v>44256</v>
      </c>
      <c r="F122" t="s">
        <v>140</v>
      </c>
      <c r="G122" t="s">
        <v>757</v>
      </c>
      <c r="H122" t="s">
        <v>428</v>
      </c>
      <c r="I122">
        <v>157810</v>
      </c>
      <c r="J122">
        <v>276500</v>
      </c>
      <c r="K122">
        <v>0.57069999999999999</v>
      </c>
      <c r="L122">
        <v>1.7521069640707179</v>
      </c>
      <c r="M122" t="s">
        <v>13</v>
      </c>
      <c r="N122" t="s">
        <v>446</v>
      </c>
      <c r="P122" t="str">
        <f>TEXT(Table1_3__3__7[[#This Row],[Date Recorded]], "mmm")</f>
        <v>Mar</v>
      </c>
      <c r="Q122">
        <v>2021</v>
      </c>
      <c r="R122" cm="1">
        <f t="array" ref="R122">MONTH(Table1_3__3__7[Date Recorded])</f>
        <v>4</v>
      </c>
    </row>
    <row r="123" spans="1:18" x14ac:dyDescent="0.35">
      <c r="A123">
        <v>20200059</v>
      </c>
      <c r="B123" t="s">
        <v>635</v>
      </c>
      <c r="C123" t="s">
        <v>469</v>
      </c>
      <c r="D123">
        <v>2020</v>
      </c>
      <c r="E123" s="14">
        <v>44105</v>
      </c>
      <c r="F123" t="s">
        <v>129</v>
      </c>
      <c r="G123" t="s">
        <v>762</v>
      </c>
      <c r="H123" t="s">
        <v>240</v>
      </c>
      <c r="I123">
        <v>156380</v>
      </c>
      <c r="J123">
        <v>276000</v>
      </c>
      <c r="K123">
        <v>0.5665</v>
      </c>
      <c r="L123">
        <v>1.7649315769279958</v>
      </c>
      <c r="M123" t="s">
        <v>13</v>
      </c>
      <c r="N123" t="s">
        <v>446</v>
      </c>
      <c r="P123" t="str">
        <f>TEXT(Table1_3__3__7[[#This Row],[Date Recorded]], "mmm")</f>
        <v>Oct</v>
      </c>
      <c r="Q123">
        <v>2020</v>
      </c>
      <c r="R123" cm="1">
        <f t="array" ref="R123">MONTH(Table1_3__3__7[Date Recorded])</f>
        <v>4</v>
      </c>
    </row>
    <row r="124" spans="1:18" x14ac:dyDescent="0.35">
      <c r="A124">
        <v>200025</v>
      </c>
      <c r="B124" t="s">
        <v>694</v>
      </c>
      <c r="C124" t="s">
        <v>469</v>
      </c>
      <c r="D124">
        <v>2020</v>
      </c>
      <c r="E124" s="14">
        <v>44105</v>
      </c>
      <c r="F124" t="s">
        <v>241</v>
      </c>
      <c r="G124" t="s">
        <v>762</v>
      </c>
      <c r="H124" t="s">
        <v>243</v>
      </c>
      <c r="I124">
        <v>159180</v>
      </c>
      <c r="J124">
        <v>261000</v>
      </c>
      <c r="K124">
        <v>0.60980000000000001</v>
      </c>
      <c r="L124">
        <v>1.6396532227666791</v>
      </c>
      <c r="M124" t="s">
        <v>13</v>
      </c>
      <c r="N124" t="s">
        <v>446</v>
      </c>
      <c r="P124" t="str">
        <f>TEXT(Table1_3__3__7[[#This Row],[Date Recorded]], "mmm")</f>
        <v>Oct</v>
      </c>
      <c r="Q124">
        <v>2020</v>
      </c>
      <c r="R124" cm="1">
        <f t="array" ref="R124">MONTH(Table1_3__3__7[Date Recorded])</f>
        <v>4</v>
      </c>
    </row>
    <row r="125" spans="1:18" x14ac:dyDescent="0.35">
      <c r="A125">
        <v>201245</v>
      </c>
      <c r="B125" t="s">
        <v>634</v>
      </c>
      <c r="C125" t="s">
        <v>473</v>
      </c>
      <c r="D125">
        <v>2021</v>
      </c>
      <c r="E125" s="14">
        <v>44440</v>
      </c>
      <c r="F125" t="s">
        <v>125</v>
      </c>
      <c r="G125" t="s">
        <v>765</v>
      </c>
      <c r="H125" t="s">
        <v>131</v>
      </c>
      <c r="I125">
        <v>128170</v>
      </c>
      <c r="J125">
        <v>260000</v>
      </c>
      <c r="K125">
        <v>0.4929</v>
      </c>
      <c r="L125">
        <v>2.0285558242958572</v>
      </c>
      <c r="M125" t="s">
        <v>13</v>
      </c>
      <c r="N125" t="s">
        <v>445</v>
      </c>
      <c r="P125" t="str">
        <f>TEXT(Table1_3__3__7[[#This Row],[Date Recorded]], "mmm")</f>
        <v>Sep</v>
      </c>
      <c r="Q125">
        <v>2020</v>
      </c>
      <c r="R125" cm="1">
        <f t="array" ref="R125">MONTH(Table1_3__3__7[Date Recorded])</f>
        <v>4</v>
      </c>
    </row>
    <row r="126" spans="1:18" x14ac:dyDescent="0.35">
      <c r="A126">
        <v>200408</v>
      </c>
      <c r="B126" t="s">
        <v>608</v>
      </c>
      <c r="C126" t="s">
        <v>450</v>
      </c>
      <c r="D126">
        <v>2020</v>
      </c>
      <c r="E126" s="14">
        <v>44166</v>
      </c>
      <c r="F126" t="s">
        <v>56</v>
      </c>
      <c r="G126" t="s">
        <v>758</v>
      </c>
      <c r="H126" t="s">
        <v>63</v>
      </c>
      <c r="I126">
        <v>130800</v>
      </c>
      <c r="J126">
        <v>260000</v>
      </c>
      <c r="K126">
        <v>0.503</v>
      </c>
      <c r="L126">
        <v>1.9877675840978593</v>
      </c>
      <c r="M126" t="s">
        <v>13</v>
      </c>
      <c r="N126" t="s">
        <v>446</v>
      </c>
      <c r="P126" t="str">
        <f>TEXT(Table1_3__3__7[[#This Row],[Date Recorded]], "mmm")</f>
        <v>Dec</v>
      </c>
      <c r="Q126">
        <v>2021</v>
      </c>
      <c r="R126" cm="1">
        <f t="array" ref="R126">MONTH(Table1_3__3__7[Date Recorded])</f>
        <v>4</v>
      </c>
    </row>
    <row r="127" spans="1:18" x14ac:dyDescent="0.35">
      <c r="A127">
        <v>2000513</v>
      </c>
      <c r="B127" t="s">
        <v>650</v>
      </c>
      <c r="C127" t="s">
        <v>458</v>
      </c>
      <c r="D127">
        <v>2021</v>
      </c>
      <c r="E127" s="14">
        <v>44378</v>
      </c>
      <c r="F127" t="s">
        <v>277</v>
      </c>
      <c r="G127" t="s">
        <v>759</v>
      </c>
      <c r="H127" t="s">
        <v>279</v>
      </c>
      <c r="I127">
        <v>144050</v>
      </c>
      <c r="J127">
        <v>257500</v>
      </c>
      <c r="K127">
        <v>0.55940000000000001</v>
      </c>
      <c r="L127">
        <v>1.7875737591114196</v>
      </c>
      <c r="M127" t="s">
        <v>13</v>
      </c>
      <c r="N127" t="s">
        <v>446</v>
      </c>
      <c r="P127" t="str">
        <f>TEXT(Table1_3__3__7[[#This Row],[Date Recorded]], "mmm")</f>
        <v>Jul</v>
      </c>
      <c r="Q127">
        <v>2021</v>
      </c>
      <c r="R127" cm="1">
        <f t="array" ref="R127">MONTH(Table1_3__3__7[Date Recorded])</f>
        <v>4</v>
      </c>
    </row>
    <row r="128" spans="1:18" x14ac:dyDescent="0.35">
      <c r="A128">
        <v>20118</v>
      </c>
      <c r="B128" t="s">
        <v>598</v>
      </c>
      <c r="C128" t="s">
        <v>473</v>
      </c>
      <c r="D128">
        <v>2021</v>
      </c>
      <c r="E128" s="14">
        <v>44440</v>
      </c>
      <c r="F128" t="s">
        <v>235</v>
      </c>
      <c r="G128" t="s">
        <v>762</v>
      </c>
      <c r="H128" t="s">
        <v>236</v>
      </c>
      <c r="I128">
        <v>92890</v>
      </c>
      <c r="J128">
        <v>255000</v>
      </c>
      <c r="K128">
        <v>0.36420000000000002</v>
      </c>
      <c r="L128">
        <v>2.7451824738938528</v>
      </c>
      <c r="M128" t="s">
        <v>13</v>
      </c>
      <c r="N128" t="s">
        <v>445</v>
      </c>
      <c r="P128" t="str">
        <f>TEXT(Table1_3__3__7[[#This Row],[Date Recorded]], "mmm")</f>
        <v>Sep</v>
      </c>
      <c r="Q128">
        <v>2021</v>
      </c>
      <c r="R128" cm="1">
        <f t="array" ref="R128">MONTH(Table1_3__3__7[Date Recorded])</f>
        <v>4</v>
      </c>
    </row>
    <row r="129" spans="1:18" x14ac:dyDescent="0.35">
      <c r="A129">
        <v>200002</v>
      </c>
      <c r="B129" t="s">
        <v>727</v>
      </c>
      <c r="C129" t="s">
        <v>469</v>
      </c>
      <c r="D129">
        <v>2020</v>
      </c>
      <c r="E129" s="14">
        <v>44105</v>
      </c>
      <c r="F129" t="s">
        <v>210</v>
      </c>
      <c r="G129" t="s">
        <v>762</v>
      </c>
      <c r="H129" t="s">
        <v>213</v>
      </c>
      <c r="I129">
        <v>186610</v>
      </c>
      <c r="J129">
        <v>252000</v>
      </c>
      <c r="K129">
        <v>0.74050000000000005</v>
      </c>
      <c r="L129">
        <v>1.3504099458764267</v>
      </c>
      <c r="M129" t="s">
        <v>13</v>
      </c>
      <c r="N129" t="s">
        <v>446</v>
      </c>
      <c r="P129" t="str">
        <f>TEXT(Table1_3__3__7[[#This Row],[Date Recorded]], "mmm")</f>
        <v>Oct</v>
      </c>
      <c r="Q129">
        <v>2020</v>
      </c>
      <c r="R129" cm="1">
        <f t="array" ref="R129">MONTH(Table1_3__3__7[Date Recorded])</f>
        <v>4</v>
      </c>
    </row>
    <row r="130" spans="1:18" x14ac:dyDescent="0.35">
      <c r="A130">
        <v>2000381</v>
      </c>
      <c r="B130" t="s">
        <v>620</v>
      </c>
      <c r="C130" t="s">
        <v>473</v>
      </c>
      <c r="D130">
        <v>2021</v>
      </c>
      <c r="E130" s="14">
        <v>44440</v>
      </c>
      <c r="F130" t="s">
        <v>27</v>
      </c>
      <c r="G130" t="s">
        <v>766</v>
      </c>
      <c r="H130" t="s">
        <v>28</v>
      </c>
      <c r="I130">
        <v>163730</v>
      </c>
      <c r="J130">
        <v>250000</v>
      </c>
      <c r="K130">
        <v>0.65490000000000004</v>
      </c>
      <c r="L130">
        <v>1.5269040493495389</v>
      </c>
      <c r="M130" t="s">
        <v>13</v>
      </c>
      <c r="N130" t="s">
        <v>446</v>
      </c>
      <c r="P130" t="str">
        <f>TEXT(Table1_3__3__7[[#This Row],[Date Recorded]], "mmm")</f>
        <v>Sep</v>
      </c>
      <c r="Q130">
        <v>2021</v>
      </c>
      <c r="R130" cm="1">
        <f t="array" ref="R130">MONTH(Table1_3__3__7[Date Recorded])</f>
        <v>4</v>
      </c>
    </row>
    <row r="131" spans="1:18" x14ac:dyDescent="0.35">
      <c r="A131">
        <v>201295</v>
      </c>
      <c r="B131" t="s">
        <v>679</v>
      </c>
      <c r="C131" t="s">
        <v>473</v>
      </c>
      <c r="D131">
        <v>2021</v>
      </c>
      <c r="E131" s="14">
        <v>44440</v>
      </c>
      <c r="F131" t="s">
        <v>32</v>
      </c>
      <c r="G131" t="s">
        <v>766</v>
      </c>
      <c r="H131" t="s">
        <v>412</v>
      </c>
      <c r="I131">
        <v>144340</v>
      </c>
      <c r="J131">
        <v>249900</v>
      </c>
      <c r="K131">
        <v>0.57750000000000001</v>
      </c>
      <c r="L131">
        <v>1.7313288069835111</v>
      </c>
      <c r="M131" t="s">
        <v>13</v>
      </c>
      <c r="N131" t="s">
        <v>446</v>
      </c>
      <c r="P131" t="str">
        <f>TEXT(Table1_3__3__7[[#This Row],[Date Recorded]], "mmm")</f>
        <v>Sep</v>
      </c>
      <c r="Q131">
        <v>2021</v>
      </c>
      <c r="R131" cm="1">
        <f t="array" ref="R131">MONTH(Table1_3__3__7[Date Recorded])</f>
        <v>4</v>
      </c>
    </row>
    <row r="132" spans="1:18" x14ac:dyDescent="0.35">
      <c r="A132">
        <v>20565</v>
      </c>
      <c r="B132" t="s">
        <v>595</v>
      </c>
      <c r="C132" t="s">
        <v>471</v>
      </c>
      <c r="D132">
        <v>2021</v>
      </c>
      <c r="E132" s="14">
        <v>44256</v>
      </c>
      <c r="F132" t="s">
        <v>98</v>
      </c>
      <c r="G132" t="s">
        <v>770</v>
      </c>
      <c r="H132" t="s">
        <v>426</v>
      </c>
      <c r="I132">
        <v>61915</v>
      </c>
      <c r="J132">
        <v>249000</v>
      </c>
      <c r="K132">
        <v>0.24859999999999999</v>
      </c>
      <c r="L132">
        <v>4.021642574497295</v>
      </c>
      <c r="M132" t="s">
        <v>13</v>
      </c>
      <c r="N132" t="s">
        <v>445</v>
      </c>
      <c r="P132" t="str">
        <f>TEXT(Table1_3__3__7[[#This Row],[Date Recorded]], "mmm")</f>
        <v>Mar</v>
      </c>
      <c r="Q132">
        <v>2021</v>
      </c>
      <c r="R132" cm="1">
        <f t="array" ref="R132">MONTH(Table1_3__3__7[Date Recorded])</f>
        <v>4</v>
      </c>
    </row>
    <row r="133" spans="1:18" x14ac:dyDescent="0.35">
      <c r="A133">
        <v>200537</v>
      </c>
      <c r="B133" t="s">
        <v>626</v>
      </c>
      <c r="C133" t="s">
        <v>456</v>
      </c>
      <c r="D133">
        <v>2021</v>
      </c>
      <c r="E133" s="14">
        <v>44317</v>
      </c>
      <c r="F133" t="s">
        <v>73</v>
      </c>
      <c r="G133" t="s">
        <v>760</v>
      </c>
      <c r="H133" t="s">
        <v>74</v>
      </c>
      <c r="I133">
        <v>117380</v>
      </c>
      <c r="J133">
        <v>245000</v>
      </c>
      <c r="K133">
        <v>0.47910000000000003</v>
      </c>
      <c r="L133">
        <v>2.0872380303288467</v>
      </c>
      <c r="M133" t="s">
        <v>13</v>
      </c>
      <c r="N133" t="s">
        <v>445</v>
      </c>
      <c r="P133" t="str">
        <f>TEXT(Table1_3__3__7[[#This Row],[Date Recorded]], "mmm")</f>
        <v>May</v>
      </c>
      <c r="Q133">
        <v>2021</v>
      </c>
      <c r="R133" cm="1">
        <f t="array" ref="R133">MONTH(Table1_3__3__7[Date Recorded])</f>
        <v>4</v>
      </c>
    </row>
    <row r="134" spans="1:18" x14ac:dyDescent="0.35">
      <c r="A134">
        <v>200101</v>
      </c>
      <c r="B134" t="s">
        <v>685</v>
      </c>
      <c r="C134" t="s">
        <v>464</v>
      </c>
      <c r="D134">
        <v>2021</v>
      </c>
      <c r="E134" s="14">
        <v>44197</v>
      </c>
      <c r="F134" t="s">
        <v>52</v>
      </c>
      <c r="G134" t="s">
        <v>755</v>
      </c>
      <c r="H134" t="s">
        <v>53</v>
      </c>
      <c r="I134">
        <v>142800</v>
      </c>
      <c r="J134">
        <v>245000</v>
      </c>
      <c r="K134">
        <v>0.58279999999999998</v>
      </c>
      <c r="L134">
        <v>1.7156862745098038</v>
      </c>
      <c r="M134" t="s">
        <v>13</v>
      </c>
      <c r="N134" t="s">
        <v>446</v>
      </c>
      <c r="P134" t="str">
        <f>TEXT(Table1_3__3__7[[#This Row],[Date Recorded]], "mmm")</f>
        <v>Jan</v>
      </c>
      <c r="Q134">
        <v>2021</v>
      </c>
      <c r="R134" cm="1">
        <f t="array" ref="R134">MONTH(Table1_3__3__7[Date Recorded])</f>
        <v>4</v>
      </c>
    </row>
    <row r="135" spans="1:18" x14ac:dyDescent="0.35">
      <c r="A135">
        <v>17128</v>
      </c>
      <c r="B135" t="s">
        <v>661</v>
      </c>
      <c r="C135" t="s">
        <v>452</v>
      </c>
      <c r="D135">
        <v>2018</v>
      </c>
      <c r="E135" s="14">
        <v>43191</v>
      </c>
      <c r="F135" t="s">
        <v>284</v>
      </c>
      <c r="G135" t="s">
        <v>758</v>
      </c>
      <c r="H135" t="s">
        <v>377</v>
      </c>
      <c r="I135">
        <v>132650</v>
      </c>
      <c r="J135">
        <v>241368</v>
      </c>
      <c r="K135">
        <v>0.54949999999999999</v>
      </c>
      <c r="L135">
        <v>1.8195853750471165</v>
      </c>
      <c r="M135" t="s">
        <v>16</v>
      </c>
      <c r="N135" t="s">
        <v>446</v>
      </c>
      <c r="P135" t="str">
        <f>TEXT(Table1_3__3__7[[#This Row],[Date Recorded]], "mmm")</f>
        <v>Apr</v>
      </c>
      <c r="Q135">
        <v>2018</v>
      </c>
      <c r="R135" cm="1">
        <f t="array" ref="R135">MONTH(Table1_3__3__7[Date Recorded])</f>
        <v>4</v>
      </c>
    </row>
    <row r="136" spans="1:18" x14ac:dyDescent="0.35">
      <c r="A136">
        <v>200264</v>
      </c>
      <c r="B136" t="s">
        <v>613</v>
      </c>
      <c r="C136" t="s">
        <v>454</v>
      </c>
      <c r="D136">
        <v>2021</v>
      </c>
      <c r="E136" s="14">
        <v>44348</v>
      </c>
      <c r="F136" t="s">
        <v>155</v>
      </c>
      <c r="G136" t="s">
        <v>757</v>
      </c>
      <c r="H136" t="s">
        <v>156</v>
      </c>
      <c r="I136">
        <v>107500</v>
      </c>
      <c r="J136">
        <v>240000</v>
      </c>
      <c r="K136">
        <v>0.44790000000000002</v>
      </c>
      <c r="L136">
        <v>2.2325581395348837</v>
      </c>
      <c r="M136" t="s">
        <v>13</v>
      </c>
      <c r="N136" t="s">
        <v>445</v>
      </c>
      <c r="P136" t="str">
        <f>TEXT(Table1_3__3__7[[#This Row],[Date Recorded]], "mmm")</f>
        <v>Jun</v>
      </c>
      <c r="Q136">
        <v>2020</v>
      </c>
      <c r="R136" cm="1">
        <f t="array" ref="R136">MONTH(Table1_3__3__7[Date Recorded])</f>
        <v>4</v>
      </c>
    </row>
    <row r="137" spans="1:18" x14ac:dyDescent="0.35">
      <c r="A137">
        <v>200226</v>
      </c>
      <c r="B137" t="s">
        <v>693</v>
      </c>
      <c r="C137" t="s">
        <v>450</v>
      </c>
      <c r="D137">
        <v>2020</v>
      </c>
      <c r="E137" s="14">
        <v>44166</v>
      </c>
      <c r="F137" t="s">
        <v>73</v>
      </c>
      <c r="G137" t="s">
        <v>760</v>
      </c>
      <c r="H137" t="s">
        <v>76</v>
      </c>
      <c r="I137">
        <v>145570</v>
      </c>
      <c r="J137">
        <v>240000</v>
      </c>
      <c r="K137">
        <v>0.60650000000000004</v>
      </c>
      <c r="L137">
        <v>1.6486913512399533</v>
      </c>
      <c r="M137" t="s">
        <v>13</v>
      </c>
      <c r="N137" t="s">
        <v>446</v>
      </c>
      <c r="P137" t="str">
        <f>TEXT(Table1_3__3__7[[#This Row],[Date Recorded]], "mmm")</f>
        <v>Dec</v>
      </c>
      <c r="Q137">
        <v>2021</v>
      </c>
      <c r="R137" cm="1">
        <f t="array" ref="R137">MONTH(Table1_3__3__7[Date Recorded])</f>
        <v>4</v>
      </c>
    </row>
    <row r="138" spans="1:18" x14ac:dyDescent="0.35">
      <c r="A138">
        <v>200886</v>
      </c>
      <c r="B138" t="s">
        <v>630</v>
      </c>
      <c r="C138" t="s">
        <v>456</v>
      </c>
      <c r="D138">
        <v>2021</v>
      </c>
      <c r="E138" s="14">
        <v>44317</v>
      </c>
      <c r="F138" t="s">
        <v>56</v>
      </c>
      <c r="G138" t="s">
        <v>758</v>
      </c>
      <c r="H138" t="s">
        <v>58</v>
      </c>
      <c r="I138">
        <v>189800</v>
      </c>
      <c r="J138">
        <v>240000</v>
      </c>
      <c r="K138">
        <v>0.79079999999999995</v>
      </c>
      <c r="L138">
        <v>1.2644889357218125</v>
      </c>
      <c r="M138" t="s">
        <v>13</v>
      </c>
      <c r="N138" t="s">
        <v>446</v>
      </c>
      <c r="P138" t="str">
        <f>TEXT(Table1_3__3__7[[#This Row],[Date Recorded]], "mmm")</f>
        <v>May</v>
      </c>
      <c r="Q138">
        <v>2021</v>
      </c>
      <c r="R138" cm="1">
        <f t="array" ref="R138">MONTH(Table1_3__3__7[Date Recorded])</f>
        <v>4</v>
      </c>
    </row>
    <row r="139" spans="1:18" x14ac:dyDescent="0.35">
      <c r="A139">
        <v>201133</v>
      </c>
      <c r="B139" t="s">
        <v>651</v>
      </c>
      <c r="C139" t="s">
        <v>473</v>
      </c>
      <c r="D139">
        <v>2021</v>
      </c>
      <c r="E139" s="14">
        <v>44440</v>
      </c>
      <c r="F139" t="s">
        <v>146</v>
      </c>
      <c r="G139" t="s">
        <v>757</v>
      </c>
      <c r="H139" t="s">
        <v>150</v>
      </c>
      <c r="I139">
        <v>123480</v>
      </c>
      <c r="J139">
        <v>235000</v>
      </c>
      <c r="K139">
        <v>0.52539999999999998</v>
      </c>
      <c r="L139">
        <v>1.9031422092646582</v>
      </c>
      <c r="M139" t="s">
        <v>13</v>
      </c>
      <c r="N139" t="s">
        <v>446</v>
      </c>
      <c r="P139" t="str">
        <f>TEXT(Table1_3__3__7[[#This Row],[Date Recorded]], "mmm")</f>
        <v>Sep</v>
      </c>
      <c r="Q139">
        <v>2021</v>
      </c>
      <c r="R139" cm="1">
        <f t="array" ref="R139">MONTH(Table1_3__3__7[Date Recorded])</f>
        <v>4</v>
      </c>
    </row>
    <row r="140" spans="1:18" x14ac:dyDescent="0.35">
      <c r="A140">
        <v>200207</v>
      </c>
      <c r="B140" t="s">
        <v>613</v>
      </c>
      <c r="C140" t="s">
        <v>454</v>
      </c>
      <c r="D140">
        <v>2021</v>
      </c>
      <c r="E140" s="14">
        <v>44348</v>
      </c>
      <c r="F140" t="s">
        <v>200</v>
      </c>
      <c r="G140" t="s">
        <v>754</v>
      </c>
      <c r="H140" t="s">
        <v>201</v>
      </c>
      <c r="I140">
        <v>120890</v>
      </c>
      <c r="J140">
        <v>234900</v>
      </c>
      <c r="K140">
        <v>0.51459999999999995</v>
      </c>
      <c r="L140">
        <v>1.9430887583753826</v>
      </c>
      <c r="M140" t="s">
        <v>13</v>
      </c>
      <c r="N140" t="s">
        <v>446</v>
      </c>
      <c r="P140" t="str">
        <f>TEXT(Table1_3__3__7[[#This Row],[Date Recorded]], "mmm")</f>
        <v>Jun</v>
      </c>
      <c r="Q140">
        <v>2021</v>
      </c>
      <c r="R140" cm="1">
        <f t="array" ref="R140">MONTH(Table1_3__3__7[Date Recorded])</f>
        <v>4</v>
      </c>
    </row>
    <row r="141" spans="1:18" x14ac:dyDescent="0.35">
      <c r="A141">
        <v>200938</v>
      </c>
      <c r="B141" t="s">
        <v>643</v>
      </c>
      <c r="C141" t="s">
        <v>456</v>
      </c>
      <c r="D141">
        <v>2021</v>
      </c>
      <c r="E141" s="14">
        <v>44317</v>
      </c>
      <c r="F141" t="s">
        <v>56</v>
      </c>
      <c r="G141" t="s">
        <v>758</v>
      </c>
      <c r="H141" t="s">
        <v>59</v>
      </c>
      <c r="I141">
        <v>118900</v>
      </c>
      <c r="J141">
        <v>230000</v>
      </c>
      <c r="K141">
        <v>0.51690000000000003</v>
      </c>
      <c r="L141">
        <v>1.9343986543313709</v>
      </c>
      <c r="M141" t="s">
        <v>13</v>
      </c>
      <c r="N141" t="s">
        <v>446</v>
      </c>
      <c r="P141" t="str">
        <f>TEXT(Table1_3__3__7[[#This Row],[Date Recorded]], "mmm")</f>
        <v>May</v>
      </c>
      <c r="Q141">
        <v>2021</v>
      </c>
      <c r="R141" cm="1">
        <f t="array" ref="R141">MONTH(Table1_3__3__7[Date Recorded])</f>
        <v>4</v>
      </c>
    </row>
    <row r="142" spans="1:18" x14ac:dyDescent="0.35">
      <c r="A142">
        <v>20059</v>
      </c>
      <c r="B142" t="s">
        <v>652</v>
      </c>
      <c r="C142" t="s">
        <v>460</v>
      </c>
      <c r="D142">
        <v>2021</v>
      </c>
      <c r="E142" s="14">
        <v>44228</v>
      </c>
      <c r="F142" t="s">
        <v>113</v>
      </c>
      <c r="G142" t="s">
        <v>772</v>
      </c>
      <c r="H142" t="s">
        <v>114</v>
      </c>
      <c r="I142">
        <v>121510</v>
      </c>
      <c r="J142">
        <v>229900</v>
      </c>
      <c r="K142">
        <v>0.52849999999999997</v>
      </c>
      <c r="L142">
        <v>1.8920253477080076</v>
      </c>
      <c r="M142" t="s">
        <v>13</v>
      </c>
      <c r="N142" t="s">
        <v>446</v>
      </c>
      <c r="P142" t="str">
        <f>TEXT(Table1_3__3__7[[#This Row],[Date Recorded]], "mmm")</f>
        <v>Feb</v>
      </c>
      <c r="Q142">
        <v>2021</v>
      </c>
      <c r="R142" cm="1">
        <f t="array" ref="R142">MONTH(Table1_3__3__7[Date Recorded])</f>
        <v>4</v>
      </c>
    </row>
    <row r="143" spans="1:18" x14ac:dyDescent="0.35">
      <c r="A143">
        <v>200374</v>
      </c>
      <c r="B143" t="s">
        <v>654</v>
      </c>
      <c r="C143" t="s">
        <v>456</v>
      </c>
      <c r="D143">
        <v>2021</v>
      </c>
      <c r="E143" s="14">
        <v>44317</v>
      </c>
      <c r="F143" t="s">
        <v>187</v>
      </c>
      <c r="G143" t="s">
        <v>771</v>
      </c>
      <c r="H143" t="s">
        <v>258</v>
      </c>
      <c r="I143">
        <v>129190</v>
      </c>
      <c r="J143">
        <v>226800</v>
      </c>
      <c r="K143">
        <v>0.5696</v>
      </c>
      <c r="L143">
        <v>1.7555538354361793</v>
      </c>
      <c r="M143" t="s">
        <v>13</v>
      </c>
      <c r="N143" t="s">
        <v>446</v>
      </c>
      <c r="P143" t="str">
        <f>TEXT(Table1_3__3__7[[#This Row],[Date Recorded]], "mmm")</f>
        <v>May</v>
      </c>
      <c r="Q143">
        <v>2021</v>
      </c>
      <c r="R143" cm="1">
        <f t="array" ref="R143">MONTH(Table1_3__3__7[Date Recorded])</f>
        <v>4</v>
      </c>
    </row>
    <row r="144" spans="1:18" x14ac:dyDescent="0.35">
      <c r="A144">
        <v>200106</v>
      </c>
      <c r="B144" t="s">
        <v>671</v>
      </c>
      <c r="C144" t="s">
        <v>475</v>
      </c>
      <c r="D144">
        <v>2020</v>
      </c>
      <c r="E144" s="14">
        <v>44136</v>
      </c>
      <c r="F144" t="s">
        <v>139</v>
      </c>
      <c r="G144" t="s">
        <v>763</v>
      </c>
      <c r="H144" t="s">
        <v>250</v>
      </c>
      <c r="I144">
        <v>126570</v>
      </c>
      <c r="J144">
        <v>225005</v>
      </c>
      <c r="K144">
        <v>0.5625</v>
      </c>
      <c r="L144">
        <v>1.7777119380579915</v>
      </c>
      <c r="M144" t="s">
        <v>13</v>
      </c>
      <c r="N144" t="s">
        <v>446</v>
      </c>
      <c r="P144" t="str">
        <f>TEXT(Table1_3__3__7[[#This Row],[Date Recorded]], "mmm")</f>
        <v>Nov</v>
      </c>
      <c r="Q144">
        <v>2020</v>
      </c>
      <c r="R144" cm="1">
        <f t="array" ref="R144">MONTH(Table1_3__3__7[Date Recorded])</f>
        <v>4</v>
      </c>
    </row>
    <row r="145" spans="1:18" x14ac:dyDescent="0.35">
      <c r="A145">
        <v>20086</v>
      </c>
      <c r="B145" t="s">
        <v>659</v>
      </c>
      <c r="C145" t="s">
        <v>469</v>
      </c>
      <c r="D145">
        <v>2020</v>
      </c>
      <c r="E145" s="14">
        <v>44105</v>
      </c>
      <c r="F145" t="s">
        <v>146</v>
      </c>
      <c r="G145" t="s">
        <v>757</v>
      </c>
      <c r="H145" t="s">
        <v>429</v>
      </c>
      <c r="I145">
        <v>122220</v>
      </c>
      <c r="J145">
        <v>223000</v>
      </c>
      <c r="K145">
        <v>0.54800000000000004</v>
      </c>
      <c r="L145">
        <v>1.82457862870234</v>
      </c>
      <c r="M145" t="s">
        <v>13</v>
      </c>
      <c r="N145" t="s">
        <v>446</v>
      </c>
      <c r="P145" t="str">
        <f>TEXT(Table1_3__3__7[[#This Row],[Date Recorded]], "mmm")</f>
        <v>Oct</v>
      </c>
      <c r="Q145">
        <v>2020</v>
      </c>
      <c r="R145" cm="1">
        <f t="array" ref="R145">MONTH(Table1_3__3__7[Date Recorded])</f>
        <v>4</v>
      </c>
    </row>
    <row r="146" spans="1:18" x14ac:dyDescent="0.35">
      <c r="A146">
        <v>20102</v>
      </c>
      <c r="B146" t="s">
        <v>660</v>
      </c>
      <c r="C146" t="s">
        <v>450</v>
      </c>
      <c r="D146">
        <v>2020</v>
      </c>
      <c r="E146" s="14">
        <v>44166</v>
      </c>
      <c r="F146" t="s">
        <v>191</v>
      </c>
      <c r="G146" t="s">
        <v>759</v>
      </c>
      <c r="H146" t="s">
        <v>270</v>
      </c>
      <c r="I146">
        <v>127000</v>
      </c>
      <c r="J146">
        <v>223000</v>
      </c>
      <c r="K146">
        <v>0.56950000000000001</v>
      </c>
      <c r="L146">
        <v>1.7559055118110236</v>
      </c>
      <c r="M146" t="s">
        <v>13</v>
      </c>
      <c r="N146" t="s">
        <v>446</v>
      </c>
      <c r="P146" t="str">
        <f>TEXT(Table1_3__3__7[[#This Row],[Date Recorded]], "mmm")</f>
        <v>Dec</v>
      </c>
      <c r="Q146">
        <v>2020</v>
      </c>
      <c r="R146" cm="1">
        <f t="array" ref="R146">MONTH(Table1_3__3__7[Date Recorded])</f>
        <v>4</v>
      </c>
    </row>
    <row r="147" spans="1:18" x14ac:dyDescent="0.35">
      <c r="A147">
        <v>20614</v>
      </c>
      <c r="B147" t="s">
        <v>593</v>
      </c>
      <c r="C147" t="s">
        <v>452</v>
      </c>
      <c r="D147">
        <v>2021</v>
      </c>
      <c r="E147" s="14">
        <v>44287</v>
      </c>
      <c r="F147" t="s">
        <v>98</v>
      </c>
      <c r="G147" t="s">
        <v>770</v>
      </c>
      <c r="H147" t="s">
        <v>101</v>
      </c>
      <c r="I147">
        <v>52500</v>
      </c>
      <c r="J147">
        <v>220000</v>
      </c>
      <c r="K147">
        <v>0.23860000000000001</v>
      </c>
      <c r="L147">
        <v>4.1904761904761907</v>
      </c>
      <c r="M147" t="s">
        <v>13</v>
      </c>
      <c r="N147" t="s">
        <v>445</v>
      </c>
      <c r="P147" t="str">
        <f>TEXT(Table1_3__3__7[[#This Row],[Date Recorded]], "mmm")</f>
        <v>Apr</v>
      </c>
      <c r="Q147">
        <v>2021</v>
      </c>
      <c r="R147" cm="1">
        <f t="array" ref="R147">MONTH(Table1_3__3__7[Date Recorded])</f>
        <v>4</v>
      </c>
    </row>
    <row r="148" spans="1:18" x14ac:dyDescent="0.35">
      <c r="A148">
        <v>200179</v>
      </c>
      <c r="B148" t="s">
        <v>696</v>
      </c>
      <c r="C148" t="s">
        <v>454</v>
      </c>
      <c r="D148">
        <v>2021</v>
      </c>
      <c r="E148" s="14">
        <v>44348</v>
      </c>
      <c r="F148" t="s">
        <v>195</v>
      </c>
      <c r="G148" t="s">
        <v>764</v>
      </c>
      <c r="H148" t="s">
        <v>196</v>
      </c>
      <c r="I148">
        <v>134750</v>
      </c>
      <c r="J148">
        <v>220000</v>
      </c>
      <c r="K148">
        <v>0.61250000000000004</v>
      </c>
      <c r="L148">
        <v>1.6326530612244898</v>
      </c>
      <c r="M148" t="s">
        <v>13</v>
      </c>
      <c r="N148" t="s">
        <v>446</v>
      </c>
      <c r="P148" t="str">
        <f>TEXT(Table1_3__3__7[[#This Row],[Date Recorded]], "mmm")</f>
        <v>Jun</v>
      </c>
      <c r="Q148">
        <v>2021</v>
      </c>
      <c r="R148" cm="1">
        <f t="array" ref="R148">MONTH(Table1_3__3__7[Date Recorded])</f>
        <v>4</v>
      </c>
    </row>
    <row r="149" spans="1:18" x14ac:dyDescent="0.35">
      <c r="A149">
        <v>202611</v>
      </c>
      <c r="B149" t="s">
        <v>712</v>
      </c>
      <c r="C149" t="s">
        <v>458</v>
      </c>
      <c r="D149">
        <v>2021</v>
      </c>
      <c r="E149" s="14">
        <v>44378</v>
      </c>
      <c r="F149" t="s">
        <v>122</v>
      </c>
      <c r="G149" t="s">
        <v>757</v>
      </c>
      <c r="H149" t="s">
        <v>173</v>
      </c>
      <c r="I149">
        <v>144380</v>
      </c>
      <c r="J149">
        <v>217500</v>
      </c>
      <c r="K149">
        <v>0.66379999999999995</v>
      </c>
      <c r="L149">
        <v>1.506441335365009</v>
      </c>
      <c r="M149" t="s">
        <v>13</v>
      </c>
      <c r="N149" t="s">
        <v>446</v>
      </c>
      <c r="P149" t="str">
        <f>TEXT(Table1_3__3__7[[#This Row],[Date Recorded]], "mmm")</f>
        <v>Jul</v>
      </c>
      <c r="Q149">
        <v>2021</v>
      </c>
      <c r="R149" cm="1">
        <f t="array" ref="R149">MONTH(Table1_3__3__7[Date Recorded])</f>
        <v>4</v>
      </c>
    </row>
    <row r="150" spans="1:18" x14ac:dyDescent="0.35">
      <c r="A150">
        <v>201440</v>
      </c>
      <c r="B150" t="s">
        <v>601</v>
      </c>
      <c r="C150" t="s">
        <v>473</v>
      </c>
      <c r="D150">
        <v>2021</v>
      </c>
      <c r="E150" s="14">
        <v>44440</v>
      </c>
      <c r="F150" t="s">
        <v>159</v>
      </c>
      <c r="G150" t="s">
        <v>757</v>
      </c>
      <c r="H150" t="s">
        <v>163</v>
      </c>
      <c r="I150">
        <v>80150</v>
      </c>
      <c r="J150">
        <v>214000</v>
      </c>
      <c r="K150">
        <v>0.3745</v>
      </c>
      <c r="L150">
        <v>2.6699937616968183</v>
      </c>
      <c r="M150" t="s">
        <v>13</v>
      </c>
      <c r="N150" t="s">
        <v>445</v>
      </c>
      <c r="P150" t="str">
        <f>TEXT(Table1_3__3__7[[#This Row],[Date Recorded]], "mmm")</f>
        <v>Sep</v>
      </c>
      <c r="Q150">
        <v>2021</v>
      </c>
      <c r="R150" cm="1">
        <f t="array" ref="R150">MONTH(Table1_3__3__7[Date Recorded])</f>
        <v>4</v>
      </c>
    </row>
    <row r="151" spans="1:18" x14ac:dyDescent="0.35">
      <c r="A151">
        <v>20064</v>
      </c>
      <c r="B151" t="s">
        <v>736</v>
      </c>
      <c r="C151" t="s">
        <v>462</v>
      </c>
      <c r="D151">
        <v>2021</v>
      </c>
      <c r="E151" s="14">
        <v>44409</v>
      </c>
      <c r="F151" t="s">
        <v>81</v>
      </c>
      <c r="G151" t="s">
        <v>769</v>
      </c>
      <c r="H151" t="s">
        <v>82</v>
      </c>
      <c r="I151">
        <v>186770</v>
      </c>
      <c r="J151">
        <v>209000</v>
      </c>
      <c r="K151">
        <v>0.89359999999999995</v>
      </c>
      <c r="L151">
        <v>1.1190233977619533</v>
      </c>
      <c r="M151" t="s">
        <v>10</v>
      </c>
      <c r="N151" t="s">
        <v>446</v>
      </c>
      <c r="P151" t="str">
        <f>TEXT(Table1_3__3__7[[#This Row],[Date Recorded]], "mmm")</f>
        <v>Aug</v>
      </c>
      <c r="Q151">
        <v>2021</v>
      </c>
      <c r="R151" cm="1">
        <f t="array" ref="R151">MONTH(Table1_3__3__7[Date Recorded])</f>
        <v>4</v>
      </c>
    </row>
    <row r="152" spans="1:18" x14ac:dyDescent="0.35">
      <c r="A152">
        <v>2000330</v>
      </c>
      <c r="B152" t="s">
        <v>719</v>
      </c>
      <c r="C152" t="s">
        <v>456</v>
      </c>
      <c r="D152">
        <v>2021</v>
      </c>
      <c r="E152" s="14">
        <v>44317</v>
      </c>
      <c r="F152" t="s">
        <v>43</v>
      </c>
      <c r="G152" t="s">
        <v>755</v>
      </c>
      <c r="H152" t="s">
        <v>45</v>
      </c>
      <c r="I152">
        <v>144220</v>
      </c>
      <c r="J152">
        <v>204000</v>
      </c>
      <c r="K152">
        <v>0.70689999999999997</v>
      </c>
      <c r="L152">
        <v>1.4145056164193592</v>
      </c>
      <c r="M152" t="s">
        <v>13</v>
      </c>
      <c r="N152" t="s">
        <v>446</v>
      </c>
      <c r="P152" t="str">
        <f>TEXT(Table1_3__3__7[[#This Row],[Date Recorded]], "mmm")</f>
        <v>May</v>
      </c>
      <c r="Q152">
        <v>2021</v>
      </c>
      <c r="R152" cm="1">
        <f t="array" ref="R152">MONTH(Table1_3__3__7[Date Recorded])</f>
        <v>4</v>
      </c>
    </row>
    <row r="153" spans="1:18" x14ac:dyDescent="0.35">
      <c r="A153">
        <v>20135</v>
      </c>
      <c r="B153" t="s">
        <v>633</v>
      </c>
      <c r="C153" t="s">
        <v>464</v>
      </c>
      <c r="D153">
        <v>2021</v>
      </c>
      <c r="E153" s="14">
        <v>44197</v>
      </c>
      <c r="F153" t="s">
        <v>184</v>
      </c>
      <c r="G153" t="s">
        <v>764</v>
      </c>
      <c r="H153" t="s">
        <v>185</v>
      </c>
      <c r="I153">
        <v>98580</v>
      </c>
      <c r="J153">
        <v>200000</v>
      </c>
      <c r="K153">
        <v>0.4929</v>
      </c>
      <c r="L153">
        <v>2.028809089064719</v>
      </c>
      <c r="M153" t="s">
        <v>13</v>
      </c>
      <c r="N153" t="s">
        <v>445</v>
      </c>
      <c r="P153" t="str">
        <f>TEXT(Table1_3__3__7[[#This Row],[Date Recorded]], "mmm")</f>
        <v>Jan</v>
      </c>
      <c r="Q153">
        <v>2021</v>
      </c>
      <c r="R153" cm="1">
        <f t="array" ref="R153">MONTH(Table1_3__3__7[Date Recorded])</f>
        <v>4</v>
      </c>
    </row>
    <row r="154" spans="1:18" x14ac:dyDescent="0.35">
      <c r="A154">
        <v>200052</v>
      </c>
      <c r="B154" t="s">
        <v>730</v>
      </c>
      <c r="C154" t="s">
        <v>475</v>
      </c>
      <c r="D154">
        <v>2020</v>
      </c>
      <c r="E154" s="14">
        <v>44136</v>
      </c>
      <c r="F154" t="s">
        <v>115</v>
      </c>
      <c r="G154" t="s">
        <v>772</v>
      </c>
      <c r="H154" t="s">
        <v>116</v>
      </c>
      <c r="I154">
        <v>149570</v>
      </c>
      <c r="J154">
        <v>200000</v>
      </c>
      <c r="K154">
        <v>0.74780000000000002</v>
      </c>
      <c r="L154">
        <v>1.3371665440930669</v>
      </c>
      <c r="M154" t="s">
        <v>13</v>
      </c>
      <c r="N154" t="s">
        <v>446</v>
      </c>
      <c r="P154" t="str">
        <f>TEXT(Table1_3__3__7[[#This Row],[Date Recorded]], "mmm")</f>
        <v>Nov</v>
      </c>
      <c r="Q154">
        <v>2020</v>
      </c>
      <c r="R154" cm="1">
        <f t="array" ref="R154">MONTH(Table1_3__3__7[Date Recorded])</f>
        <v>4</v>
      </c>
    </row>
    <row r="155" spans="1:18" x14ac:dyDescent="0.35">
      <c r="A155">
        <v>170327</v>
      </c>
      <c r="B155" t="s">
        <v>702</v>
      </c>
      <c r="C155" t="s">
        <v>452</v>
      </c>
      <c r="D155">
        <v>2018</v>
      </c>
      <c r="E155" s="14">
        <v>43191</v>
      </c>
      <c r="F155" t="s">
        <v>73</v>
      </c>
      <c r="G155" t="s">
        <v>760</v>
      </c>
      <c r="H155" t="s">
        <v>389</v>
      </c>
      <c r="I155">
        <v>124660</v>
      </c>
      <c r="J155">
        <v>196000</v>
      </c>
      <c r="K155">
        <v>0.63600000000000001</v>
      </c>
      <c r="L155">
        <v>1.5722765923311408</v>
      </c>
      <c r="M155" t="s">
        <v>16</v>
      </c>
      <c r="N155" t="s">
        <v>446</v>
      </c>
      <c r="P155" t="str">
        <f>TEXT(Table1_3__3__7[[#This Row],[Date Recorded]], "mmm")</f>
        <v>Apr</v>
      </c>
      <c r="Q155">
        <v>2018</v>
      </c>
      <c r="R155" cm="1">
        <f t="array" ref="R155">MONTH(Table1_3__3__7[Date Recorded])</f>
        <v>4</v>
      </c>
    </row>
    <row r="156" spans="1:18" x14ac:dyDescent="0.35">
      <c r="A156">
        <v>2000857</v>
      </c>
      <c r="B156" t="s">
        <v>633</v>
      </c>
      <c r="C156" t="s">
        <v>464</v>
      </c>
      <c r="D156">
        <v>2021</v>
      </c>
      <c r="E156" s="14">
        <v>44197</v>
      </c>
      <c r="F156" t="s">
        <v>181</v>
      </c>
      <c r="G156" t="s">
        <v>762</v>
      </c>
      <c r="H156" t="s">
        <v>222</v>
      </c>
      <c r="I156">
        <v>109420</v>
      </c>
      <c r="J156">
        <v>195000</v>
      </c>
      <c r="K156">
        <v>0.56110000000000004</v>
      </c>
      <c r="L156">
        <v>1.7821239261560957</v>
      </c>
      <c r="M156" t="s">
        <v>13</v>
      </c>
      <c r="N156" t="s">
        <v>446</v>
      </c>
      <c r="P156" t="str">
        <f>TEXT(Table1_3__3__7[[#This Row],[Date Recorded]], "mmm")</f>
        <v>Jan</v>
      </c>
      <c r="Q156">
        <v>2021</v>
      </c>
      <c r="R156" cm="1">
        <f t="array" ref="R156">MONTH(Table1_3__3__7[Date Recorded])</f>
        <v>4</v>
      </c>
    </row>
    <row r="157" spans="1:18" x14ac:dyDescent="0.35">
      <c r="A157">
        <v>2000296</v>
      </c>
      <c r="B157" t="s">
        <v>686</v>
      </c>
      <c r="C157" t="s">
        <v>460</v>
      </c>
      <c r="D157">
        <v>2021</v>
      </c>
      <c r="E157" s="14">
        <v>44228</v>
      </c>
      <c r="F157" t="s">
        <v>140</v>
      </c>
      <c r="G157" t="s">
        <v>757</v>
      </c>
      <c r="H157" t="s">
        <v>141</v>
      </c>
      <c r="I157">
        <v>114660</v>
      </c>
      <c r="J157">
        <v>195000</v>
      </c>
      <c r="K157">
        <v>0.58799999999999997</v>
      </c>
      <c r="L157">
        <v>1.7006802721088434</v>
      </c>
      <c r="M157" t="s">
        <v>13</v>
      </c>
      <c r="N157" t="s">
        <v>446</v>
      </c>
      <c r="P157" t="str">
        <f>TEXT(Table1_3__3__7[[#This Row],[Date Recorded]], "mmm")</f>
        <v>Feb</v>
      </c>
      <c r="Q157">
        <v>2021</v>
      </c>
      <c r="R157" cm="1">
        <f t="array" ref="R157">MONTH(Table1_3__3__7[Date Recorded])</f>
        <v>4</v>
      </c>
    </row>
    <row r="158" spans="1:18" x14ac:dyDescent="0.35">
      <c r="A158">
        <v>2000022</v>
      </c>
      <c r="B158" t="s">
        <v>635</v>
      </c>
      <c r="C158" t="s">
        <v>469</v>
      </c>
      <c r="D158">
        <v>2020</v>
      </c>
      <c r="E158" s="14">
        <v>44105</v>
      </c>
      <c r="F158" t="s">
        <v>140</v>
      </c>
      <c r="G158" t="s">
        <v>757</v>
      </c>
      <c r="H158" t="s">
        <v>145</v>
      </c>
      <c r="I158">
        <v>108070</v>
      </c>
      <c r="J158">
        <v>193500</v>
      </c>
      <c r="K158">
        <v>0.5585</v>
      </c>
      <c r="L158">
        <v>1.7905061534190803</v>
      </c>
      <c r="M158" t="s">
        <v>13</v>
      </c>
      <c r="N158" t="s">
        <v>446</v>
      </c>
      <c r="P158" t="str">
        <f>TEXT(Table1_3__3__7[[#This Row],[Date Recorded]], "mmm")</f>
        <v>Oct</v>
      </c>
      <c r="Q158">
        <v>2020</v>
      </c>
      <c r="R158" cm="1">
        <f t="array" ref="R158">MONTH(Table1_3__3__7[Date Recorded])</f>
        <v>4</v>
      </c>
    </row>
    <row r="159" spans="1:18" x14ac:dyDescent="0.35">
      <c r="A159">
        <v>200010</v>
      </c>
      <c r="B159" t="s">
        <v>659</v>
      </c>
      <c r="C159" t="s">
        <v>469</v>
      </c>
      <c r="D159">
        <v>2020</v>
      </c>
      <c r="E159" s="14">
        <v>44105</v>
      </c>
      <c r="F159" t="s">
        <v>200</v>
      </c>
      <c r="G159" t="s">
        <v>754</v>
      </c>
      <c r="H159" t="s">
        <v>202</v>
      </c>
      <c r="I159">
        <v>128870</v>
      </c>
      <c r="J159">
        <v>193000</v>
      </c>
      <c r="K159">
        <v>0.66769999999999996</v>
      </c>
      <c r="L159">
        <v>1.4976332738418561</v>
      </c>
      <c r="M159" t="s">
        <v>13</v>
      </c>
      <c r="N159" t="s">
        <v>446</v>
      </c>
      <c r="P159" t="str">
        <f>TEXT(Table1_3__3__7[[#This Row],[Date Recorded]], "mmm")</f>
        <v>Oct</v>
      </c>
      <c r="Q159">
        <v>2020</v>
      </c>
      <c r="R159" cm="1">
        <f t="array" ref="R159">MONTH(Table1_3__3__7[Date Recorded])</f>
        <v>4</v>
      </c>
    </row>
    <row r="160" spans="1:18" x14ac:dyDescent="0.35">
      <c r="A160">
        <v>201176</v>
      </c>
      <c r="B160" t="s">
        <v>724</v>
      </c>
      <c r="C160" t="s">
        <v>471</v>
      </c>
      <c r="D160">
        <v>2021</v>
      </c>
      <c r="E160" s="14">
        <v>44256</v>
      </c>
      <c r="F160" t="s">
        <v>144</v>
      </c>
      <c r="G160" t="s">
        <v>757</v>
      </c>
      <c r="H160" t="s">
        <v>165</v>
      </c>
      <c r="I160">
        <v>165550</v>
      </c>
      <c r="J160">
        <v>191000</v>
      </c>
      <c r="K160">
        <v>0.86670000000000003</v>
      </c>
      <c r="L160">
        <v>1.1537299909392933</v>
      </c>
      <c r="M160" t="s">
        <v>13</v>
      </c>
      <c r="N160" t="s">
        <v>446</v>
      </c>
      <c r="P160" t="str">
        <f>TEXT(Table1_3__3__7[[#This Row],[Date Recorded]], "mmm")</f>
        <v>Mar</v>
      </c>
      <c r="Q160">
        <v>2021</v>
      </c>
      <c r="R160" cm="1">
        <f t="array" ref="R160">MONTH(Table1_3__3__7[Date Recorded])</f>
        <v>4</v>
      </c>
    </row>
    <row r="161" spans="1:18" x14ac:dyDescent="0.35">
      <c r="A161">
        <v>200419</v>
      </c>
      <c r="B161" t="s">
        <v>604</v>
      </c>
      <c r="C161" t="s">
        <v>460</v>
      </c>
      <c r="D161">
        <v>2021</v>
      </c>
      <c r="E161" s="14">
        <v>44228</v>
      </c>
      <c r="F161" t="s">
        <v>159</v>
      </c>
      <c r="G161" t="s">
        <v>757</v>
      </c>
      <c r="H161" t="s">
        <v>160</v>
      </c>
      <c r="I161">
        <v>74200</v>
      </c>
      <c r="J161">
        <v>190000</v>
      </c>
      <c r="K161">
        <v>0.39050000000000001</v>
      </c>
      <c r="L161">
        <v>2.5606469002695418</v>
      </c>
      <c r="M161" t="s">
        <v>13</v>
      </c>
      <c r="N161" t="s">
        <v>445</v>
      </c>
      <c r="P161" t="str">
        <f>TEXT(Table1_3__3__7[[#This Row],[Date Recorded]], "mmm")</f>
        <v>Feb</v>
      </c>
      <c r="Q161">
        <v>2021</v>
      </c>
      <c r="R161" cm="1">
        <f t="array" ref="R161">MONTH(Table1_3__3__7[Date Recorded])</f>
        <v>4</v>
      </c>
    </row>
    <row r="162" spans="1:18" x14ac:dyDescent="0.35">
      <c r="A162">
        <v>20486</v>
      </c>
      <c r="B162" t="s">
        <v>637</v>
      </c>
      <c r="C162" t="s">
        <v>454</v>
      </c>
      <c r="D162">
        <v>2021</v>
      </c>
      <c r="E162" s="14">
        <v>44348</v>
      </c>
      <c r="F162" t="s">
        <v>216</v>
      </c>
      <c r="G162" t="s">
        <v>762</v>
      </c>
      <c r="H162" t="s">
        <v>217</v>
      </c>
      <c r="I162">
        <v>92080</v>
      </c>
      <c r="J162">
        <v>185000</v>
      </c>
      <c r="K162">
        <v>0.49769999999999998</v>
      </c>
      <c r="L162">
        <v>2.0091225021720245</v>
      </c>
      <c r="M162" t="s">
        <v>13</v>
      </c>
      <c r="N162" t="s">
        <v>445</v>
      </c>
      <c r="P162" t="str">
        <f>TEXT(Table1_3__3__7[[#This Row],[Date Recorded]], "mmm")</f>
        <v>Jun</v>
      </c>
      <c r="Q162">
        <v>2021</v>
      </c>
      <c r="R162" cm="1">
        <f t="array" ref="R162">MONTH(Table1_3__3__7[Date Recorded])</f>
        <v>4</v>
      </c>
    </row>
    <row r="163" spans="1:18" x14ac:dyDescent="0.35">
      <c r="A163">
        <v>200759</v>
      </c>
      <c r="B163" t="s">
        <v>611</v>
      </c>
      <c r="C163" t="s">
        <v>458</v>
      </c>
      <c r="D163">
        <v>2021</v>
      </c>
      <c r="E163" s="14">
        <v>44378</v>
      </c>
      <c r="F163" t="s">
        <v>206</v>
      </c>
      <c r="G163" t="s">
        <v>762</v>
      </c>
      <c r="H163" t="s">
        <v>207</v>
      </c>
      <c r="I163">
        <v>144410</v>
      </c>
      <c r="J163">
        <v>185000</v>
      </c>
      <c r="K163">
        <v>0.78049999999999997</v>
      </c>
      <c r="L163">
        <v>1.2810747178173256</v>
      </c>
      <c r="M163" t="s">
        <v>13</v>
      </c>
      <c r="N163" t="s">
        <v>446</v>
      </c>
      <c r="P163" t="str">
        <f>TEXT(Table1_3__3__7[[#This Row],[Date Recorded]], "mmm")</f>
        <v>Jul</v>
      </c>
      <c r="Q163">
        <v>2021</v>
      </c>
      <c r="R163" cm="1">
        <f t="array" ref="R163">MONTH(Table1_3__3__7[Date Recorded])</f>
        <v>4</v>
      </c>
    </row>
    <row r="164" spans="1:18" x14ac:dyDescent="0.35">
      <c r="A164">
        <v>2000473</v>
      </c>
      <c r="B164" t="s">
        <v>654</v>
      </c>
      <c r="C164" t="s">
        <v>456</v>
      </c>
      <c r="D164">
        <v>2021</v>
      </c>
      <c r="E164" s="14">
        <v>44317</v>
      </c>
      <c r="F164" t="s">
        <v>140</v>
      </c>
      <c r="G164" t="s">
        <v>757</v>
      </c>
      <c r="H164" t="s">
        <v>143</v>
      </c>
      <c r="I164">
        <v>98900</v>
      </c>
      <c r="J164">
        <v>184500</v>
      </c>
      <c r="K164">
        <v>0.53600000000000003</v>
      </c>
      <c r="L164">
        <v>1.865520728008089</v>
      </c>
      <c r="M164" t="s">
        <v>13</v>
      </c>
      <c r="N164" t="s">
        <v>446</v>
      </c>
      <c r="P164" t="str">
        <f>TEXT(Table1_3__3__7[[#This Row],[Date Recorded]], "mmm")</f>
        <v>May</v>
      </c>
      <c r="Q164">
        <v>2021</v>
      </c>
      <c r="R164" cm="1">
        <f t="array" ref="R164">MONTH(Table1_3__3__7[Date Recorded])</f>
        <v>4</v>
      </c>
    </row>
    <row r="165" spans="1:18" x14ac:dyDescent="0.35">
      <c r="A165">
        <v>200527</v>
      </c>
      <c r="B165" t="s">
        <v>612</v>
      </c>
      <c r="C165" t="s">
        <v>471</v>
      </c>
      <c r="D165">
        <v>2021</v>
      </c>
      <c r="E165" s="14">
        <v>44256</v>
      </c>
      <c r="F165" t="s">
        <v>32</v>
      </c>
      <c r="G165" t="s">
        <v>766</v>
      </c>
      <c r="H165" t="s">
        <v>35</v>
      </c>
      <c r="I165">
        <v>85680</v>
      </c>
      <c r="J165">
        <v>183000</v>
      </c>
      <c r="K165">
        <v>0.46810000000000002</v>
      </c>
      <c r="L165">
        <v>2.1358543417366946</v>
      </c>
      <c r="M165" t="s">
        <v>13</v>
      </c>
      <c r="N165" t="s">
        <v>445</v>
      </c>
      <c r="P165" t="str">
        <f>TEXT(Table1_3__3__7[[#This Row],[Date Recorded]], "mmm")</f>
        <v>Mar</v>
      </c>
      <c r="Q165">
        <v>2021</v>
      </c>
      <c r="R165" cm="1">
        <f t="array" ref="R165">MONTH(Table1_3__3__7[Date Recorded])</f>
        <v>4</v>
      </c>
    </row>
    <row r="166" spans="1:18" x14ac:dyDescent="0.35">
      <c r="A166">
        <v>200362</v>
      </c>
      <c r="B166" t="s">
        <v>664</v>
      </c>
      <c r="C166" t="s">
        <v>456</v>
      </c>
      <c r="D166">
        <v>2021</v>
      </c>
      <c r="E166" s="14">
        <v>44317</v>
      </c>
      <c r="F166" t="s">
        <v>210</v>
      </c>
      <c r="G166" t="s">
        <v>762</v>
      </c>
      <c r="H166" t="s">
        <v>211</v>
      </c>
      <c r="I166">
        <v>99660</v>
      </c>
      <c r="J166">
        <v>180000</v>
      </c>
      <c r="K166">
        <v>0.55359999999999998</v>
      </c>
      <c r="L166">
        <v>1.8061408789885611</v>
      </c>
      <c r="M166" t="s">
        <v>13</v>
      </c>
      <c r="N166" t="s">
        <v>446</v>
      </c>
      <c r="P166" t="str">
        <f>TEXT(Table1_3__3__7[[#This Row],[Date Recorded]], "mmm")</f>
        <v>May</v>
      </c>
      <c r="Q166">
        <v>2021</v>
      </c>
      <c r="R166" cm="1">
        <f t="array" ref="R166">MONTH(Table1_3__3__7[Date Recorded])</f>
        <v>4</v>
      </c>
    </row>
    <row r="167" spans="1:18" x14ac:dyDescent="0.35">
      <c r="A167">
        <v>20750</v>
      </c>
      <c r="B167" t="s">
        <v>718</v>
      </c>
      <c r="C167" t="s">
        <v>456</v>
      </c>
      <c r="D167">
        <v>2021</v>
      </c>
      <c r="E167" s="14">
        <v>44317</v>
      </c>
      <c r="F167" t="s">
        <v>98</v>
      </c>
      <c r="G167" t="s">
        <v>770</v>
      </c>
      <c r="H167" t="s">
        <v>102</v>
      </c>
      <c r="I167">
        <v>126560</v>
      </c>
      <c r="J167">
        <v>180000</v>
      </c>
      <c r="K167">
        <v>0.70309999999999995</v>
      </c>
      <c r="L167">
        <v>1.4222503160556257</v>
      </c>
      <c r="M167" t="s">
        <v>10</v>
      </c>
      <c r="N167" t="s">
        <v>446</v>
      </c>
      <c r="P167" t="str">
        <f>TEXT(Table1_3__3__7[[#This Row],[Date Recorded]], "mmm")</f>
        <v>May</v>
      </c>
      <c r="Q167">
        <v>2021</v>
      </c>
      <c r="R167" cm="1">
        <f t="array" ref="R167">MONTH(Table1_3__3__7[Date Recorded])</f>
        <v>4</v>
      </c>
    </row>
    <row r="168" spans="1:18" x14ac:dyDescent="0.35">
      <c r="A168">
        <v>200212</v>
      </c>
      <c r="B168" t="s">
        <v>724</v>
      </c>
      <c r="C168" t="s">
        <v>471</v>
      </c>
      <c r="D168">
        <v>2021</v>
      </c>
      <c r="E168" s="14">
        <v>44256</v>
      </c>
      <c r="F168" t="s">
        <v>14</v>
      </c>
      <c r="G168" t="s">
        <v>761</v>
      </c>
      <c r="H168" t="s">
        <v>15</v>
      </c>
      <c r="I168">
        <v>130400</v>
      </c>
      <c r="J168">
        <v>179900</v>
      </c>
      <c r="K168">
        <v>0.7248</v>
      </c>
      <c r="L168">
        <v>1.3796012269938651</v>
      </c>
      <c r="M168" t="s">
        <v>13</v>
      </c>
      <c r="N168" t="s">
        <v>446</v>
      </c>
      <c r="P168" t="str">
        <f>TEXT(Table1_3__3__7[[#This Row],[Date Recorded]], "mmm")</f>
        <v>Mar</v>
      </c>
      <c r="Q168">
        <v>2021</v>
      </c>
      <c r="R168" cm="1">
        <f t="array" ref="R168">MONTH(Table1_3__3__7[Date Recorded])</f>
        <v>4</v>
      </c>
    </row>
    <row r="169" spans="1:18" x14ac:dyDescent="0.35">
      <c r="A169">
        <v>200192</v>
      </c>
      <c r="B169" t="s">
        <v>609</v>
      </c>
      <c r="C169" t="s">
        <v>475</v>
      </c>
      <c r="D169">
        <v>2020</v>
      </c>
      <c r="E169" s="14">
        <v>44136</v>
      </c>
      <c r="F169" t="s">
        <v>159</v>
      </c>
      <c r="G169" t="s">
        <v>757</v>
      </c>
      <c r="H169" t="s">
        <v>164</v>
      </c>
      <c r="I169">
        <v>71150</v>
      </c>
      <c r="J169">
        <v>170000</v>
      </c>
      <c r="K169">
        <v>0.41849999999999998</v>
      </c>
      <c r="L169">
        <v>2.3893183415319745</v>
      </c>
      <c r="M169" t="s">
        <v>13</v>
      </c>
      <c r="N169" t="s">
        <v>445</v>
      </c>
      <c r="P169" t="str">
        <f>TEXT(Table1_3__3__7[[#This Row],[Date Recorded]], "mmm")</f>
        <v>Nov</v>
      </c>
      <c r="Q169">
        <v>2021</v>
      </c>
      <c r="R169" cm="1">
        <f t="array" ref="R169">MONTH(Table1_3__3__7[Date Recorded])</f>
        <v>4</v>
      </c>
    </row>
    <row r="170" spans="1:18" x14ac:dyDescent="0.35">
      <c r="A170">
        <v>20000179</v>
      </c>
      <c r="B170" t="s">
        <v>669</v>
      </c>
      <c r="C170" t="s">
        <v>460</v>
      </c>
      <c r="D170">
        <v>2021</v>
      </c>
      <c r="E170" s="14">
        <v>44228</v>
      </c>
      <c r="F170" t="s">
        <v>37</v>
      </c>
      <c r="G170" t="s">
        <v>766</v>
      </c>
      <c r="H170" t="s">
        <v>39</v>
      </c>
      <c r="I170">
        <v>94770</v>
      </c>
      <c r="J170">
        <v>170000</v>
      </c>
      <c r="K170">
        <v>0.55740000000000001</v>
      </c>
      <c r="L170">
        <v>1.7938166086314233</v>
      </c>
      <c r="M170" t="s">
        <v>13</v>
      </c>
      <c r="N170" t="s">
        <v>446</v>
      </c>
      <c r="P170" t="str">
        <f>TEXT(Table1_3__3__7[[#This Row],[Date Recorded]], "mmm")</f>
        <v>Feb</v>
      </c>
      <c r="Q170">
        <v>2021</v>
      </c>
      <c r="R170" cm="1">
        <f t="array" ref="R170">MONTH(Table1_3__3__7[Date Recorded])</f>
        <v>4</v>
      </c>
    </row>
    <row r="171" spans="1:18" x14ac:dyDescent="0.35">
      <c r="A171">
        <v>200468</v>
      </c>
      <c r="B171" t="s">
        <v>686</v>
      </c>
      <c r="C171" t="s">
        <v>460</v>
      </c>
      <c r="D171">
        <v>2021</v>
      </c>
      <c r="E171" s="14">
        <v>44228</v>
      </c>
      <c r="F171" t="s">
        <v>125</v>
      </c>
      <c r="G171" t="s">
        <v>765</v>
      </c>
      <c r="H171" t="s">
        <v>126</v>
      </c>
      <c r="I171">
        <v>100520</v>
      </c>
      <c r="J171">
        <v>170000</v>
      </c>
      <c r="K171">
        <v>0.59119999999999995</v>
      </c>
      <c r="L171">
        <v>1.6912057302029446</v>
      </c>
      <c r="M171" t="s">
        <v>13</v>
      </c>
      <c r="N171" t="s">
        <v>446</v>
      </c>
      <c r="P171" t="str">
        <f>TEXT(Table1_3__3__7[[#This Row],[Date Recorded]], "mmm")</f>
        <v>Feb</v>
      </c>
      <c r="Q171">
        <v>2020</v>
      </c>
      <c r="R171" cm="1">
        <f t="array" ref="R171">MONTH(Table1_3__3__7[Date Recorded])</f>
        <v>4</v>
      </c>
    </row>
    <row r="172" spans="1:18" x14ac:dyDescent="0.35">
      <c r="A172">
        <v>200113</v>
      </c>
      <c r="B172" t="s">
        <v>681</v>
      </c>
      <c r="C172" t="s">
        <v>464</v>
      </c>
      <c r="D172">
        <v>2021</v>
      </c>
      <c r="E172" s="14">
        <v>44197</v>
      </c>
      <c r="F172" t="s">
        <v>241</v>
      </c>
      <c r="G172" t="s">
        <v>762</v>
      </c>
      <c r="H172" t="s">
        <v>242</v>
      </c>
      <c r="I172">
        <v>98280</v>
      </c>
      <c r="J172">
        <v>169900</v>
      </c>
      <c r="K172">
        <v>0.57840000000000003</v>
      </c>
      <c r="L172">
        <v>1.7287342287342287</v>
      </c>
      <c r="M172" t="s">
        <v>13</v>
      </c>
      <c r="N172" t="s">
        <v>446</v>
      </c>
      <c r="P172" t="str">
        <f>TEXT(Table1_3__3__7[[#This Row],[Date Recorded]], "mmm")</f>
        <v>Jan</v>
      </c>
      <c r="Q172">
        <v>2021</v>
      </c>
      <c r="R172" cm="1">
        <f t="array" ref="R172">MONTH(Table1_3__3__7[Date Recorded])</f>
        <v>4</v>
      </c>
    </row>
    <row r="173" spans="1:18" x14ac:dyDescent="0.35">
      <c r="A173">
        <v>20522</v>
      </c>
      <c r="B173" t="s">
        <v>592</v>
      </c>
      <c r="C173" t="s">
        <v>471</v>
      </c>
      <c r="D173">
        <v>2021</v>
      </c>
      <c r="E173" s="14">
        <v>44256</v>
      </c>
      <c r="F173" t="s">
        <v>98</v>
      </c>
      <c r="G173" t="s">
        <v>770</v>
      </c>
      <c r="H173" t="s">
        <v>100</v>
      </c>
      <c r="I173">
        <v>35875</v>
      </c>
      <c r="J173">
        <v>165000</v>
      </c>
      <c r="K173">
        <v>0.21740000000000001</v>
      </c>
      <c r="L173">
        <v>4.5993031358885021</v>
      </c>
      <c r="M173" t="s">
        <v>13</v>
      </c>
      <c r="N173" t="s">
        <v>445</v>
      </c>
      <c r="P173" t="str">
        <f>TEXT(Table1_3__3__7[[#This Row],[Date Recorded]], "mmm")</f>
        <v>Mar</v>
      </c>
      <c r="Q173">
        <v>2021</v>
      </c>
      <c r="R173" cm="1">
        <f t="array" ref="R173">MONTH(Table1_3__3__7[Date Recorded])</f>
        <v>4</v>
      </c>
    </row>
    <row r="174" spans="1:18" x14ac:dyDescent="0.35">
      <c r="A174">
        <v>20513</v>
      </c>
      <c r="B174" t="s">
        <v>592</v>
      </c>
      <c r="C174" t="s">
        <v>471</v>
      </c>
      <c r="D174">
        <v>2021</v>
      </c>
      <c r="E174" s="14">
        <v>44256</v>
      </c>
      <c r="F174" t="s">
        <v>146</v>
      </c>
      <c r="G174" t="s">
        <v>757</v>
      </c>
      <c r="H174" t="s">
        <v>147</v>
      </c>
      <c r="I174">
        <v>97580</v>
      </c>
      <c r="J174">
        <v>163300</v>
      </c>
      <c r="K174">
        <v>0.59750000000000003</v>
      </c>
      <c r="L174">
        <v>1.673498667759787</v>
      </c>
      <c r="M174" t="s">
        <v>13</v>
      </c>
      <c r="N174" t="s">
        <v>446</v>
      </c>
      <c r="P174" t="str">
        <f>TEXT(Table1_3__3__7[[#This Row],[Date Recorded]], "mmm")</f>
        <v>Mar</v>
      </c>
      <c r="Q174">
        <v>2021</v>
      </c>
      <c r="R174" cm="1">
        <f t="array" ref="R174">MONTH(Table1_3__3__7[Date Recorded])</f>
        <v>4</v>
      </c>
    </row>
    <row r="175" spans="1:18" x14ac:dyDescent="0.35">
      <c r="A175">
        <v>200991</v>
      </c>
      <c r="B175" t="s">
        <v>708</v>
      </c>
      <c r="C175" t="s">
        <v>458</v>
      </c>
      <c r="D175">
        <v>2021</v>
      </c>
      <c r="E175" s="14">
        <v>44378</v>
      </c>
      <c r="F175" t="s">
        <v>117</v>
      </c>
      <c r="G175" t="s">
        <v>765</v>
      </c>
      <c r="H175" t="s">
        <v>120</v>
      </c>
      <c r="I175">
        <v>104300</v>
      </c>
      <c r="J175">
        <v>160000</v>
      </c>
      <c r="K175">
        <v>0.65180000000000005</v>
      </c>
      <c r="L175">
        <v>1.5340364333652925</v>
      </c>
      <c r="M175" t="s">
        <v>13</v>
      </c>
      <c r="N175" t="s">
        <v>446</v>
      </c>
      <c r="P175" t="str">
        <f>TEXT(Table1_3__3__7[[#This Row],[Date Recorded]], "mmm")</f>
        <v>Jul</v>
      </c>
      <c r="Q175">
        <v>2021</v>
      </c>
      <c r="R175" cm="1">
        <f t="array" ref="R175">MONTH(Table1_3__3__7[Date Recorded])</f>
        <v>4</v>
      </c>
    </row>
    <row r="176" spans="1:18" x14ac:dyDescent="0.35">
      <c r="A176">
        <v>20000050</v>
      </c>
      <c r="B176" t="s">
        <v>639</v>
      </c>
      <c r="C176" t="s">
        <v>475</v>
      </c>
      <c r="D176">
        <v>2020</v>
      </c>
      <c r="E176" s="14">
        <v>44136</v>
      </c>
      <c r="F176" t="s">
        <v>37</v>
      </c>
      <c r="G176" t="s">
        <v>766</v>
      </c>
      <c r="H176" t="s">
        <v>38</v>
      </c>
      <c r="I176">
        <v>105110</v>
      </c>
      <c r="J176">
        <v>160000</v>
      </c>
      <c r="K176">
        <v>0.65693749999999995</v>
      </c>
      <c r="L176">
        <v>1.5222148225668348</v>
      </c>
      <c r="M176" t="s">
        <v>13</v>
      </c>
      <c r="N176" t="s">
        <v>446</v>
      </c>
      <c r="P176" t="str">
        <f>TEXT(Table1_3__3__7[[#This Row],[Date Recorded]], "mmm")</f>
        <v>Nov</v>
      </c>
      <c r="Q176">
        <v>2020</v>
      </c>
      <c r="R176" cm="1">
        <f t="array" ref="R176">MONTH(Table1_3__3__7[Date Recorded])</f>
        <v>4</v>
      </c>
    </row>
    <row r="177" spans="1:18" x14ac:dyDescent="0.35">
      <c r="A177">
        <v>180207</v>
      </c>
      <c r="B177" t="s">
        <v>706</v>
      </c>
      <c r="C177" t="s">
        <v>460</v>
      </c>
      <c r="D177">
        <v>2019</v>
      </c>
      <c r="E177" s="14">
        <v>43497</v>
      </c>
      <c r="F177" t="s">
        <v>29</v>
      </c>
      <c r="G177" t="s">
        <v>766</v>
      </c>
      <c r="H177" t="s">
        <v>405</v>
      </c>
      <c r="I177">
        <v>100800</v>
      </c>
      <c r="J177">
        <v>156000</v>
      </c>
      <c r="K177">
        <v>0.64615384600000003</v>
      </c>
      <c r="L177">
        <v>1.5476190476190477</v>
      </c>
      <c r="M177" t="s">
        <v>16</v>
      </c>
      <c r="N177" t="s">
        <v>446</v>
      </c>
      <c r="P177" t="str">
        <f>TEXT(Table1_3__3__7[[#This Row],[Date Recorded]], "mmm")</f>
        <v>Feb</v>
      </c>
      <c r="Q177">
        <v>2019</v>
      </c>
      <c r="R177" cm="1">
        <f t="array" ref="R177">MONTH(Table1_3__3__7[Date Recorded])</f>
        <v>4</v>
      </c>
    </row>
    <row r="178" spans="1:18" x14ac:dyDescent="0.35">
      <c r="A178">
        <v>200032</v>
      </c>
      <c r="B178" t="s">
        <v>695</v>
      </c>
      <c r="C178" t="s">
        <v>469</v>
      </c>
      <c r="D178">
        <v>2020</v>
      </c>
      <c r="E178" s="14">
        <v>44105</v>
      </c>
      <c r="F178" t="s">
        <v>32</v>
      </c>
      <c r="G178" t="s">
        <v>766</v>
      </c>
      <c r="H178" t="s">
        <v>33</v>
      </c>
      <c r="I178">
        <v>94920</v>
      </c>
      <c r="J178">
        <v>155000</v>
      </c>
      <c r="K178">
        <v>0.61229999999999996</v>
      </c>
      <c r="L178">
        <v>1.6329540665823852</v>
      </c>
      <c r="M178" t="s">
        <v>13</v>
      </c>
      <c r="N178" t="s">
        <v>446</v>
      </c>
      <c r="P178" t="str">
        <f>TEXT(Table1_3__3__7[[#This Row],[Date Recorded]], "mmm")</f>
        <v>Oct</v>
      </c>
      <c r="Q178">
        <v>2020</v>
      </c>
      <c r="R178" cm="1">
        <f t="array" ref="R178">MONTH(Table1_3__3__7[Date Recorded])</f>
        <v>4</v>
      </c>
    </row>
    <row r="179" spans="1:18" x14ac:dyDescent="0.35">
      <c r="A179">
        <v>190443</v>
      </c>
      <c r="B179" t="s">
        <v>691</v>
      </c>
      <c r="C179" t="s">
        <v>452</v>
      </c>
      <c r="D179">
        <v>2020</v>
      </c>
      <c r="E179" s="14">
        <v>43922</v>
      </c>
      <c r="F179" t="s">
        <v>281</v>
      </c>
      <c r="G179" t="s">
        <v>765</v>
      </c>
      <c r="H179" t="s">
        <v>401</v>
      </c>
      <c r="I179">
        <v>92280</v>
      </c>
      <c r="J179">
        <v>153000</v>
      </c>
      <c r="K179">
        <v>0.60309999999999997</v>
      </c>
      <c r="L179">
        <v>1.6579973992197659</v>
      </c>
      <c r="M179" t="s">
        <v>16</v>
      </c>
      <c r="N179" t="s">
        <v>446</v>
      </c>
      <c r="P179" t="str">
        <f>TEXT(Table1_3__3__7[[#This Row],[Date Recorded]], "mmm")</f>
        <v>Apr</v>
      </c>
      <c r="Q179">
        <v>2020</v>
      </c>
      <c r="R179" cm="1">
        <f t="array" ref="R179">MONTH(Table1_3__3__7[Date Recorded])</f>
        <v>4</v>
      </c>
    </row>
    <row r="180" spans="1:18" x14ac:dyDescent="0.35">
      <c r="A180">
        <v>201777</v>
      </c>
      <c r="B180" t="s">
        <v>594</v>
      </c>
      <c r="C180" t="s">
        <v>454</v>
      </c>
      <c r="D180">
        <v>2021</v>
      </c>
      <c r="E180" s="14">
        <v>44348</v>
      </c>
      <c r="F180" t="s">
        <v>264</v>
      </c>
      <c r="G180" t="s">
        <v>759</v>
      </c>
      <c r="H180" t="s">
        <v>266</v>
      </c>
      <c r="I180">
        <v>36770</v>
      </c>
      <c r="J180">
        <v>150000</v>
      </c>
      <c r="K180">
        <v>0.24510000000000001</v>
      </c>
      <c r="L180">
        <v>4.0794125645906991</v>
      </c>
      <c r="M180" t="s">
        <v>13</v>
      </c>
      <c r="N180" t="s">
        <v>445</v>
      </c>
      <c r="P180" t="str">
        <f>TEXT(Table1_3__3__7[[#This Row],[Date Recorded]], "mmm")</f>
        <v>Jun</v>
      </c>
      <c r="Q180">
        <v>2021</v>
      </c>
      <c r="R180" cm="1">
        <f t="array" ref="R180">MONTH(Table1_3__3__7[Date Recorded])</f>
        <v>4</v>
      </c>
    </row>
    <row r="181" spans="1:18" x14ac:dyDescent="0.35">
      <c r="A181">
        <v>200285</v>
      </c>
      <c r="B181" t="s">
        <v>645</v>
      </c>
      <c r="C181" t="s">
        <v>452</v>
      </c>
      <c r="D181">
        <v>2021</v>
      </c>
      <c r="E181" s="14">
        <v>44287</v>
      </c>
      <c r="F181" t="s">
        <v>96</v>
      </c>
      <c r="G181" t="s">
        <v>756</v>
      </c>
      <c r="H181" t="s">
        <v>97</v>
      </c>
      <c r="I181">
        <v>77840</v>
      </c>
      <c r="J181">
        <v>150000</v>
      </c>
      <c r="K181">
        <v>0.51890000000000003</v>
      </c>
      <c r="L181">
        <v>1.9270298047276464</v>
      </c>
      <c r="M181" t="s">
        <v>13</v>
      </c>
      <c r="N181" t="s">
        <v>446</v>
      </c>
      <c r="P181" t="str">
        <f>TEXT(Table1_3__3__7[[#This Row],[Date Recorded]], "mmm")</f>
        <v>Apr</v>
      </c>
      <c r="Q181">
        <v>2021</v>
      </c>
      <c r="R181" cm="1">
        <f t="array" ref="R181">MONTH(Table1_3__3__7[Date Recorded])</f>
        <v>4</v>
      </c>
    </row>
    <row r="182" spans="1:18" x14ac:dyDescent="0.35">
      <c r="A182">
        <v>201018</v>
      </c>
      <c r="B182" t="s">
        <v>737</v>
      </c>
      <c r="C182" t="s">
        <v>454</v>
      </c>
      <c r="D182">
        <v>2021</v>
      </c>
      <c r="E182" s="14">
        <v>44348</v>
      </c>
      <c r="F182" t="s">
        <v>56</v>
      </c>
      <c r="G182" t="s">
        <v>758</v>
      </c>
      <c r="H182" t="s">
        <v>416</v>
      </c>
      <c r="I182">
        <v>136900</v>
      </c>
      <c r="J182">
        <v>150000</v>
      </c>
      <c r="K182">
        <v>0.91259999999999997</v>
      </c>
      <c r="L182">
        <v>1.0956902848794741</v>
      </c>
      <c r="M182" t="s">
        <v>13</v>
      </c>
      <c r="N182" t="s">
        <v>446</v>
      </c>
      <c r="P182" t="str">
        <f>TEXT(Table1_3__3__7[[#This Row],[Date Recorded]], "mmm")</f>
        <v>Jun</v>
      </c>
      <c r="Q182">
        <v>2021</v>
      </c>
      <c r="R182" cm="1">
        <f t="array" ref="R182">MONTH(Table1_3__3__7[Date Recorded])</f>
        <v>4</v>
      </c>
    </row>
    <row r="183" spans="1:18" x14ac:dyDescent="0.35">
      <c r="A183">
        <v>200230</v>
      </c>
      <c r="B183" t="s">
        <v>704</v>
      </c>
      <c r="C183" t="s">
        <v>452</v>
      </c>
      <c r="D183">
        <v>2021</v>
      </c>
      <c r="E183" s="14">
        <v>44287</v>
      </c>
      <c r="F183" t="s">
        <v>109</v>
      </c>
      <c r="G183" t="s">
        <v>767</v>
      </c>
      <c r="H183" t="s">
        <v>110</v>
      </c>
      <c r="I183">
        <v>143220</v>
      </c>
      <c r="J183">
        <v>150000</v>
      </c>
      <c r="K183">
        <v>0.95479999999999998</v>
      </c>
      <c r="L183">
        <v>1.0473397570171763</v>
      </c>
      <c r="M183" t="s">
        <v>103</v>
      </c>
      <c r="N183" t="s">
        <v>446</v>
      </c>
      <c r="P183" t="str">
        <f>TEXT(Table1_3__3__7[[#This Row],[Date Recorded]], "mmm")</f>
        <v>Apr</v>
      </c>
      <c r="Q183">
        <v>2021</v>
      </c>
      <c r="R183" cm="1">
        <f t="array" ref="R183">MONTH(Table1_3__3__7[Date Recorded])</f>
        <v>4</v>
      </c>
    </row>
    <row r="184" spans="1:18" x14ac:dyDescent="0.35">
      <c r="A184">
        <v>200375</v>
      </c>
      <c r="B184" t="s">
        <v>662</v>
      </c>
      <c r="C184" t="s">
        <v>452</v>
      </c>
      <c r="D184">
        <v>2021</v>
      </c>
      <c r="E184" s="14">
        <v>44287</v>
      </c>
      <c r="F184" t="s">
        <v>66</v>
      </c>
      <c r="G184" t="s">
        <v>760</v>
      </c>
      <c r="H184" t="s">
        <v>417</v>
      </c>
      <c r="I184">
        <v>76960</v>
      </c>
      <c r="J184">
        <v>140000</v>
      </c>
      <c r="K184">
        <v>0.54969999999999997</v>
      </c>
      <c r="L184">
        <v>1.8191268191268191</v>
      </c>
      <c r="M184" t="s">
        <v>13</v>
      </c>
      <c r="N184" t="s">
        <v>446</v>
      </c>
      <c r="P184" t="str">
        <f>TEXT(Table1_3__3__7[[#This Row],[Date Recorded]], "mmm")</f>
        <v>Apr</v>
      </c>
      <c r="Q184">
        <v>2021</v>
      </c>
      <c r="R184" cm="1">
        <f t="array" ref="R184">MONTH(Table1_3__3__7[Date Recorded])</f>
        <v>4</v>
      </c>
    </row>
    <row r="185" spans="1:18" x14ac:dyDescent="0.35">
      <c r="A185">
        <v>202250</v>
      </c>
      <c r="B185" t="s">
        <v>615</v>
      </c>
      <c r="C185" t="s">
        <v>462</v>
      </c>
      <c r="D185">
        <v>2021</v>
      </c>
      <c r="E185" s="14">
        <v>44409</v>
      </c>
      <c r="F185" t="s">
        <v>264</v>
      </c>
      <c r="G185" t="s">
        <v>759</v>
      </c>
      <c r="H185" t="s">
        <v>267</v>
      </c>
      <c r="I185">
        <v>63100</v>
      </c>
      <c r="J185">
        <v>139900</v>
      </c>
      <c r="K185">
        <v>0.45100000000000001</v>
      </c>
      <c r="L185">
        <v>2.2171156893819335</v>
      </c>
      <c r="M185" t="s">
        <v>13</v>
      </c>
      <c r="N185" t="s">
        <v>445</v>
      </c>
      <c r="P185" t="str">
        <f>TEXT(Table1_3__3__7[[#This Row],[Date Recorded]], "mmm")</f>
        <v>Aug</v>
      </c>
      <c r="Q185">
        <v>2021</v>
      </c>
      <c r="R185" cm="1">
        <f t="array" ref="R185">MONTH(Table1_3__3__7[Date Recorded])</f>
        <v>4</v>
      </c>
    </row>
    <row r="186" spans="1:18" x14ac:dyDescent="0.35">
      <c r="A186">
        <v>200436</v>
      </c>
      <c r="B186" t="s">
        <v>663</v>
      </c>
      <c r="C186" t="s">
        <v>456</v>
      </c>
      <c r="D186">
        <v>2021</v>
      </c>
      <c r="E186" s="14">
        <v>44317</v>
      </c>
      <c r="F186" t="s">
        <v>92</v>
      </c>
      <c r="G186" t="s">
        <v>756</v>
      </c>
      <c r="H186" t="s">
        <v>93</v>
      </c>
      <c r="I186">
        <v>71960</v>
      </c>
      <c r="J186">
        <v>130000</v>
      </c>
      <c r="K186">
        <v>0.55349999999999999</v>
      </c>
      <c r="L186">
        <v>1.8065591995553085</v>
      </c>
      <c r="M186" t="s">
        <v>13</v>
      </c>
      <c r="N186" t="s">
        <v>446</v>
      </c>
      <c r="P186" t="str">
        <f>TEXT(Table1_3__3__7[[#This Row],[Date Recorded]], "mmm")</f>
        <v>May</v>
      </c>
      <c r="Q186">
        <v>2021</v>
      </c>
      <c r="R186" cm="1">
        <f t="array" ref="R186">MONTH(Table1_3__3__7[Date Recorded])</f>
        <v>4</v>
      </c>
    </row>
    <row r="187" spans="1:18" x14ac:dyDescent="0.35">
      <c r="A187">
        <v>200377</v>
      </c>
      <c r="B187" t="s">
        <v>623</v>
      </c>
      <c r="C187" t="s">
        <v>456</v>
      </c>
      <c r="D187">
        <v>2021</v>
      </c>
      <c r="E187" s="14">
        <v>44317</v>
      </c>
      <c r="F187" t="s">
        <v>210</v>
      </c>
      <c r="G187" t="s">
        <v>762</v>
      </c>
      <c r="H187" t="s">
        <v>212</v>
      </c>
      <c r="I187">
        <v>80010</v>
      </c>
      <c r="J187">
        <v>130000</v>
      </c>
      <c r="K187">
        <v>0.61539999999999995</v>
      </c>
      <c r="L187">
        <v>1.6247969003874516</v>
      </c>
      <c r="M187" t="s">
        <v>13</v>
      </c>
      <c r="N187" t="s">
        <v>446</v>
      </c>
      <c r="P187" t="str">
        <f>TEXT(Table1_3__3__7[[#This Row],[Date Recorded]], "mmm")</f>
        <v>May</v>
      </c>
      <c r="Q187">
        <v>2021</v>
      </c>
      <c r="R187" cm="1">
        <f t="array" ref="R187">MONTH(Table1_3__3__7[Date Recorded])</f>
        <v>4</v>
      </c>
    </row>
    <row r="188" spans="1:18" x14ac:dyDescent="0.35">
      <c r="A188">
        <v>20273</v>
      </c>
      <c r="B188" t="s">
        <v>716</v>
      </c>
      <c r="C188" t="s">
        <v>464</v>
      </c>
      <c r="D188">
        <v>2021</v>
      </c>
      <c r="E188" s="14">
        <v>44197</v>
      </c>
      <c r="F188" t="s">
        <v>142</v>
      </c>
      <c r="G188" t="s">
        <v>754</v>
      </c>
      <c r="H188" t="s">
        <v>199</v>
      </c>
      <c r="I188">
        <v>89810</v>
      </c>
      <c r="J188">
        <v>128300</v>
      </c>
      <c r="K188">
        <v>0.7</v>
      </c>
      <c r="L188">
        <v>1.4285714285714286</v>
      </c>
      <c r="M188" t="s">
        <v>13</v>
      </c>
      <c r="N188" t="s">
        <v>446</v>
      </c>
      <c r="P188" t="str">
        <f>TEXT(Table1_3__3__7[[#This Row],[Date Recorded]], "mmm")</f>
        <v>Jan</v>
      </c>
      <c r="Q188">
        <v>2021</v>
      </c>
      <c r="R188" cm="1">
        <f t="array" ref="R188">MONTH(Table1_3__3__7[Date Recorded])</f>
        <v>4</v>
      </c>
    </row>
    <row r="189" spans="1:18" x14ac:dyDescent="0.35">
      <c r="A189">
        <v>200174</v>
      </c>
      <c r="B189" t="s">
        <v>609</v>
      </c>
      <c r="C189" t="s">
        <v>475</v>
      </c>
      <c r="D189">
        <v>2020</v>
      </c>
      <c r="E189" s="14">
        <v>44136</v>
      </c>
      <c r="F189" t="s">
        <v>139</v>
      </c>
      <c r="G189" t="s">
        <v>763</v>
      </c>
      <c r="H189" t="s">
        <v>251</v>
      </c>
      <c r="I189">
        <v>58020</v>
      </c>
      <c r="J189">
        <v>122500</v>
      </c>
      <c r="K189">
        <v>0.47360000000000002</v>
      </c>
      <c r="L189">
        <v>2.1113409169251982</v>
      </c>
      <c r="M189" t="s">
        <v>13</v>
      </c>
      <c r="N189" t="s">
        <v>445</v>
      </c>
      <c r="P189" t="str">
        <f>TEXT(Table1_3__3__7[[#This Row],[Date Recorded]], "mmm")</f>
        <v>Nov</v>
      </c>
      <c r="Q189">
        <v>2020</v>
      </c>
      <c r="R189" cm="1">
        <f t="array" ref="R189">MONTH(Table1_3__3__7[Date Recorded])</f>
        <v>4</v>
      </c>
    </row>
    <row r="190" spans="1:18" x14ac:dyDescent="0.35">
      <c r="A190">
        <v>201592</v>
      </c>
      <c r="B190" t="s">
        <v>692</v>
      </c>
      <c r="C190" t="s">
        <v>456</v>
      </c>
      <c r="D190">
        <v>2021</v>
      </c>
      <c r="E190" s="14">
        <v>44317</v>
      </c>
      <c r="F190" t="s">
        <v>264</v>
      </c>
      <c r="G190" t="s">
        <v>759</v>
      </c>
      <c r="H190" t="s">
        <v>265</v>
      </c>
      <c r="I190">
        <v>73860</v>
      </c>
      <c r="J190">
        <v>122000</v>
      </c>
      <c r="K190">
        <v>0.60540000000000005</v>
      </c>
      <c r="L190">
        <v>1.6517736257784998</v>
      </c>
      <c r="M190" t="s">
        <v>13</v>
      </c>
      <c r="N190" t="s">
        <v>446</v>
      </c>
      <c r="P190" t="str">
        <f>TEXT(Table1_3__3__7[[#This Row],[Date Recorded]], "mmm")</f>
        <v>May</v>
      </c>
      <c r="Q190">
        <v>2021</v>
      </c>
      <c r="R190" cm="1">
        <f t="array" ref="R190">MONTH(Table1_3__3__7[Date Recorded])</f>
        <v>4</v>
      </c>
    </row>
    <row r="191" spans="1:18" x14ac:dyDescent="0.35">
      <c r="A191">
        <v>180650</v>
      </c>
      <c r="B191" t="s">
        <v>690</v>
      </c>
      <c r="C191" t="s">
        <v>464</v>
      </c>
      <c r="D191">
        <v>2019</v>
      </c>
      <c r="E191" s="14">
        <v>43466</v>
      </c>
      <c r="F191" t="s">
        <v>282</v>
      </c>
      <c r="G191" t="s">
        <v>766</v>
      </c>
      <c r="H191" t="s">
        <v>408</v>
      </c>
      <c r="I191">
        <v>64720</v>
      </c>
      <c r="J191">
        <v>108000</v>
      </c>
      <c r="K191">
        <v>0.59919999999999995</v>
      </c>
      <c r="L191">
        <v>1.6687268232385661</v>
      </c>
      <c r="M191" t="s">
        <v>16</v>
      </c>
      <c r="N191" t="s">
        <v>446</v>
      </c>
      <c r="P191" t="str">
        <f>TEXT(Table1_3__3__7[[#This Row],[Date Recorded]], "mmm")</f>
        <v>Jan</v>
      </c>
      <c r="Q191">
        <v>2019</v>
      </c>
      <c r="R191" cm="1">
        <f t="array" ref="R191">MONTH(Table1_3__3__7[Date Recorded])</f>
        <v>4</v>
      </c>
    </row>
    <row r="192" spans="1:18" x14ac:dyDescent="0.35">
      <c r="A192">
        <v>171321</v>
      </c>
      <c r="B192" t="s">
        <v>670</v>
      </c>
      <c r="C192" t="s">
        <v>456</v>
      </c>
      <c r="D192">
        <v>2018</v>
      </c>
      <c r="E192" s="14">
        <v>43221</v>
      </c>
      <c r="F192" t="s">
        <v>282</v>
      </c>
      <c r="G192" t="s">
        <v>766</v>
      </c>
      <c r="H192" t="s">
        <v>385</v>
      </c>
      <c r="I192">
        <v>59750</v>
      </c>
      <c r="J192">
        <v>107000</v>
      </c>
      <c r="K192">
        <v>0.55840000000000001</v>
      </c>
      <c r="L192">
        <v>1.7907949790794979</v>
      </c>
      <c r="M192" t="s">
        <v>16</v>
      </c>
      <c r="N192" t="s">
        <v>446</v>
      </c>
      <c r="P192" t="str">
        <f>TEXT(Table1_3__3__7[[#This Row],[Date Recorded]], "mmm")</f>
        <v>May</v>
      </c>
      <c r="Q192">
        <v>2018</v>
      </c>
      <c r="R192" cm="1">
        <f t="array" ref="R192">MONTH(Table1_3__3__7[Date Recorded])</f>
        <v>4</v>
      </c>
    </row>
    <row r="193" spans="1:18" x14ac:dyDescent="0.35">
      <c r="A193">
        <v>200953</v>
      </c>
      <c r="B193" t="s">
        <v>623</v>
      </c>
      <c r="C193" t="s">
        <v>456</v>
      </c>
      <c r="D193">
        <v>2021</v>
      </c>
      <c r="E193" s="14">
        <v>44317</v>
      </c>
      <c r="F193" t="s">
        <v>159</v>
      </c>
      <c r="G193" t="s">
        <v>757</v>
      </c>
      <c r="H193" t="s">
        <v>161</v>
      </c>
      <c r="I193">
        <v>64470</v>
      </c>
      <c r="J193">
        <v>105000</v>
      </c>
      <c r="K193">
        <v>0.61399999999999999</v>
      </c>
      <c r="L193">
        <v>1.6286644951140066</v>
      </c>
      <c r="M193" t="s">
        <v>13</v>
      </c>
      <c r="N193" t="s">
        <v>446</v>
      </c>
      <c r="P193" t="str">
        <f>TEXT(Table1_3__3__7[[#This Row],[Date Recorded]], "mmm")</f>
        <v>May</v>
      </c>
      <c r="Q193">
        <v>2021</v>
      </c>
      <c r="R193" cm="1">
        <f t="array" ref="R193">MONTH(Table1_3__3__7[Date Recorded])</f>
        <v>4</v>
      </c>
    </row>
    <row r="194" spans="1:18" x14ac:dyDescent="0.35">
      <c r="A194">
        <v>200007</v>
      </c>
      <c r="B194" t="s">
        <v>687</v>
      </c>
      <c r="C194" t="s">
        <v>469</v>
      </c>
      <c r="D194">
        <v>2020</v>
      </c>
      <c r="E194" s="14">
        <v>44105</v>
      </c>
      <c r="F194" t="s">
        <v>219</v>
      </c>
      <c r="G194" t="s">
        <v>762</v>
      </c>
      <c r="H194" t="s">
        <v>220</v>
      </c>
      <c r="I194">
        <v>68300</v>
      </c>
      <c r="J194">
        <v>105000</v>
      </c>
      <c r="K194">
        <v>0.65039999999999998</v>
      </c>
      <c r="L194">
        <v>1.5373352855051245</v>
      </c>
      <c r="M194" t="s">
        <v>13</v>
      </c>
      <c r="N194" t="s">
        <v>446</v>
      </c>
      <c r="P194" t="str">
        <f>TEXT(Table1_3__3__7[[#This Row],[Date Recorded]], "mmm")</f>
        <v>Oct</v>
      </c>
      <c r="Q194">
        <v>2020</v>
      </c>
      <c r="R194" cm="1">
        <f t="array" ref="R194">MONTH(Table1_3__3__7[Date Recorded])</f>
        <v>4</v>
      </c>
    </row>
    <row r="195" spans="1:18" x14ac:dyDescent="0.35">
      <c r="A195">
        <v>201212</v>
      </c>
      <c r="B195" t="s">
        <v>739</v>
      </c>
      <c r="C195" t="s">
        <v>462</v>
      </c>
      <c r="D195">
        <v>2021</v>
      </c>
      <c r="E195" s="14">
        <v>44409</v>
      </c>
      <c r="F195" t="s">
        <v>32</v>
      </c>
      <c r="G195" t="s">
        <v>766</v>
      </c>
      <c r="H195" t="s">
        <v>36</v>
      </c>
      <c r="I195">
        <v>88060</v>
      </c>
      <c r="J195">
        <v>91000</v>
      </c>
      <c r="K195">
        <v>0.96760000000000002</v>
      </c>
      <c r="L195">
        <v>1.0333863275039745</v>
      </c>
      <c r="M195" t="s">
        <v>13</v>
      </c>
      <c r="N195" t="s">
        <v>446</v>
      </c>
      <c r="P195" t="str">
        <f>TEXT(Table1_3__3__7[[#This Row],[Date Recorded]], "mmm")</f>
        <v>Aug</v>
      </c>
      <c r="Q195">
        <v>2021</v>
      </c>
      <c r="R195" cm="1">
        <f t="array" ref="R195">MONTH(Table1_3__3__7[Date Recorded])</f>
        <v>4</v>
      </c>
    </row>
    <row r="196" spans="1:18" x14ac:dyDescent="0.35">
      <c r="A196">
        <v>2020065</v>
      </c>
      <c r="B196" t="s">
        <v>697</v>
      </c>
      <c r="C196" t="s">
        <v>450</v>
      </c>
      <c r="D196">
        <v>2020</v>
      </c>
      <c r="E196" s="14">
        <v>44166</v>
      </c>
      <c r="F196" t="s">
        <v>138</v>
      </c>
      <c r="G196" t="s">
        <v>763</v>
      </c>
      <c r="H196" t="s">
        <v>248</v>
      </c>
      <c r="I196">
        <v>55200</v>
      </c>
      <c r="J196">
        <v>90000</v>
      </c>
      <c r="K196">
        <v>0.61329999999999996</v>
      </c>
      <c r="L196">
        <v>1.6304347826086956</v>
      </c>
      <c r="M196" t="s">
        <v>13</v>
      </c>
      <c r="N196" t="s">
        <v>446</v>
      </c>
      <c r="P196" t="str">
        <f>TEXT(Table1_3__3__7[[#This Row],[Date Recorded]], "mmm")</f>
        <v>Dec</v>
      </c>
      <c r="Q196">
        <v>2020</v>
      </c>
      <c r="R196" cm="1">
        <f t="array" ref="R196">MONTH(Table1_3__3__7[Date Recorded])</f>
        <v>4</v>
      </c>
    </row>
    <row r="197" spans="1:18" x14ac:dyDescent="0.35">
      <c r="A197">
        <v>200377</v>
      </c>
      <c r="B197" t="s">
        <v>617</v>
      </c>
      <c r="C197" t="s">
        <v>462</v>
      </c>
      <c r="D197">
        <v>2021</v>
      </c>
      <c r="E197" s="14">
        <v>44409</v>
      </c>
      <c r="F197" t="s">
        <v>189</v>
      </c>
      <c r="G197" t="s">
        <v>764</v>
      </c>
      <c r="H197" t="s">
        <v>190</v>
      </c>
      <c r="I197">
        <v>41090</v>
      </c>
      <c r="J197">
        <v>89900</v>
      </c>
      <c r="K197">
        <v>0.45700000000000002</v>
      </c>
      <c r="L197">
        <v>2.1878802628376732</v>
      </c>
      <c r="M197" t="s">
        <v>13</v>
      </c>
      <c r="N197" t="s">
        <v>445</v>
      </c>
      <c r="P197" t="str">
        <f>TEXT(Table1_3__3__7[[#This Row],[Date Recorded]], "mmm")</f>
        <v>Aug</v>
      </c>
      <c r="Q197">
        <v>2021</v>
      </c>
      <c r="R197" cm="1">
        <f t="array" ref="R197">MONTH(Table1_3__3__7[Date Recorded])</f>
        <v>4</v>
      </c>
    </row>
    <row r="198" spans="1:18" x14ac:dyDescent="0.35">
      <c r="A198">
        <v>2020256</v>
      </c>
      <c r="B198" t="s">
        <v>698</v>
      </c>
      <c r="C198" t="s">
        <v>454</v>
      </c>
      <c r="D198">
        <v>2021</v>
      </c>
      <c r="E198" s="14">
        <v>44348</v>
      </c>
      <c r="F198" t="s">
        <v>138</v>
      </c>
      <c r="G198" t="s">
        <v>763</v>
      </c>
      <c r="H198" t="s">
        <v>247</v>
      </c>
      <c r="I198">
        <v>55200</v>
      </c>
      <c r="J198">
        <v>89900</v>
      </c>
      <c r="K198">
        <v>0.61401557299999998</v>
      </c>
      <c r="L198">
        <v>1.6286231884057971</v>
      </c>
      <c r="M198" t="s">
        <v>13</v>
      </c>
      <c r="N198" t="s">
        <v>446</v>
      </c>
      <c r="P198" t="str">
        <f>TEXT(Table1_3__3__7[[#This Row],[Date Recorded]], "mmm")</f>
        <v>Jun</v>
      </c>
      <c r="Q198">
        <v>2021</v>
      </c>
      <c r="R198" cm="1">
        <f t="array" ref="R198">MONTH(Table1_3__3__7[Date Recorded])</f>
        <v>4</v>
      </c>
    </row>
    <row r="199" spans="1:18" x14ac:dyDescent="0.35">
      <c r="A199">
        <v>200821</v>
      </c>
      <c r="B199" t="s">
        <v>733</v>
      </c>
      <c r="C199" t="s">
        <v>456</v>
      </c>
      <c r="D199">
        <v>2021</v>
      </c>
      <c r="E199" s="14">
        <v>44317</v>
      </c>
      <c r="F199" t="s">
        <v>125</v>
      </c>
      <c r="G199" t="s">
        <v>765</v>
      </c>
      <c r="H199" t="s">
        <v>127</v>
      </c>
      <c r="I199">
        <v>67270</v>
      </c>
      <c r="J199">
        <v>82000</v>
      </c>
      <c r="K199">
        <v>0.82030000000000003</v>
      </c>
      <c r="L199">
        <v>1.2189683365541846</v>
      </c>
      <c r="M199" t="s">
        <v>13</v>
      </c>
      <c r="N199" t="s">
        <v>446</v>
      </c>
      <c r="P199" t="str">
        <f>TEXT(Table1_3__3__7[[#This Row],[Date Recorded]], "mmm")</f>
        <v>May</v>
      </c>
      <c r="Q199">
        <v>2021</v>
      </c>
      <c r="R199" cm="1">
        <f t="array" ref="R199">MONTH(Table1_3__3__7[Date Recorded])</f>
        <v>4</v>
      </c>
    </row>
    <row r="200" spans="1:18" x14ac:dyDescent="0.35">
      <c r="A200">
        <v>200242</v>
      </c>
      <c r="B200" t="s">
        <v>603</v>
      </c>
      <c r="C200" t="s">
        <v>464</v>
      </c>
      <c r="D200">
        <v>2021</v>
      </c>
      <c r="E200" s="14">
        <v>44197</v>
      </c>
      <c r="F200" t="s">
        <v>66</v>
      </c>
      <c r="G200" t="s">
        <v>760</v>
      </c>
      <c r="H200" t="s">
        <v>67</v>
      </c>
      <c r="I200">
        <v>28240</v>
      </c>
      <c r="J200">
        <v>73000</v>
      </c>
      <c r="K200">
        <v>0.38684931500000003</v>
      </c>
      <c r="L200">
        <v>2.5849858356940509</v>
      </c>
      <c r="M200" t="s">
        <v>13</v>
      </c>
      <c r="N200" t="s">
        <v>445</v>
      </c>
      <c r="P200" t="str">
        <f>TEXT(Table1_3__3__7[[#This Row],[Date Recorded]], "mmm")</f>
        <v>Jan</v>
      </c>
      <c r="Q200">
        <v>2021</v>
      </c>
      <c r="R200" cm="1">
        <f t="array" ref="R200">MONTH(Table1_3__3__7[Date Recorded])</f>
        <v>4</v>
      </c>
    </row>
    <row r="201" spans="1:18" x14ac:dyDescent="0.35">
      <c r="A201">
        <v>190767</v>
      </c>
      <c r="B201" t="s">
        <v>621</v>
      </c>
      <c r="C201" t="s">
        <v>471</v>
      </c>
      <c r="D201">
        <v>2020</v>
      </c>
      <c r="E201" s="14">
        <v>43891</v>
      </c>
      <c r="F201" t="s">
        <v>264</v>
      </c>
      <c r="G201" t="s">
        <v>759</v>
      </c>
      <c r="H201" t="s">
        <v>402</v>
      </c>
      <c r="I201">
        <v>28490</v>
      </c>
      <c r="J201">
        <v>61000</v>
      </c>
      <c r="K201">
        <v>0.46700000000000003</v>
      </c>
      <c r="L201">
        <v>2.1411021411021411</v>
      </c>
      <c r="M201" t="s">
        <v>16</v>
      </c>
      <c r="N201" t="s">
        <v>445</v>
      </c>
      <c r="P201" t="str">
        <f>TEXT(Table1_3__3__7[[#This Row],[Date Recorded]], "mmm")</f>
        <v>Mar</v>
      </c>
      <c r="Q201">
        <v>2020</v>
      </c>
      <c r="R201" cm="1">
        <f t="array" ref="R201">MONTH(Table1_3__3__7[Date Recorded])</f>
        <v>4</v>
      </c>
    </row>
    <row r="202" spans="1:18" x14ac:dyDescent="0.35">
      <c r="A202">
        <v>170668</v>
      </c>
      <c r="B202" t="s">
        <v>622</v>
      </c>
      <c r="C202" t="s">
        <v>464</v>
      </c>
      <c r="D202">
        <v>2018</v>
      </c>
      <c r="E202" s="14">
        <v>43101</v>
      </c>
      <c r="F202" t="s">
        <v>282</v>
      </c>
      <c r="G202" t="s">
        <v>766</v>
      </c>
      <c r="H202" t="s">
        <v>373</v>
      </c>
      <c r="I202">
        <v>27570</v>
      </c>
      <c r="J202">
        <v>59000</v>
      </c>
      <c r="K202">
        <v>0.4672</v>
      </c>
      <c r="L202">
        <v>2.1400072542618789</v>
      </c>
      <c r="M202" t="s">
        <v>16</v>
      </c>
      <c r="N202" t="s">
        <v>445</v>
      </c>
      <c r="P202" t="str">
        <f>TEXT(Table1_3__3__7[[#This Row],[Date Recorded]], "mmm")</f>
        <v>Jan</v>
      </c>
      <c r="Q202">
        <v>2018</v>
      </c>
      <c r="R202" cm="1">
        <f t="array" ref="R202">MONTH(Table1_3__3__7[Date Recorded])</f>
        <v>4</v>
      </c>
    </row>
    <row r="203" spans="1:18" x14ac:dyDescent="0.35">
      <c r="A203">
        <v>181369</v>
      </c>
      <c r="B203" t="s">
        <v>721</v>
      </c>
      <c r="C203" t="s">
        <v>454</v>
      </c>
      <c r="D203">
        <v>2019</v>
      </c>
      <c r="E203" s="14">
        <v>43617</v>
      </c>
      <c r="F203" t="s">
        <v>282</v>
      </c>
      <c r="G203" t="s">
        <v>766</v>
      </c>
      <c r="H203" t="s">
        <v>406</v>
      </c>
      <c r="I203">
        <v>36950</v>
      </c>
      <c r="J203">
        <v>52000</v>
      </c>
      <c r="K203">
        <v>0.71050000000000002</v>
      </c>
      <c r="L203">
        <v>1.4073071718538566</v>
      </c>
      <c r="M203" t="s">
        <v>16</v>
      </c>
      <c r="N203" t="s">
        <v>446</v>
      </c>
      <c r="P203" t="str">
        <f>TEXT(Table1_3__3__7[[#This Row],[Date Recorded]], "mmm")</f>
        <v>Jun</v>
      </c>
      <c r="Q203">
        <v>2019</v>
      </c>
      <c r="R203" cm="1">
        <f t="array" ref="R203">MONTH(Table1_3__3__7[Date Recorded])</f>
        <v>4</v>
      </c>
    </row>
    <row r="204" spans="1:18" x14ac:dyDescent="0.35">
      <c r="A204">
        <v>17568</v>
      </c>
      <c r="B204" t="s">
        <v>596</v>
      </c>
      <c r="C204" t="s">
        <v>456</v>
      </c>
      <c r="D204">
        <v>2018</v>
      </c>
      <c r="E204" s="14">
        <v>43221</v>
      </c>
      <c r="F204" t="s">
        <v>98</v>
      </c>
      <c r="G204" t="s">
        <v>770</v>
      </c>
      <c r="H204" t="s">
        <v>380</v>
      </c>
      <c r="I204">
        <v>11620</v>
      </c>
      <c r="J204">
        <v>38500</v>
      </c>
      <c r="K204">
        <v>0.30180000000000001</v>
      </c>
      <c r="L204">
        <v>3.3132530120481927</v>
      </c>
      <c r="M204" t="s">
        <v>16</v>
      </c>
      <c r="N204" t="s">
        <v>445</v>
      </c>
      <c r="P204" t="str">
        <f>TEXT(Table1_3__3__7[[#This Row],[Date Recorded]], "mmm")</f>
        <v>May</v>
      </c>
      <c r="Q204">
        <v>2018</v>
      </c>
      <c r="R204" cm="1">
        <f t="array" ref="R204">MONTH(Table1_3__3__7[Date Recorded])</f>
        <v>4</v>
      </c>
    </row>
    <row r="205" spans="1:18" x14ac:dyDescent="0.35">
      <c r="A205">
        <v>180558</v>
      </c>
      <c r="B205" t="s">
        <v>738</v>
      </c>
      <c r="C205" t="s">
        <v>456</v>
      </c>
      <c r="D205">
        <v>2019</v>
      </c>
      <c r="E205" s="14">
        <v>43586</v>
      </c>
      <c r="F205" t="s">
        <v>159</v>
      </c>
      <c r="G205" t="s">
        <v>757</v>
      </c>
      <c r="H205" t="s">
        <v>404</v>
      </c>
      <c r="I205">
        <v>28910</v>
      </c>
      <c r="J205">
        <v>30000</v>
      </c>
      <c r="K205">
        <v>0.96360000000000001</v>
      </c>
      <c r="L205">
        <v>1.0377032168799722</v>
      </c>
      <c r="M205" t="s">
        <v>16</v>
      </c>
      <c r="N205" t="s">
        <v>446</v>
      </c>
      <c r="P205" t="str">
        <f>TEXT(Table1_3__3__7[[#This Row],[Date Recorded]], "mmm")</f>
        <v>May</v>
      </c>
      <c r="Q205">
        <v>2019</v>
      </c>
      <c r="R205" cm="1">
        <f t="array" ref="R205">MONTH(Table1_3__3__7[Date Recorded])</f>
        <v>4</v>
      </c>
    </row>
    <row r="206" spans="1:18" x14ac:dyDescent="0.35">
      <c r="A206">
        <v>2000720</v>
      </c>
      <c r="B206" t="s">
        <v>714</v>
      </c>
      <c r="C206" t="s">
        <v>464</v>
      </c>
      <c r="D206">
        <v>2021</v>
      </c>
      <c r="E206" s="14">
        <v>44197</v>
      </c>
      <c r="F206" t="s">
        <v>181</v>
      </c>
      <c r="G206" t="s">
        <v>762</v>
      </c>
      <c r="H206" t="s">
        <v>221</v>
      </c>
      <c r="I206">
        <v>19110</v>
      </c>
      <c r="J206">
        <v>27500</v>
      </c>
      <c r="K206">
        <v>0.69489999999999996</v>
      </c>
      <c r="L206">
        <v>1.4390371533228676</v>
      </c>
      <c r="M206" t="s">
        <v>13</v>
      </c>
      <c r="N206" t="s">
        <v>446</v>
      </c>
      <c r="R206" cm="1">
        <f t="array" ref="R206">MONTH(Table1_3__3__7[Date Recorded])</f>
        <v>4</v>
      </c>
    </row>
    <row r="207" spans="1:18" x14ac:dyDescent="0.35">
      <c r="A207" t="s">
        <v>589</v>
      </c>
      <c r="P207">
        <f>SUBTOTAL(103,Table1_3__3__7[Column12])</f>
        <v>204</v>
      </c>
    </row>
  </sheetData>
  <phoneticPr fontId="4"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E1254-F8D4-4940-861E-8681F6EB7486}">
  <dimension ref="A1:N303"/>
  <sheetViews>
    <sheetView topLeftCell="H2" workbookViewId="0">
      <selection activeCell="I17" sqref="I17"/>
    </sheetView>
  </sheetViews>
  <sheetFormatPr defaultRowHeight="14.5" x14ac:dyDescent="0.35"/>
  <cols>
    <col min="1" max="1" width="16.1796875" bestFit="1" customWidth="1"/>
    <col min="2" max="2" width="16.453125" bestFit="1" customWidth="1"/>
    <col min="3" max="3" width="15" bestFit="1" customWidth="1"/>
    <col min="4" max="4" width="7.26953125" bestFit="1" customWidth="1"/>
    <col min="5" max="5" width="14.1796875" bestFit="1" customWidth="1"/>
    <col min="6" max="6" width="14.453125" bestFit="1" customWidth="1"/>
    <col min="7" max="7" width="32" bestFit="1" customWidth="1"/>
    <col min="8" max="8" width="17.1796875" bestFit="1" customWidth="1"/>
    <col min="9" max="9" width="14.54296875" bestFit="1" customWidth="1"/>
    <col min="10" max="10" width="12.81640625" bestFit="1" customWidth="1"/>
    <col min="11" max="11" width="14.26953125" bestFit="1" customWidth="1"/>
    <col min="12" max="12" width="15.81640625" bestFit="1" customWidth="1"/>
    <col min="13" max="13" width="14.26953125" bestFit="1" customWidth="1"/>
    <col min="14" max="14" width="14.54296875" bestFit="1" customWidth="1"/>
  </cols>
  <sheetData>
    <row r="1" spans="1:14" x14ac:dyDescent="0.35">
      <c r="A1" t="s">
        <v>0</v>
      </c>
      <c r="B1" t="s">
        <v>1</v>
      </c>
      <c r="C1" t="s">
        <v>447</v>
      </c>
      <c r="D1" t="s">
        <v>448</v>
      </c>
      <c r="E1" t="s">
        <v>449</v>
      </c>
      <c r="F1" t="s">
        <v>2</v>
      </c>
      <c r="G1" t="s">
        <v>3</v>
      </c>
      <c r="H1" t="s">
        <v>4</v>
      </c>
      <c r="I1" t="s">
        <v>5</v>
      </c>
      <c r="J1" t="s">
        <v>6</v>
      </c>
      <c r="K1" t="s">
        <v>438</v>
      </c>
      <c r="L1" t="s">
        <v>7</v>
      </c>
      <c r="M1" t="s">
        <v>444</v>
      </c>
      <c r="N1" t="s">
        <v>753</v>
      </c>
    </row>
    <row r="2" spans="1:14" x14ac:dyDescent="0.35">
      <c r="A2">
        <v>160092</v>
      </c>
      <c r="B2" s="3">
        <v>42724</v>
      </c>
      <c r="C2" t="s">
        <v>450</v>
      </c>
      <c r="D2">
        <v>2016</v>
      </c>
      <c r="E2" s="3">
        <v>42705</v>
      </c>
      <c r="F2" t="s">
        <v>200</v>
      </c>
      <c r="G2" t="s">
        <v>365</v>
      </c>
      <c r="H2">
        <v>45150</v>
      </c>
      <c r="I2">
        <v>13650000</v>
      </c>
      <c r="J2">
        <v>3.3076920000000001E-3</v>
      </c>
      <c r="K2">
        <v>302.32558139534882</v>
      </c>
      <c r="L2" t="s">
        <v>16</v>
      </c>
      <c r="M2" t="s">
        <v>445</v>
      </c>
      <c r="N2" t="s">
        <v>754</v>
      </c>
    </row>
    <row r="3" spans="1:14" x14ac:dyDescent="0.35">
      <c r="A3">
        <v>200195</v>
      </c>
      <c r="B3" s="3">
        <v>44312</v>
      </c>
      <c r="C3" t="s">
        <v>452</v>
      </c>
      <c r="D3">
        <v>2021</v>
      </c>
      <c r="E3" s="3">
        <v>44287</v>
      </c>
      <c r="F3" t="s">
        <v>54</v>
      </c>
      <c r="G3" t="s">
        <v>415</v>
      </c>
      <c r="H3">
        <v>3360000</v>
      </c>
      <c r="I3">
        <v>5214750</v>
      </c>
      <c r="J3">
        <v>0.64429999999999998</v>
      </c>
      <c r="K3">
        <v>1.5520089285714285</v>
      </c>
      <c r="L3" t="s">
        <v>10</v>
      </c>
      <c r="M3" t="s">
        <v>446</v>
      </c>
      <c r="N3" t="s">
        <v>755</v>
      </c>
    </row>
    <row r="4" spans="1:14" x14ac:dyDescent="0.35">
      <c r="A4">
        <v>201233</v>
      </c>
      <c r="B4" s="3">
        <v>44369</v>
      </c>
      <c r="C4" t="s">
        <v>454</v>
      </c>
      <c r="D4">
        <v>2021</v>
      </c>
      <c r="E4" s="3">
        <v>44348</v>
      </c>
      <c r="F4" t="s">
        <v>85</v>
      </c>
      <c r="G4" t="s">
        <v>86</v>
      </c>
      <c r="H4">
        <v>4259500</v>
      </c>
      <c r="I4">
        <v>4300000</v>
      </c>
      <c r="J4">
        <v>0.99050000000000005</v>
      </c>
      <c r="K4">
        <v>1.0095081582345347</v>
      </c>
      <c r="L4" t="s">
        <v>13</v>
      </c>
      <c r="M4" t="s">
        <v>446</v>
      </c>
      <c r="N4" t="s">
        <v>756</v>
      </c>
    </row>
    <row r="5" spans="1:14" x14ac:dyDescent="0.35">
      <c r="A5">
        <v>170261</v>
      </c>
      <c r="B5" s="3">
        <v>43221</v>
      </c>
      <c r="C5" t="s">
        <v>456</v>
      </c>
      <c r="D5">
        <v>2018</v>
      </c>
      <c r="E5" s="3">
        <v>43221</v>
      </c>
      <c r="F5" t="s">
        <v>144</v>
      </c>
      <c r="G5" t="s">
        <v>384</v>
      </c>
      <c r="H5">
        <v>30660</v>
      </c>
      <c r="I5">
        <v>3266250</v>
      </c>
      <c r="J5">
        <v>9.3869120000000007E-3</v>
      </c>
      <c r="K5">
        <v>106.53131115459882</v>
      </c>
      <c r="L5" t="s">
        <v>16</v>
      </c>
      <c r="M5" t="s">
        <v>445</v>
      </c>
      <c r="N5" t="s">
        <v>757</v>
      </c>
    </row>
    <row r="6" spans="1:14" x14ac:dyDescent="0.35">
      <c r="A6">
        <v>170255</v>
      </c>
      <c r="B6" s="3">
        <v>43221</v>
      </c>
      <c r="C6" t="s">
        <v>456</v>
      </c>
      <c r="D6">
        <v>2018</v>
      </c>
      <c r="E6" s="3">
        <v>43221</v>
      </c>
      <c r="F6" t="s">
        <v>144</v>
      </c>
      <c r="G6" t="s">
        <v>390</v>
      </c>
      <c r="H6">
        <v>30660</v>
      </c>
      <c r="I6">
        <v>3266250</v>
      </c>
      <c r="J6">
        <v>9.3869120000000007E-3</v>
      </c>
      <c r="K6">
        <v>106.53131115459882</v>
      </c>
      <c r="L6" t="s">
        <v>16</v>
      </c>
      <c r="M6" t="s">
        <v>445</v>
      </c>
      <c r="N6" t="s">
        <v>757</v>
      </c>
    </row>
    <row r="7" spans="1:14" x14ac:dyDescent="0.35">
      <c r="A7">
        <v>201186</v>
      </c>
      <c r="B7" s="3">
        <v>44389</v>
      </c>
      <c r="C7" t="s">
        <v>458</v>
      </c>
      <c r="D7">
        <v>2021</v>
      </c>
      <c r="E7" s="3">
        <v>44378</v>
      </c>
      <c r="F7" t="s">
        <v>56</v>
      </c>
      <c r="G7" t="s">
        <v>60</v>
      </c>
      <c r="H7">
        <v>695500</v>
      </c>
      <c r="I7">
        <v>3200000</v>
      </c>
      <c r="J7">
        <v>0.21734375</v>
      </c>
      <c r="K7">
        <v>4.6010064701653484</v>
      </c>
      <c r="L7" t="s">
        <v>10</v>
      </c>
      <c r="M7" t="s">
        <v>445</v>
      </c>
      <c r="N7" t="s">
        <v>758</v>
      </c>
    </row>
    <row r="8" spans="1:14" x14ac:dyDescent="0.35">
      <c r="A8">
        <v>200645</v>
      </c>
      <c r="B8" s="3">
        <v>44244</v>
      </c>
      <c r="C8" t="s">
        <v>460</v>
      </c>
      <c r="D8">
        <v>2021</v>
      </c>
      <c r="E8" s="3">
        <v>44228</v>
      </c>
      <c r="F8" t="s">
        <v>85</v>
      </c>
      <c r="G8" t="s">
        <v>423</v>
      </c>
      <c r="H8">
        <v>2661200</v>
      </c>
      <c r="I8">
        <v>3000000</v>
      </c>
      <c r="J8">
        <v>0.88700000000000001</v>
      </c>
      <c r="K8">
        <v>1.1273109875244252</v>
      </c>
      <c r="L8" t="s">
        <v>13</v>
      </c>
      <c r="M8" t="s">
        <v>446</v>
      </c>
      <c r="N8" t="s">
        <v>756</v>
      </c>
    </row>
    <row r="9" spans="1:14" x14ac:dyDescent="0.35">
      <c r="A9">
        <v>200661</v>
      </c>
      <c r="B9" s="3">
        <v>44438</v>
      </c>
      <c r="C9" t="s">
        <v>462</v>
      </c>
      <c r="D9">
        <v>2021</v>
      </c>
      <c r="E9" s="3">
        <v>44409</v>
      </c>
      <c r="F9" t="s">
        <v>152</v>
      </c>
      <c r="G9" t="s">
        <v>154</v>
      </c>
      <c r="H9">
        <v>1279460</v>
      </c>
      <c r="I9">
        <v>2400000</v>
      </c>
      <c r="J9">
        <v>0.53310000000000002</v>
      </c>
      <c r="K9">
        <v>1.87579134947556</v>
      </c>
      <c r="L9" t="s">
        <v>13</v>
      </c>
      <c r="M9" t="s">
        <v>446</v>
      </c>
      <c r="N9" t="s">
        <v>757</v>
      </c>
    </row>
    <row r="10" spans="1:14" x14ac:dyDescent="0.35">
      <c r="A10">
        <v>201437</v>
      </c>
      <c r="B10" s="3">
        <v>44397</v>
      </c>
      <c r="C10" t="s">
        <v>458</v>
      </c>
      <c r="D10">
        <v>2021</v>
      </c>
      <c r="E10" s="3">
        <v>44378</v>
      </c>
      <c r="F10" t="s">
        <v>85</v>
      </c>
      <c r="G10" t="s">
        <v>87</v>
      </c>
      <c r="H10">
        <v>1337630</v>
      </c>
      <c r="I10">
        <v>2300000</v>
      </c>
      <c r="J10">
        <v>0.58150000000000002</v>
      </c>
      <c r="K10">
        <v>1.7194590432331811</v>
      </c>
      <c r="L10" t="s">
        <v>13</v>
      </c>
      <c r="M10" t="s">
        <v>446</v>
      </c>
      <c r="N10" t="s">
        <v>756</v>
      </c>
    </row>
    <row r="11" spans="1:14" x14ac:dyDescent="0.35">
      <c r="A11">
        <v>200055</v>
      </c>
      <c r="B11" s="3">
        <v>44221</v>
      </c>
      <c r="C11" t="s">
        <v>464</v>
      </c>
      <c r="D11">
        <v>2021</v>
      </c>
      <c r="E11" s="3">
        <v>44197</v>
      </c>
      <c r="F11" t="s">
        <v>262</v>
      </c>
      <c r="G11" t="s">
        <v>263</v>
      </c>
      <c r="H11">
        <v>1030330</v>
      </c>
      <c r="I11">
        <v>2285000</v>
      </c>
      <c r="J11">
        <v>0.45090000000000002</v>
      </c>
      <c r="K11">
        <v>2.2177360651441771</v>
      </c>
      <c r="L11" t="s">
        <v>13</v>
      </c>
      <c r="M11" t="s">
        <v>445</v>
      </c>
      <c r="N11" t="s">
        <v>759</v>
      </c>
    </row>
    <row r="12" spans="1:14" x14ac:dyDescent="0.35">
      <c r="A12">
        <v>2016743</v>
      </c>
      <c r="B12" s="3">
        <v>44396</v>
      </c>
      <c r="C12" t="s">
        <v>458</v>
      </c>
      <c r="D12">
        <v>2021</v>
      </c>
      <c r="E12" s="3">
        <v>44378</v>
      </c>
      <c r="F12" t="s">
        <v>197</v>
      </c>
      <c r="G12" t="s">
        <v>198</v>
      </c>
      <c r="H12">
        <v>1769800</v>
      </c>
      <c r="I12">
        <v>1800000</v>
      </c>
      <c r="J12">
        <v>0.98319999999999996</v>
      </c>
      <c r="K12">
        <v>1.0170640750367272</v>
      </c>
      <c r="L12" t="s">
        <v>10</v>
      </c>
      <c r="M12" t="s">
        <v>446</v>
      </c>
      <c r="N12" t="s">
        <v>754</v>
      </c>
    </row>
    <row r="13" spans="1:14" x14ac:dyDescent="0.35">
      <c r="A13">
        <v>200320</v>
      </c>
      <c r="B13" s="3">
        <v>44326</v>
      </c>
      <c r="C13" t="s">
        <v>456</v>
      </c>
      <c r="D13">
        <v>2021</v>
      </c>
      <c r="E13" s="3">
        <v>44317</v>
      </c>
      <c r="F13" t="s">
        <v>69</v>
      </c>
      <c r="G13" t="s">
        <v>71</v>
      </c>
      <c r="H13">
        <v>776230</v>
      </c>
      <c r="I13">
        <v>1525000</v>
      </c>
      <c r="J13">
        <v>0.50900000000000001</v>
      </c>
      <c r="K13">
        <v>1.9646238872499131</v>
      </c>
      <c r="L13" t="s">
        <v>10</v>
      </c>
      <c r="M13" t="s">
        <v>446</v>
      </c>
      <c r="N13" t="s">
        <v>760</v>
      </c>
    </row>
    <row r="14" spans="1:14" x14ac:dyDescent="0.35">
      <c r="A14">
        <v>200377</v>
      </c>
      <c r="B14" s="3">
        <v>44379</v>
      </c>
      <c r="C14" t="s">
        <v>458</v>
      </c>
      <c r="D14">
        <v>2021</v>
      </c>
      <c r="E14" s="3">
        <v>44378</v>
      </c>
      <c r="F14" t="s">
        <v>14</v>
      </c>
      <c r="G14" t="s">
        <v>17</v>
      </c>
      <c r="H14">
        <v>862330</v>
      </c>
      <c r="I14">
        <v>1447500</v>
      </c>
      <c r="J14">
        <v>0.59570000000000001</v>
      </c>
      <c r="K14">
        <v>1.6785917224264493</v>
      </c>
      <c r="L14" t="s">
        <v>13</v>
      </c>
      <c r="M14" t="s">
        <v>446</v>
      </c>
      <c r="N14" t="s">
        <v>761</v>
      </c>
    </row>
    <row r="15" spans="1:14" x14ac:dyDescent="0.35">
      <c r="A15">
        <v>161304</v>
      </c>
      <c r="B15" s="3">
        <v>42901</v>
      </c>
      <c r="C15" t="s">
        <v>454</v>
      </c>
      <c r="D15">
        <v>2017</v>
      </c>
      <c r="E15" s="3">
        <v>42887</v>
      </c>
      <c r="F15" t="s">
        <v>181</v>
      </c>
      <c r="G15" t="s">
        <v>382</v>
      </c>
      <c r="H15">
        <v>91980</v>
      </c>
      <c r="I15">
        <v>1323338</v>
      </c>
      <c r="J15">
        <v>6.9506051999999999E-2</v>
      </c>
      <c r="K15">
        <v>14.387236355729506</v>
      </c>
      <c r="L15" t="s">
        <v>16</v>
      </c>
      <c r="M15" t="s">
        <v>445</v>
      </c>
      <c r="N15" t="s">
        <v>762</v>
      </c>
    </row>
    <row r="16" spans="1:14" x14ac:dyDescent="0.35">
      <c r="A16">
        <v>201494</v>
      </c>
      <c r="B16" s="3">
        <v>44405</v>
      </c>
      <c r="C16" t="s">
        <v>458</v>
      </c>
      <c r="D16">
        <v>2021</v>
      </c>
      <c r="E16" s="3">
        <v>44378</v>
      </c>
      <c r="F16" t="s">
        <v>85</v>
      </c>
      <c r="G16" t="s">
        <v>88</v>
      </c>
      <c r="H16">
        <v>632170</v>
      </c>
      <c r="I16">
        <v>1250000</v>
      </c>
      <c r="J16">
        <v>0.50570000000000004</v>
      </c>
      <c r="K16">
        <v>1.9773162282297483</v>
      </c>
      <c r="L16" t="s">
        <v>13</v>
      </c>
      <c r="M16" t="s">
        <v>446</v>
      </c>
      <c r="N16" t="s">
        <v>756</v>
      </c>
    </row>
    <row r="17" spans="1:14" x14ac:dyDescent="0.35">
      <c r="A17">
        <v>200109</v>
      </c>
      <c r="B17" s="3">
        <v>44174</v>
      </c>
      <c r="C17" t="s">
        <v>450</v>
      </c>
      <c r="D17">
        <v>2020</v>
      </c>
      <c r="E17" s="3">
        <v>44166</v>
      </c>
      <c r="F17" t="s">
        <v>14</v>
      </c>
      <c r="G17" t="s">
        <v>18</v>
      </c>
      <c r="H17">
        <v>847520</v>
      </c>
      <c r="I17">
        <v>1250000</v>
      </c>
      <c r="J17">
        <v>0.67800000000000005</v>
      </c>
      <c r="K17">
        <v>1.474891447989428</v>
      </c>
      <c r="L17" t="s">
        <v>13</v>
      </c>
      <c r="M17" t="s">
        <v>446</v>
      </c>
      <c r="N17" t="s">
        <v>761</v>
      </c>
    </row>
    <row r="18" spans="1:14" x14ac:dyDescent="0.35">
      <c r="A18">
        <v>200020</v>
      </c>
      <c r="B18" s="3">
        <v>44110</v>
      </c>
      <c r="C18" t="s">
        <v>469</v>
      </c>
      <c r="D18">
        <v>2020</v>
      </c>
      <c r="E18" s="3">
        <v>44105</v>
      </c>
      <c r="F18" t="s">
        <v>92</v>
      </c>
      <c r="G18" t="s">
        <v>95</v>
      </c>
      <c r="H18">
        <v>654570</v>
      </c>
      <c r="I18">
        <v>990000</v>
      </c>
      <c r="J18">
        <v>0.66118181799999998</v>
      </c>
      <c r="K18">
        <v>1.5124432833768733</v>
      </c>
      <c r="L18" t="s">
        <v>13</v>
      </c>
      <c r="M18" t="s">
        <v>446</v>
      </c>
      <c r="N18" t="s">
        <v>756</v>
      </c>
    </row>
    <row r="19" spans="1:14" x14ac:dyDescent="0.35">
      <c r="A19">
        <v>2001101</v>
      </c>
      <c r="B19" s="3">
        <v>44259</v>
      </c>
      <c r="C19" t="s">
        <v>471</v>
      </c>
      <c r="D19">
        <v>2021</v>
      </c>
      <c r="E19" s="3">
        <v>44256</v>
      </c>
      <c r="F19" t="s">
        <v>181</v>
      </c>
      <c r="G19" t="s">
        <v>223</v>
      </c>
      <c r="H19">
        <v>599810</v>
      </c>
      <c r="I19">
        <v>950000</v>
      </c>
      <c r="J19">
        <v>0.63129999999999997</v>
      </c>
      <c r="K19">
        <v>1.5838348810456644</v>
      </c>
      <c r="L19" t="s">
        <v>13</v>
      </c>
      <c r="M19" t="s">
        <v>446</v>
      </c>
      <c r="N19" t="s">
        <v>762</v>
      </c>
    </row>
    <row r="20" spans="1:14" x14ac:dyDescent="0.35">
      <c r="A20">
        <v>200427</v>
      </c>
      <c r="B20" s="3">
        <v>44232</v>
      </c>
      <c r="C20" t="s">
        <v>460</v>
      </c>
      <c r="D20">
        <v>2021</v>
      </c>
      <c r="E20" s="3">
        <v>44228</v>
      </c>
      <c r="F20" t="s">
        <v>133</v>
      </c>
      <c r="G20" t="s">
        <v>177</v>
      </c>
      <c r="H20">
        <v>587600</v>
      </c>
      <c r="I20">
        <v>939000</v>
      </c>
      <c r="J20">
        <v>0.62570000000000003</v>
      </c>
      <c r="K20">
        <v>1.5980258679373724</v>
      </c>
      <c r="L20" t="s">
        <v>10</v>
      </c>
      <c r="M20" t="s">
        <v>446</v>
      </c>
      <c r="N20" t="s">
        <v>757</v>
      </c>
    </row>
    <row r="21" spans="1:14" x14ac:dyDescent="0.35">
      <c r="A21">
        <v>2001570</v>
      </c>
      <c r="B21" s="3">
        <v>44330</v>
      </c>
      <c r="C21" t="s">
        <v>456</v>
      </c>
      <c r="D21">
        <v>2021</v>
      </c>
      <c r="E21" s="3">
        <v>44317</v>
      </c>
      <c r="F21" t="s">
        <v>181</v>
      </c>
      <c r="G21" t="s">
        <v>227</v>
      </c>
      <c r="H21">
        <v>486230</v>
      </c>
      <c r="I21">
        <v>930000</v>
      </c>
      <c r="J21">
        <v>0.52280000000000004</v>
      </c>
      <c r="K21">
        <v>1.9126750714682352</v>
      </c>
      <c r="L21" t="s">
        <v>10</v>
      </c>
      <c r="M21" t="s">
        <v>446</v>
      </c>
      <c r="N21" t="s">
        <v>762</v>
      </c>
    </row>
    <row r="22" spans="1:14" x14ac:dyDescent="0.35">
      <c r="A22">
        <v>20771</v>
      </c>
      <c r="B22" s="3">
        <v>44455</v>
      </c>
      <c r="C22" t="s">
        <v>473</v>
      </c>
      <c r="D22">
        <v>2021</v>
      </c>
      <c r="E22" s="3">
        <v>44440</v>
      </c>
      <c r="F22" t="s">
        <v>166</v>
      </c>
      <c r="G22" t="s">
        <v>169</v>
      </c>
      <c r="H22">
        <v>451770</v>
      </c>
      <c r="I22">
        <v>910000</v>
      </c>
      <c r="J22">
        <v>0.49645054900000002</v>
      </c>
      <c r="K22">
        <v>2.0142993115966088</v>
      </c>
      <c r="L22" t="s">
        <v>13</v>
      </c>
      <c r="M22" t="s">
        <v>445</v>
      </c>
      <c r="N22" t="s">
        <v>757</v>
      </c>
    </row>
    <row r="23" spans="1:14" x14ac:dyDescent="0.35">
      <c r="A23">
        <v>200627</v>
      </c>
      <c r="B23" s="3">
        <v>44397</v>
      </c>
      <c r="C23" t="s">
        <v>458</v>
      </c>
      <c r="D23">
        <v>2021</v>
      </c>
      <c r="E23" s="3">
        <v>44378</v>
      </c>
      <c r="F23" t="s">
        <v>252</v>
      </c>
      <c r="G23" t="s">
        <v>255</v>
      </c>
      <c r="H23">
        <v>475160</v>
      </c>
      <c r="I23">
        <v>905000</v>
      </c>
      <c r="J23">
        <v>0.52500000000000002</v>
      </c>
      <c r="K23">
        <v>1.9046216011448776</v>
      </c>
      <c r="L23" t="s">
        <v>13</v>
      </c>
      <c r="M23" t="s">
        <v>446</v>
      </c>
      <c r="N23" t="s">
        <v>763</v>
      </c>
    </row>
    <row r="24" spans="1:14" x14ac:dyDescent="0.35">
      <c r="A24">
        <v>200243</v>
      </c>
      <c r="B24" s="3">
        <v>44299</v>
      </c>
      <c r="C24" t="s">
        <v>452</v>
      </c>
      <c r="D24">
        <v>2021</v>
      </c>
      <c r="E24" s="3">
        <v>44287</v>
      </c>
      <c r="F24" t="s">
        <v>14</v>
      </c>
      <c r="G24" t="s">
        <v>410</v>
      </c>
      <c r="H24">
        <v>619290</v>
      </c>
      <c r="I24">
        <v>890000</v>
      </c>
      <c r="J24">
        <v>0.69579999999999997</v>
      </c>
      <c r="K24">
        <v>1.4371296161733598</v>
      </c>
      <c r="L24" t="s">
        <v>13</v>
      </c>
      <c r="M24" t="s">
        <v>446</v>
      </c>
      <c r="N24" t="s">
        <v>761</v>
      </c>
    </row>
    <row r="25" spans="1:14" x14ac:dyDescent="0.35">
      <c r="A25">
        <v>20129</v>
      </c>
      <c r="B25" s="3">
        <v>44285</v>
      </c>
      <c r="C25" t="s">
        <v>471</v>
      </c>
      <c r="D25">
        <v>2021</v>
      </c>
      <c r="E25" s="3">
        <v>44256</v>
      </c>
      <c r="F25" t="s">
        <v>64</v>
      </c>
      <c r="G25" t="s">
        <v>65</v>
      </c>
      <c r="H25">
        <v>351260</v>
      </c>
      <c r="I25">
        <v>873000</v>
      </c>
      <c r="J25">
        <v>0.40229999999999999</v>
      </c>
      <c r="K25">
        <v>2.4853384957011899</v>
      </c>
      <c r="L25" t="s">
        <v>10</v>
      </c>
      <c r="M25" t="s">
        <v>445</v>
      </c>
      <c r="N25" t="s">
        <v>758</v>
      </c>
    </row>
    <row r="26" spans="1:14" x14ac:dyDescent="0.35">
      <c r="A26">
        <v>201207</v>
      </c>
      <c r="B26" s="3">
        <v>44398</v>
      </c>
      <c r="C26" t="s">
        <v>458</v>
      </c>
      <c r="D26">
        <v>2021</v>
      </c>
      <c r="E26" s="3">
        <v>44378</v>
      </c>
      <c r="F26" t="s">
        <v>159</v>
      </c>
      <c r="G26" t="s">
        <v>162</v>
      </c>
      <c r="H26">
        <v>368130</v>
      </c>
      <c r="I26">
        <v>850000</v>
      </c>
      <c r="J26">
        <v>0.433</v>
      </c>
      <c r="K26">
        <v>2.3089669410262679</v>
      </c>
      <c r="L26" t="s">
        <v>13</v>
      </c>
      <c r="M26" t="s">
        <v>445</v>
      </c>
      <c r="N26" t="s">
        <v>757</v>
      </c>
    </row>
    <row r="27" spans="1:14" x14ac:dyDescent="0.35">
      <c r="A27">
        <v>2000344</v>
      </c>
      <c r="B27" s="3">
        <v>44145</v>
      </c>
      <c r="C27" t="s">
        <v>475</v>
      </c>
      <c r="D27">
        <v>2020</v>
      </c>
      <c r="E27" s="3">
        <v>44136</v>
      </c>
      <c r="F27" t="s">
        <v>181</v>
      </c>
      <c r="G27" t="s">
        <v>232</v>
      </c>
      <c r="H27">
        <v>539700</v>
      </c>
      <c r="I27">
        <v>850000</v>
      </c>
      <c r="J27">
        <v>0.63490000000000002</v>
      </c>
      <c r="K27">
        <v>1.5749490457661663</v>
      </c>
      <c r="L27" t="s">
        <v>13</v>
      </c>
      <c r="M27" t="s">
        <v>446</v>
      </c>
      <c r="N27" t="s">
        <v>762</v>
      </c>
    </row>
    <row r="28" spans="1:14" x14ac:dyDescent="0.35">
      <c r="A28">
        <v>200338</v>
      </c>
      <c r="B28" s="3">
        <v>44309</v>
      </c>
      <c r="C28" t="s">
        <v>452</v>
      </c>
      <c r="D28">
        <v>2021</v>
      </c>
      <c r="E28" s="3">
        <v>44287</v>
      </c>
      <c r="F28" t="s">
        <v>152</v>
      </c>
      <c r="G28" t="s">
        <v>153</v>
      </c>
      <c r="H28">
        <v>620760</v>
      </c>
      <c r="I28">
        <v>850000</v>
      </c>
      <c r="J28">
        <v>0.73029999999999995</v>
      </c>
      <c r="K28">
        <v>1.3692892583285006</v>
      </c>
      <c r="L28" t="s">
        <v>13</v>
      </c>
      <c r="M28" t="s">
        <v>446</v>
      </c>
      <c r="N28" t="s">
        <v>757</v>
      </c>
    </row>
    <row r="29" spans="1:14" x14ac:dyDescent="0.35">
      <c r="A29">
        <v>202000106</v>
      </c>
      <c r="B29" s="3">
        <v>44224</v>
      </c>
      <c r="C29" t="s">
        <v>464</v>
      </c>
      <c r="D29">
        <v>2021</v>
      </c>
      <c r="E29" s="3">
        <v>44197</v>
      </c>
      <c r="F29" t="s">
        <v>193</v>
      </c>
      <c r="G29" t="s">
        <v>194</v>
      </c>
      <c r="H29">
        <v>596470</v>
      </c>
      <c r="I29">
        <v>833111</v>
      </c>
      <c r="J29">
        <v>0.71589999999999998</v>
      </c>
      <c r="K29">
        <v>1.3967357955974316</v>
      </c>
      <c r="L29" t="s">
        <v>10</v>
      </c>
      <c r="M29" t="s">
        <v>446</v>
      </c>
      <c r="N29" t="s">
        <v>764</v>
      </c>
    </row>
    <row r="30" spans="1:14" x14ac:dyDescent="0.35">
      <c r="A30">
        <v>2001250</v>
      </c>
      <c r="B30" s="3">
        <v>44280</v>
      </c>
      <c r="C30" t="s">
        <v>471</v>
      </c>
      <c r="D30">
        <v>2021</v>
      </c>
      <c r="E30" s="3">
        <v>44256</v>
      </c>
      <c r="F30" t="s">
        <v>181</v>
      </c>
      <c r="G30" t="s">
        <v>224</v>
      </c>
      <c r="H30">
        <v>403190</v>
      </c>
      <c r="I30">
        <v>810000</v>
      </c>
      <c r="J30">
        <v>0.49769999999999998</v>
      </c>
      <c r="K30">
        <v>2.0089783972816786</v>
      </c>
      <c r="L30" t="s">
        <v>13</v>
      </c>
      <c r="M30" t="s">
        <v>445</v>
      </c>
      <c r="N30" t="s">
        <v>762</v>
      </c>
    </row>
    <row r="31" spans="1:14" x14ac:dyDescent="0.35">
      <c r="A31">
        <v>201027</v>
      </c>
      <c r="B31" s="3">
        <v>44396</v>
      </c>
      <c r="C31" t="s">
        <v>458</v>
      </c>
      <c r="D31">
        <v>2021</v>
      </c>
      <c r="E31" s="3">
        <v>44378</v>
      </c>
      <c r="F31" t="s">
        <v>117</v>
      </c>
      <c r="G31" t="s">
        <v>121</v>
      </c>
      <c r="H31">
        <v>517700</v>
      </c>
      <c r="I31">
        <v>800000</v>
      </c>
      <c r="J31">
        <v>0.64710000000000001</v>
      </c>
      <c r="K31">
        <v>1.5452965037666602</v>
      </c>
      <c r="L31" t="s">
        <v>10</v>
      </c>
      <c r="M31" t="s">
        <v>446</v>
      </c>
      <c r="N31" t="s">
        <v>765</v>
      </c>
    </row>
    <row r="32" spans="1:14" x14ac:dyDescent="0.35">
      <c r="A32">
        <v>2002453</v>
      </c>
      <c r="B32" s="3">
        <v>44435</v>
      </c>
      <c r="C32" t="s">
        <v>462</v>
      </c>
      <c r="D32">
        <v>2021</v>
      </c>
      <c r="E32" s="3">
        <v>44409</v>
      </c>
      <c r="F32" t="s">
        <v>181</v>
      </c>
      <c r="G32" t="s">
        <v>233</v>
      </c>
      <c r="H32">
        <v>596290</v>
      </c>
      <c r="I32">
        <v>800000</v>
      </c>
      <c r="J32">
        <v>0.74529999999999996</v>
      </c>
      <c r="K32">
        <v>1.3416290731020142</v>
      </c>
      <c r="L32" t="s">
        <v>10</v>
      </c>
      <c r="M32" t="s">
        <v>446</v>
      </c>
      <c r="N32" t="s">
        <v>762</v>
      </c>
    </row>
    <row r="33" spans="1:14" x14ac:dyDescent="0.35">
      <c r="A33">
        <v>200097</v>
      </c>
      <c r="B33" s="3">
        <v>44351</v>
      </c>
      <c r="C33" t="s">
        <v>454</v>
      </c>
      <c r="D33">
        <v>2021</v>
      </c>
      <c r="E33" s="3">
        <v>44348</v>
      </c>
      <c r="F33" t="s">
        <v>21</v>
      </c>
      <c r="G33" t="s">
        <v>22</v>
      </c>
      <c r="H33">
        <v>511000</v>
      </c>
      <c r="I33">
        <v>795000</v>
      </c>
      <c r="J33">
        <v>0.64270000000000005</v>
      </c>
      <c r="K33">
        <v>1.5557729941291585</v>
      </c>
      <c r="L33" t="s">
        <v>10</v>
      </c>
      <c r="M33" t="s">
        <v>446</v>
      </c>
      <c r="N33" t="s">
        <v>766</v>
      </c>
    </row>
    <row r="34" spans="1:14" x14ac:dyDescent="0.35">
      <c r="A34">
        <v>2002537</v>
      </c>
      <c r="B34" s="3">
        <v>44446</v>
      </c>
      <c r="C34" t="s">
        <v>473</v>
      </c>
      <c r="D34">
        <v>2021</v>
      </c>
      <c r="E34" s="3">
        <v>44440</v>
      </c>
      <c r="F34" t="s">
        <v>181</v>
      </c>
      <c r="G34" t="s">
        <v>229</v>
      </c>
      <c r="H34">
        <v>441560</v>
      </c>
      <c r="I34">
        <v>785000</v>
      </c>
      <c r="J34">
        <v>0.56240000000000001</v>
      </c>
      <c r="K34">
        <v>1.7777878431017302</v>
      </c>
      <c r="L34" t="s">
        <v>13</v>
      </c>
      <c r="M34" t="s">
        <v>446</v>
      </c>
      <c r="N34" t="s">
        <v>762</v>
      </c>
    </row>
    <row r="35" spans="1:14" x14ac:dyDescent="0.35">
      <c r="A35">
        <v>20274</v>
      </c>
      <c r="B35" s="3">
        <v>44204</v>
      </c>
      <c r="C35" t="s">
        <v>464</v>
      </c>
      <c r="D35">
        <v>2021</v>
      </c>
      <c r="E35" s="3">
        <v>44197</v>
      </c>
      <c r="F35" t="s">
        <v>166</v>
      </c>
      <c r="G35" t="s">
        <v>167</v>
      </c>
      <c r="H35">
        <v>419590</v>
      </c>
      <c r="I35">
        <v>779000</v>
      </c>
      <c r="J35">
        <v>0.53859999999999997</v>
      </c>
      <c r="K35">
        <v>1.8565742748873901</v>
      </c>
      <c r="L35" t="s">
        <v>13</v>
      </c>
      <c r="M35" t="s">
        <v>446</v>
      </c>
      <c r="N35" t="s">
        <v>757</v>
      </c>
    </row>
    <row r="36" spans="1:14" x14ac:dyDescent="0.35">
      <c r="A36">
        <v>2000120</v>
      </c>
      <c r="B36" s="3">
        <v>44120</v>
      </c>
      <c r="C36" t="s">
        <v>469</v>
      </c>
      <c r="D36">
        <v>2020</v>
      </c>
      <c r="E36" s="3">
        <v>44105</v>
      </c>
      <c r="F36" t="s">
        <v>181</v>
      </c>
      <c r="G36" t="s">
        <v>230</v>
      </c>
      <c r="H36">
        <v>497000</v>
      </c>
      <c r="I36">
        <v>755000</v>
      </c>
      <c r="J36">
        <v>0.65820000000000001</v>
      </c>
      <c r="K36">
        <v>1.5191146881287727</v>
      </c>
      <c r="L36" t="s">
        <v>13</v>
      </c>
      <c r="M36" t="s">
        <v>446</v>
      </c>
      <c r="N36" t="s">
        <v>762</v>
      </c>
    </row>
    <row r="37" spans="1:14" x14ac:dyDescent="0.35">
      <c r="A37">
        <v>200098</v>
      </c>
      <c r="B37" s="3">
        <v>44141</v>
      </c>
      <c r="C37" t="s">
        <v>475</v>
      </c>
      <c r="D37">
        <v>2020</v>
      </c>
      <c r="E37" s="3">
        <v>44136</v>
      </c>
      <c r="F37" t="s">
        <v>92</v>
      </c>
      <c r="G37" t="s">
        <v>424</v>
      </c>
      <c r="H37">
        <v>354550</v>
      </c>
      <c r="I37">
        <v>742500</v>
      </c>
      <c r="J37">
        <v>0.47749999999999998</v>
      </c>
      <c r="K37">
        <v>2.094203920462558</v>
      </c>
      <c r="L37" t="s">
        <v>13</v>
      </c>
      <c r="M37" t="s">
        <v>445</v>
      </c>
      <c r="N37" t="s">
        <v>756</v>
      </c>
    </row>
    <row r="38" spans="1:14" x14ac:dyDescent="0.35">
      <c r="A38">
        <v>201328</v>
      </c>
      <c r="B38" s="3">
        <v>44414</v>
      </c>
      <c r="C38" t="s">
        <v>462</v>
      </c>
      <c r="D38">
        <v>2021</v>
      </c>
      <c r="E38" s="3">
        <v>44409</v>
      </c>
      <c r="F38" t="s">
        <v>54</v>
      </c>
      <c r="G38" t="s">
        <v>55</v>
      </c>
      <c r="H38">
        <v>410670</v>
      </c>
      <c r="I38">
        <v>740000</v>
      </c>
      <c r="J38">
        <v>0.55489999999999995</v>
      </c>
      <c r="K38">
        <v>1.8019334258650499</v>
      </c>
      <c r="L38" t="s">
        <v>13</v>
      </c>
      <c r="M38" t="s">
        <v>446</v>
      </c>
      <c r="N38" t="s">
        <v>755</v>
      </c>
    </row>
    <row r="39" spans="1:14" x14ac:dyDescent="0.35">
      <c r="A39">
        <v>200170</v>
      </c>
      <c r="B39" s="3">
        <v>44361</v>
      </c>
      <c r="C39" t="s">
        <v>454</v>
      </c>
      <c r="D39">
        <v>2021</v>
      </c>
      <c r="E39" s="3">
        <v>44348</v>
      </c>
      <c r="F39" t="s">
        <v>271</v>
      </c>
      <c r="G39" t="s">
        <v>272</v>
      </c>
      <c r="H39">
        <v>271120</v>
      </c>
      <c r="I39">
        <v>725000</v>
      </c>
      <c r="J39">
        <v>0.37390000000000001</v>
      </c>
      <c r="K39">
        <v>2.6740926526999114</v>
      </c>
      <c r="L39" t="s">
        <v>13</v>
      </c>
      <c r="M39" t="s">
        <v>445</v>
      </c>
      <c r="N39" t="s">
        <v>759</v>
      </c>
    </row>
    <row r="40" spans="1:14" x14ac:dyDescent="0.35">
      <c r="A40">
        <v>20458</v>
      </c>
      <c r="B40" s="3">
        <v>44365</v>
      </c>
      <c r="C40" t="s">
        <v>454</v>
      </c>
      <c r="D40">
        <v>2021</v>
      </c>
      <c r="E40" s="3">
        <v>44348</v>
      </c>
      <c r="F40" t="s">
        <v>268</v>
      </c>
      <c r="G40" t="s">
        <v>269</v>
      </c>
      <c r="H40">
        <v>271240</v>
      </c>
      <c r="I40">
        <v>710000</v>
      </c>
      <c r="J40">
        <v>0.38200000000000001</v>
      </c>
      <c r="K40">
        <v>2.6176080224155731</v>
      </c>
      <c r="L40" t="s">
        <v>13</v>
      </c>
      <c r="M40" t="s">
        <v>445</v>
      </c>
      <c r="N40" t="s">
        <v>759</v>
      </c>
    </row>
    <row r="41" spans="1:14" x14ac:dyDescent="0.35">
      <c r="A41">
        <v>200421</v>
      </c>
      <c r="B41" s="3">
        <v>44189</v>
      </c>
      <c r="C41" t="s">
        <v>450</v>
      </c>
      <c r="D41">
        <v>2020</v>
      </c>
      <c r="E41" s="3">
        <v>44166</v>
      </c>
      <c r="F41" t="s">
        <v>85</v>
      </c>
      <c r="G41" t="s">
        <v>89</v>
      </c>
      <c r="H41">
        <v>288190</v>
      </c>
      <c r="I41">
        <v>705000</v>
      </c>
      <c r="J41">
        <v>0.40870000000000001</v>
      </c>
      <c r="K41">
        <v>2.4463027863562234</v>
      </c>
      <c r="L41" t="s">
        <v>13</v>
      </c>
      <c r="M41" t="s">
        <v>445</v>
      </c>
      <c r="N41" t="s">
        <v>756</v>
      </c>
    </row>
    <row r="42" spans="1:14" x14ac:dyDescent="0.35">
      <c r="A42">
        <v>200258</v>
      </c>
      <c r="B42" s="3">
        <v>44218</v>
      </c>
      <c r="C42" t="s">
        <v>464</v>
      </c>
      <c r="D42">
        <v>2021</v>
      </c>
      <c r="E42" s="3">
        <v>44197</v>
      </c>
      <c r="F42" t="s">
        <v>29</v>
      </c>
      <c r="G42" t="s">
        <v>30</v>
      </c>
      <c r="H42">
        <v>530500</v>
      </c>
      <c r="I42">
        <v>700000</v>
      </c>
      <c r="J42">
        <v>0.75780000000000003</v>
      </c>
      <c r="K42">
        <v>1.3195098963242224</v>
      </c>
      <c r="L42" t="s">
        <v>13</v>
      </c>
      <c r="M42" t="s">
        <v>446</v>
      </c>
      <c r="N42" t="s">
        <v>766</v>
      </c>
    </row>
    <row r="43" spans="1:14" x14ac:dyDescent="0.35">
      <c r="A43">
        <v>2020313</v>
      </c>
      <c r="B43" s="3">
        <v>44378</v>
      </c>
      <c r="C43" t="s">
        <v>458</v>
      </c>
      <c r="D43">
        <v>2021</v>
      </c>
      <c r="E43" s="3">
        <v>44378</v>
      </c>
      <c r="F43" t="s">
        <v>19</v>
      </c>
      <c r="G43" t="s">
        <v>411</v>
      </c>
      <c r="H43">
        <v>412000</v>
      </c>
      <c r="I43">
        <v>677500</v>
      </c>
      <c r="J43">
        <v>0.60809999999999997</v>
      </c>
      <c r="K43">
        <v>1.6444174757281553</v>
      </c>
      <c r="L43" t="s">
        <v>13</v>
      </c>
      <c r="M43" t="s">
        <v>446</v>
      </c>
      <c r="N43" t="s">
        <v>766</v>
      </c>
    </row>
    <row r="44" spans="1:14" x14ac:dyDescent="0.35">
      <c r="A44">
        <v>2001286</v>
      </c>
      <c r="B44" s="3">
        <v>44285</v>
      </c>
      <c r="C44" t="s">
        <v>471</v>
      </c>
      <c r="D44">
        <v>2021</v>
      </c>
      <c r="E44" s="3">
        <v>44256</v>
      </c>
      <c r="F44" t="s">
        <v>181</v>
      </c>
      <c r="G44" t="s">
        <v>225</v>
      </c>
      <c r="H44">
        <v>438860</v>
      </c>
      <c r="I44">
        <v>652000</v>
      </c>
      <c r="J44">
        <v>0.67300000000000004</v>
      </c>
      <c r="K44">
        <v>1.4856674110194594</v>
      </c>
      <c r="L44" t="s">
        <v>13</v>
      </c>
      <c r="M44" t="s">
        <v>446</v>
      </c>
      <c r="N44" t="s">
        <v>762</v>
      </c>
    </row>
    <row r="45" spans="1:14" x14ac:dyDescent="0.35">
      <c r="A45">
        <v>200639</v>
      </c>
      <c r="B45" s="3">
        <v>44405</v>
      </c>
      <c r="C45" t="s">
        <v>458</v>
      </c>
      <c r="D45">
        <v>2021</v>
      </c>
      <c r="E45" s="3">
        <v>44378</v>
      </c>
      <c r="F45" t="s">
        <v>92</v>
      </c>
      <c r="G45" t="s">
        <v>94</v>
      </c>
      <c r="H45">
        <v>259770</v>
      </c>
      <c r="I45">
        <v>650000</v>
      </c>
      <c r="J45">
        <v>0.39964615399999998</v>
      </c>
      <c r="K45">
        <v>2.5022134965546443</v>
      </c>
      <c r="L45" t="s">
        <v>13</v>
      </c>
      <c r="M45" t="s">
        <v>445</v>
      </c>
      <c r="N45" t="s">
        <v>756</v>
      </c>
    </row>
    <row r="46" spans="1:14" x14ac:dyDescent="0.35">
      <c r="A46">
        <v>20200578</v>
      </c>
      <c r="B46" s="3">
        <v>44244</v>
      </c>
      <c r="C46" t="s">
        <v>460</v>
      </c>
      <c r="D46">
        <v>2021</v>
      </c>
      <c r="E46" s="3">
        <v>44228</v>
      </c>
      <c r="F46" t="s">
        <v>129</v>
      </c>
      <c r="G46" t="s">
        <v>238</v>
      </c>
      <c r="H46">
        <v>429800</v>
      </c>
      <c r="I46">
        <v>650000</v>
      </c>
      <c r="J46">
        <v>0.66120000000000001</v>
      </c>
      <c r="K46">
        <v>1.5123313168915775</v>
      </c>
      <c r="L46" t="s">
        <v>10</v>
      </c>
      <c r="M46" t="s">
        <v>446</v>
      </c>
      <c r="N46" t="s">
        <v>762</v>
      </c>
    </row>
    <row r="47" spans="1:14" x14ac:dyDescent="0.35">
      <c r="A47">
        <v>200804</v>
      </c>
      <c r="B47" s="3">
        <v>44467</v>
      </c>
      <c r="C47" t="s">
        <v>473</v>
      </c>
      <c r="D47">
        <v>2021</v>
      </c>
      <c r="E47" s="3">
        <v>44440</v>
      </c>
      <c r="F47" t="s">
        <v>29</v>
      </c>
      <c r="G47" t="s">
        <v>31</v>
      </c>
      <c r="H47">
        <v>455100</v>
      </c>
      <c r="I47">
        <v>650000</v>
      </c>
      <c r="J47">
        <v>0.70009999999999994</v>
      </c>
      <c r="K47">
        <v>1.4282575258185015</v>
      </c>
      <c r="L47" t="s">
        <v>10</v>
      </c>
      <c r="M47" t="s">
        <v>446</v>
      </c>
      <c r="N47" t="s">
        <v>766</v>
      </c>
    </row>
    <row r="48" spans="1:14" x14ac:dyDescent="0.35">
      <c r="A48">
        <v>200043</v>
      </c>
      <c r="B48" s="3">
        <v>44174</v>
      </c>
      <c r="C48" t="s">
        <v>450</v>
      </c>
      <c r="D48">
        <v>2020</v>
      </c>
      <c r="E48" s="3">
        <v>44166</v>
      </c>
      <c r="F48" t="s">
        <v>111</v>
      </c>
      <c r="G48" t="s">
        <v>112</v>
      </c>
      <c r="H48">
        <v>354040</v>
      </c>
      <c r="I48">
        <v>645000</v>
      </c>
      <c r="J48">
        <v>0.54879999999999995</v>
      </c>
      <c r="K48">
        <v>1.8218280420291493</v>
      </c>
      <c r="L48" t="s">
        <v>13</v>
      </c>
      <c r="M48" t="s">
        <v>446</v>
      </c>
      <c r="N48" t="s">
        <v>767</v>
      </c>
    </row>
    <row r="49" spans="1:14" x14ac:dyDescent="0.35">
      <c r="A49">
        <v>200042</v>
      </c>
      <c r="B49" s="3">
        <v>44335</v>
      </c>
      <c r="C49" t="s">
        <v>456</v>
      </c>
      <c r="D49">
        <v>2021</v>
      </c>
      <c r="E49" s="3">
        <v>44317</v>
      </c>
      <c r="F49" t="s">
        <v>413</v>
      </c>
      <c r="G49" t="s">
        <v>40</v>
      </c>
      <c r="H49">
        <v>355800</v>
      </c>
      <c r="I49">
        <v>599000</v>
      </c>
      <c r="J49">
        <v>0.59389999999999998</v>
      </c>
      <c r="K49">
        <v>1.6835300730747611</v>
      </c>
      <c r="L49" t="s">
        <v>13</v>
      </c>
      <c r="M49" t="s">
        <v>446</v>
      </c>
      <c r="N49" t="s">
        <v>755</v>
      </c>
    </row>
    <row r="50" spans="1:14" x14ac:dyDescent="0.35">
      <c r="A50">
        <v>70101</v>
      </c>
      <c r="B50" s="3">
        <v>39510</v>
      </c>
      <c r="C50" t="s">
        <v>471</v>
      </c>
      <c r="D50">
        <v>2008</v>
      </c>
      <c r="E50" s="3">
        <v>39508</v>
      </c>
      <c r="F50" t="s">
        <v>136</v>
      </c>
      <c r="G50" t="s">
        <v>300</v>
      </c>
      <c r="H50">
        <v>342230</v>
      </c>
      <c r="I50">
        <v>575000</v>
      </c>
      <c r="J50">
        <v>0.59518260899999997</v>
      </c>
      <c r="K50">
        <v>1.6801566198170821</v>
      </c>
      <c r="L50" t="s">
        <v>16</v>
      </c>
      <c r="M50" t="s">
        <v>446</v>
      </c>
      <c r="N50" t="s">
        <v>765</v>
      </c>
    </row>
    <row r="51" spans="1:14" x14ac:dyDescent="0.35">
      <c r="A51">
        <v>200002</v>
      </c>
      <c r="B51" s="3">
        <v>44105</v>
      </c>
      <c r="C51" t="s">
        <v>469</v>
      </c>
      <c r="D51">
        <v>2020</v>
      </c>
      <c r="E51" s="3">
        <v>44105</v>
      </c>
      <c r="F51" t="s">
        <v>130</v>
      </c>
      <c r="G51" t="s">
        <v>203</v>
      </c>
      <c r="H51">
        <v>439290</v>
      </c>
      <c r="I51">
        <v>575000</v>
      </c>
      <c r="J51">
        <v>0.76398260900000003</v>
      </c>
      <c r="K51">
        <v>1.3089303193789978</v>
      </c>
      <c r="L51" t="s">
        <v>13</v>
      </c>
      <c r="M51" t="s">
        <v>446</v>
      </c>
      <c r="N51" t="s">
        <v>754</v>
      </c>
    </row>
    <row r="52" spans="1:14" x14ac:dyDescent="0.35">
      <c r="A52">
        <v>160178</v>
      </c>
      <c r="B52" s="3">
        <v>42900</v>
      </c>
      <c r="C52" t="s">
        <v>454</v>
      </c>
      <c r="D52">
        <v>2017</v>
      </c>
      <c r="E52" s="3">
        <v>42887</v>
      </c>
      <c r="F52" t="s">
        <v>341</v>
      </c>
      <c r="G52" t="s">
        <v>398</v>
      </c>
      <c r="H52">
        <v>363600</v>
      </c>
      <c r="I52">
        <v>572500</v>
      </c>
      <c r="J52">
        <v>0.63510917</v>
      </c>
      <c r="K52">
        <v>1.5745324532453244</v>
      </c>
      <c r="L52" t="s">
        <v>16</v>
      </c>
      <c r="M52" t="s">
        <v>446</v>
      </c>
      <c r="N52" t="s">
        <v>768</v>
      </c>
    </row>
    <row r="53" spans="1:14" x14ac:dyDescent="0.35">
      <c r="A53">
        <v>20249</v>
      </c>
      <c r="B53" s="3">
        <v>44469</v>
      </c>
      <c r="C53" t="s">
        <v>473</v>
      </c>
      <c r="D53">
        <v>2021</v>
      </c>
      <c r="E53" s="3">
        <v>44440</v>
      </c>
      <c r="F53" t="s">
        <v>151</v>
      </c>
      <c r="G53" t="s">
        <v>183</v>
      </c>
      <c r="H53">
        <v>297700</v>
      </c>
      <c r="I53">
        <v>550000</v>
      </c>
      <c r="J53">
        <v>0.54120000000000001</v>
      </c>
      <c r="K53">
        <v>1.8474974806852535</v>
      </c>
      <c r="L53" t="s">
        <v>13</v>
      </c>
      <c r="M53" t="s">
        <v>446</v>
      </c>
      <c r="N53" t="s">
        <v>768</v>
      </c>
    </row>
    <row r="54" spans="1:14" x14ac:dyDescent="0.35">
      <c r="A54">
        <v>200742</v>
      </c>
      <c r="B54" s="3">
        <v>44284</v>
      </c>
      <c r="C54" t="s">
        <v>471</v>
      </c>
      <c r="D54">
        <v>2021</v>
      </c>
      <c r="E54" s="3">
        <v>44256</v>
      </c>
      <c r="F54" t="s">
        <v>56</v>
      </c>
      <c r="G54" t="s">
        <v>57</v>
      </c>
      <c r="H54">
        <v>339100</v>
      </c>
      <c r="I54">
        <v>550000</v>
      </c>
      <c r="J54">
        <v>0.61650000000000005</v>
      </c>
      <c r="K54">
        <v>1.6219404305514598</v>
      </c>
      <c r="L54" t="s">
        <v>13</v>
      </c>
      <c r="M54" t="s">
        <v>446</v>
      </c>
      <c r="N54" t="s">
        <v>758</v>
      </c>
    </row>
    <row r="55" spans="1:14" x14ac:dyDescent="0.35">
      <c r="A55">
        <v>200151</v>
      </c>
      <c r="B55" s="3">
        <v>44179</v>
      </c>
      <c r="C55" t="s">
        <v>450</v>
      </c>
      <c r="D55">
        <v>2020</v>
      </c>
      <c r="E55" s="3">
        <v>44166</v>
      </c>
      <c r="F55" t="s">
        <v>68</v>
      </c>
      <c r="G55" t="s">
        <v>79</v>
      </c>
      <c r="H55">
        <v>356410</v>
      </c>
      <c r="I55">
        <v>550000</v>
      </c>
      <c r="J55">
        <v>0.64800000000000002</v>
      </c>
      <c r="K55">
        <v>1.543166577817682</v>
      </c>
      <c r="L55" t="s">
        <v>13</v>
      </c>
      <c r="M55" t="s">
        <v>446</v>
      </c>
      <c r="N55" t="s">
        <v>769</v>
      </c>
    </row>
    <row r="56" spans="1:14" x14ac:dyDescent="0.35">
      <c r="A56">
        <v>70561</v>
      </c>
      <c r="B56" s="3">
        <v>39702</v>
      </c>
      <c r="C56" t="s">
        <v>473</v>
      </c>
      <c r="D56">
        <v>2008</v>
      </c>
      <c r="E56" s="3">
        <v>39692</v>
      </c>
      <c r="F56" t="s">
        <v>206</v>
      </c>
      <c r="G56" t="s">
        <v>303</v>
      </c>
      <c r="H56">
        <v>342650</v>
      </c>
      <c r="I56">
        <v>542500</v>
      </c>
      <c r="J56">
        <v>0.63161290299999995</v>
      </c>
      <c r="K56">
        <v>1.5832482124616956</v>
      </c>
      <c r="L56" t="s">
        <v>16</v>
      </c>
      <c r="M56" t="s">
        <v>446</v>
      </c>
      <c r="N56" t="s">
        <v>762</v>
      </c>
    </row>
    <row r="57" spans="1:14" x14ac:dyDescent="0.35">
      <c r="A57">
        <v>2001590</v>
      </c>
      <c r="B57" s="3">
        <v>44333</v>
      </c>
      <c r="C57" t="s">
        <v>456</v>
      </c>
      <c r="D57">
        <v>2021</v>
      </c>
      <c r="E57" s="3">
        <v>44317</v>
      </c>
      <c r="F57" t="s">
        <v>181</v>
      </c>
      <c r="G57" t="s">
        <v>228</v>
      </c>
      <c r="H57">
        <v>423700</v>
      </c>
      <c r="I57">
        <v>533350</v>
      </c>
      <c r="J57">
        <v>0.7944</v>
      </c>
      <c r="K57">
        <v>1.2587915978286524</v>
      </c>
      <c r="L57" t="s">
        <v>13</v>
      </c>
      <c r="M57" t="s">
        <v>446</v>
      </c>
      <c r="N57" t="s">
        <v>762</v>
      </c>
    </row>
    <row r="58" spans="1:14" x14ac:dyDescent="0.35">
      <c r="A58">
        <v>141056</v>
      </c>
      <c r="B58" s="3">
        <v>42157</v>
      </c>
      <c r="C58" t="s">
        <v>454</v>
      </c>
      <c r="D58">
        <v>2015</v>
      </c>
      <c r="E58" s="3">
        <v>42156</v>
      </c>
      <c r="F58" t="s">
        <v>181</v>
      </c>
      <c r="G58" t="s">
        <v>359</v>
      </c>
      <c r="H58">
        <v>314280</v>
      </c>
      <c r="I58">
        <v>526000</v>
      </c>
      <c r="J58">
        <v>0.59749049399999998</v>
      </c>
      <c r="K58">
        <v>1.673666793941708</v>
      </c>
      <c r="L58" t="s">
        <v>16</v>
      </c>
      <c r="M58" t="s">
        <v>446</v>
      </c>
      <c r="N58" t="s">
        <v>762</v>
      </c>
    </row>
    <row r="59" spans="1:14" x14ac:dyDescent="0.35">
      <c r="A59">
        <v>201580</v>
      </c>
      <c r="B59" s="3">
        <v>44466</v>
      </c>
      <c r="C59" t="s">
        <v>473</v>
      </c>
      <c r="D59">
        <v>2021</v>
      </c>
      <c r="E59" s="3">
        <v>44440</v>
      </c>
      <c r="F59" t="s">
        <v>56</v>
      </c>
      <c r="G59" t="s">
        <v>62</v>
      </c>
      <c r="H59">
        <v>192300</v>
      </c>
      <c r="I59">
        <v>525000</v>
      </c>
      <c r="J59">
        <v>0.36628571399999998</v>
      </c>
      <c r="K59">
        <v>2.7301092043681749</v>
      </c>
      <c r="L59" t="s">
        <v>13</v>
      </c>
      <c r="M59" t="s">
        <v>445</v>
      </c>
      <c r="N59" t="s">
        <v>758</v>
      </c>
    </row>
    <row r="60" spans="1:14" x14ac:dyDescent="0.35">
      <c r="A60">
        <v>200374</v>
      </c>
      <c r="B60" s="3">
        <v>44256</v>
      </c>
      <c r="C60" t="s">
        <v>471</v>
      </c>
      <c r="D60">
        <v>2021</v>
      </c>
      <c r="E60" s="3">
        <v>44256</v>
      </c>
      <c r="F60" t="s">
        <v>206</v>
      </c>
      <c r="G60" t="s">
        <v>209</v>
      </c>
      <c r="H60">
        <v>227500</v>
      </c>
      <c r="I60">
        <v>525000</v>
      </c>
      <c r="J60">
        <v>0.43330000000000002</v>
      </c>
      <c r="K60">
        <v>2.3076923076923075</v>
      </c>
      <c r="L60" t="s">
        <v>13</v>
      </c>
      <c r="M60" t="s">
        <v>445</v>
      </c>
      <c r="N60" t="s">
        <v>762</v>
      </c>
    </row>
    <row r="61" spans="1:14" x14ac:dyDescent="0.35">
      <c r="A61">
        <v>201023</v>
      </c>
      <c r="B61" s="3">
        <v>44403</v>
      </c>
      <c r="C61" t="s">
        <v>458</v>
      </c>
      <c r="D61">
        <v>2021</v>
      </c>
      <c r="E61" s="3">
        <v>44378</v>
      </c>
      <c r="F61" t="s">
        <v>98</v>
      </c>
      <c r="G61" t="s">
        <v>104</v>
      </c>
      <c r="H61">
        <v>435610</v>
      </c>
      <c r="I61">
        <v>525000</v>
      </c>
      <c r="J61">
        <v>0.82969999999999999</v>
      </c>
      <c r="K61">
        <v>1.2052064920456371</v>
      </c>
      <c r="L61" t="s">
        <v>10</v>
      </c>
      <c r="M61" t="s">
        <v>446</v>
      </c>
      <c r="N61" t="s">
        <v>770</v>
      </c>
    </row>
    <row r="62" spans="1:14" x14ac:dyDescent="0.35">
      <c r="A62">
        <v>200827</v>
      </c>
      <c r="B62" s="3">
        <v>44446</v>
      </c>
      <c r="C62" t="s">
        <v>473</v>
      </c>
      <c r="D62">
        <v>2021</v>
      </c>
      <c r="E62" s="3">
        <v>44440</v>
      </c>
      <c r="F62" t="s">
        <v>83</v>
      </c>
      <c r="G62" t="s">
        <v>422</v>
      </c>
      <c r="H62">
        <v>332000</v>
      </c>
      <c r="I62">
        <v>520000</v>
      </c>
      <c r="J62">
        <v>0.63839999999999997</v>
      </c>
      <c r="K62">
        <v>1.5662650602409638</v>
      </c>
      <c r="L62" t="s">
        <v>13</v>
      </c>
      <c r="M62" t="s">
        <v>446</v>
      </c>
      <c r="N62" t="s">
        <v>756</v>
      </c>
    </row>
    <row r="63" spans="1:14" x14ac:dyDescent="0.35">
      <c r="A63">
        <v>200140</v>
      </c>
      <c r="B63" s="3">
        <v>44314</v>
      </c>
      <c r="C63" t="s">
        <v>452</v>
      </c>
      <c r="D63">
        <v>2021</v>
      </c>
      <c r="E63" s="3">
        <v>44287</v>
      </c>
      <c r="F63" t="s">
        <v>77</v>
      </c>
      <c r="G63" t="s">
        <v>421</v>
      </c>
      <c r="H63">
        <v>335800</v>
      </c>
      <c r="I63">
        <v>520000</v>
      </c>
      <c r="J63">
        <v>0.64570000000000005</v>
      </c>
      <c r="K63">
        <v>1.5485407980941037</v>
      </c>
      <c r="L63" t="s">
        <v>13</v>
      </c>
      <c r="M63" t="s">
        <v>446</v>
      </c>
      <c r="N63" t="s">
        <v>760</v>
      </c>
    </row>
    <row r="64" spans="1:14" x14ac:dyDescent="0.35">
      <c r="A64">
        <v>200499</v>
      </c>
      <c r="B64" s="3">
        <v>44449</v>
      </c>
      <c r="C64" t="s">
        <v>473</v>
      </c>
      <c r="D64">
        <v>2021</v>
      </c>
      <c r="E64" s="3">
        <v>44440</v>
      </c>
      <c r="F64" t="s">
        <v>69</v>
      </c>
      <c r="G64" t="s">
        <v>418</v>
      </c>
      <c r="H64">
        <v>233660</v>
      </c>
      <c r="I64">
        <v>517000</v>
      </c>
      <c r="J64">
        <v>0.45190000000000002</v>
      </c>
      <c r="K64">
        <v>2.2126166224428658</v>
      </c>
      <c r="L64" t="s">
        <v>13</v>
      </c>
      <c r="M64" t="s">
        <v>445</v>
      </c>
      <c r="N64" t="s">
        <v>760</v>
      </c>
    </row>
    <row r="65" spans="1:14" x14ac:dyDescent="0.35">
      <c r="A65">
        <v>130962</v>
      </c>
      <c r="B65" s="3">
        <v>41890</v>
      </c>
      <c r="C65" t="s">
        <v>473</v>
      </c>
      <c r="D65">
        <v>2014</v>
      </c>
      <c r="E65" s="3">
        <v>41883</v>
      </c>
      <c r="F65" t="s">
        <v>260</v>
      </c>
      <c r="G65" t="s">
        <v>356</v>
      </c>
      <c r="H65">
        <v>301070</v>
      </c>
      <c r="I65">
        <v>515000</v>
      </c>
      <c r="J65">
        <v>0.58460194200000004</v>
      </c>
      <c r="K65">
        <v>1.7105656491845751</v>
      </c>
      <c r="L65" t="s">
        <v>16</v>
      </c>
      <c r="M65" t="s">
        <v>446</v>
      </c>
      <c r="N65" t="s">
        <v>769</v>
      </c>
    </row>
    <row r="66" spans="1:14" x14ac:dyDescent="0.35">
      <c r="A66">
        <v>20588</v>
      </c>
      <c r="B66" s="3">
        <v>44406</v>
      </c>
      <c r="C66" t="s">
        <v>458</v>
      </c>
      <c r="D66">
        <v>2021</v>
      </c>
      <c r="E66" s="3">
        <v>44378</v>
      </c>
      <c r="F66" t="s">
        <v>216</v>
      </c>
      <c r="G66" t="s">
        <v>218</v>
      </c>
      <c r="H66">
        <v>235950</v>
      </c>
      <c r="I66">
        <v>510000</v>
      </c>
      <c r="J66">
        <v>0.46260000000000001</v>
      </c>
      <c r="K66">
        <v>2.1614748887476161</v>
      </c>
      <c r="L66" t="s">
        <v>13</v>
      </c>
      <c r="M66" t="s">
        <v>445</v>
      </c>
      <c r="N66" t="s">
        <v>762</v>
      </c>
    </row>
    <row r="67" spans="1:14" x14ac:dyDescent="0.35">
      <c r="A67">
        <v>20742</v>
      </c>
      <c r="B67" s="3">
        <v>44438</v>
      </c>
      <c r="C67" t="s">
        <v>462</v>
      </c>
      <c r="D67">
        <v>2021</v>
      </c>
      <c r="E67" s="3">
        <v>44409</v>
      </c>
      <c r="F67" t="s">
        <v>166</v>
      </c>
      <c r="G67" t="s">
        <v>168</v>
      </c>
      <c r="H67">
        <v>325640</v>
      </c>
      <c r="I67">
        <v>508000</v>
      </c>
      <c r="J67">
        <v>0.64100000000000001</v>
      </c>
      <c r="K67">
        <v>1.5600049134013021</v>
      </c>
      <c r="L67" t="s">
        <v>13</v>
      </c>
      <c r="M67" t="s">
        <v>446</v>
      </c>
      <c r="N67" t="s">
        <v>757</v>
      </c>
    </row>
    <row r="68" spans="1:14" x14ac:dyDescent="0.35">
      <c r="A68">
        <v>150034</v>
      </c>
      <c r="B68" s="3">
        <v>42494</v>
      </c>
      <c r="C68" t="s">
        <v>456</v>
      </c>
      <c r="D68">
        <v>2016</v>
      </c>
      <c r="E68" s="3">
        <v>42491</v>
      </c>
      <c r="F68" t="s">
        <v>135</v>
      </c>
      <c r="G68" t="s">
        <v>431</v>
      </c>
      <c r="H68">
        <v>309800</v>
      </c>
      <c r="I68">
        <v>505000</v>
      </c>
      <c r="J68">
        <v>0.61346534699999999</v>
      </c>
      <c r="K68">
        <v>1.6300839251129762</v>
      </c>
      <c r="L68" t="s">
        <v>16</v>
      </c>
      <c r="M68" t="s">
        <v>446</v>
      </c>
      <c r="N68" t="s">
        <v>762</v>
      </c>
    </row>
    <row r="69" spans="1:14" x14ac:dyDescent="0.35">
      <c r="A69">
        <v>70535</v>
      </c>
      <c r="B69" s="3">
        <v>39570</v>
      </c>
      <c r="C69" t="s">
        <v>456</v>
      </c>
      <c r="D69">
        <v>2008</v>
      </c>
      <c r="E69" s="3">
        <v>39569</v>
      </c>
      <c r="F69" t="s">
        <v>192</v>
      </c>
      <c r="G69" t="s">
        <v>305</v>
      </c>
      <c r="H69">
        <v>235800</v>
      </c>
      <c r="I69">
        <v>487710</v>
      </c>
      <c r="J69">
        <v>0.483484038</v>
      </c>
      <c r="K69">
        <v>2.0683206106870231</v>
      </c>
      <c r="L69" t="s">
        <v>16</v>
      </c>
      <c r="M69" t="s">
        <v>445</v>
      </c>
      <c r="N69" t="s">
        <v>759</v>
      </c>
    </row>
    <row r="70" spans="1:14" x14ac:dyDescent="0.35">
      <c r="A70">
        <v>200080</v>
      </c>
      <c r="B70" s="3">
        <v>44140</v>
      </c>
      <c r="C70" t="s">
        <v>475</v>
      </c>
      <c r="D70">
        <v>2020</v>
      </c>
      <c r="E70" s="3">
        <v>44136</v>
      </c>
      <c r="F70" t="s">
        <v>96</v>
      </c>
      <c r="G70" t="s">
        <v>425</v>
      </c>
      <c r="H70">
        <v>239550</v>
      </c>
      <c r="I70">
        <v>480000</v>
      </c>
      <c r="J70">
        <v>0.499</v>
      </c>
      <c r="K70">
        <v>2.0037570444583594</v>
      </c>
      <c r="L70" t="s">
        <v>13</v>
      </c>
      <c r="M70" t="s">
        <v>445</v>
      </c>
      <c r="N70" t="s">
        <v>756</v>
      </c>
    </row>
    <row r="71" spans="1:14" x14ac:dyDescent="0.35">
      <c r="A71">
        <v>200282</v>
      </c>
      <c r="B71" s="3">
        <v>44392</v>
      </c>
      <c r="C71" t="s">
        <v>458</v>
      </c>
      <c r="D71">
        <v>2021</v>
      </c>
      <c r="E71" s="3">
        <v>44378</v>
      </c>
      <c r="F71" t="s">
        <v>52</v>
      </c>
      <c r="G71" t="s">
        <v>414</v>
      </c>
      <c r="H71">
        <v>359800</v>
      </c>
      <c r="I71">
        <v>480000</v>
      </c>
      <c r="J71">
        <v>0.74950000000000006</v>
      </c>
      <c r="K71">
        <v>1.3340744858254585</v>
      </c>
      <c r="L71" t="s">
        <v>10</v>
      </c>
      <c r="M71" t="s">
        <v>446</v>
      </c>
      <c r="N71" t="s">
        <v>755</v>
      </c>
    </row>
    <row r="72" spans="1:14" x14ac:dyDescent="0.35">
      <c r="A72">
        <v>162511</v>
      </c>
      <c r="B72" s="3">
        <v>42985</v>
      </c>
      <c r="C72" t="s">
        <v>473</v>
      </c>
      <c r="D72">
        <v>2017</v>
      </c>
      <c r="E72" s="3">
        <v>42979</v>
      </c>
      <c r="F72" t="s">
        <v>206</v>
      </c>
      <c r="G72" t="s">
        <v>393</v>
      </c>
      <c r="H72">
        <v>306950</v>
      </c>
      <c r="I72">
        <v>476549</v>
      </c>
      <c r="J72">
        <v>0.64411004999999999</v>
      </c>
      <c r="K72">
        <v>1.5525297279687245</v>
      </c>
      <c r="L72" t="s">
        <v>16</v>
      </c>
      <c r="M72" t="s">
        <v>446</v>
      </c>
      <c r="N72" t="s">
        <v>762</v>
      </c>
    </row>
    <row r="73" spans="1:14" x14ac:dyDescent="0.35">
      <c r="A73">
        <v>200145</v>
      </c>
      <c r="B73" s="3">
        <v>44417</v>
      </c>
      <c r="C73" t="s">
        <v>462</v>
      </c>
      <c r="D73">
        <v>2021</v>
      </c>
      <c r="E73" s="3">
        <v>44409</v>
      </c>
      <c r="F73" t="s">
        <v>157</v>
      </c>
      <c r="G73" t="s">
        <v>158</v>
      </c>
      <c r="H73">
        <v>238980</v>
      </c>
      <c r="I73">
        <v>460000</v>
      </c>
      <c r="J73">
        <v>0.51949999999999996</v>
      </c>
      <c r="K73">
        <v>1.9248472675537702</v>
      </c>
      <c r="L73" t="s">
        <v>13</v>
      </c>
      <c r="M73" t="s">
        <v>446</v>
      </c>
      <c r="N73" t="s">
        <v>757</v>
      </c>
    </row>
    <row r="74" spans="1:14" x14ac:dyDescent="0.35">
      <c r="A74">
        <v>200359</v>
      </c>
      <c r="B74" s="3">
        <v>44263</v>
      </c>
      <c r="C74" t="s">
        <v>471</v>
      </c>
      <c r="D74">
        <v>2021</v>
      </c>
      <c r="E74" s="3">
        <v>44256</v>
      </c>
      <c r="F74" t="s">
        <v>252</v>
      </c>
      <c r="G74" t="s">
        <v>253</v>
      </c>
      <c r="H74">
        <v>256550</v>
      </c>
      <c r="I74">
        <v>451000</v>
      </c>
      <c r="J74">
        <v>0.56879999999999997</v>
      </c>
      <c r="K74">
        <v>1.7579419216526992</v>
      </c>
      <c r="L74" t="s">
        <v>13</v>
      </c>
      <c r="M74" t="s">
        <v>446</v>
      </c>
      <c r="N74" t="s">
        <v>763</v>
      </c>
    </row>
    <row r="75" spans="1:14" x14ac:dyDescent="0.35">
      <c r="A75">
        <v>20761</v>
      </c>
      <c r="B75" s="3">
        <v>44344</v>
      </c>
      <c r="C75" t="s">
        <v>456</v>
      </c>
      <c r="D75">
        <v>2021</v>
      </c>
      <c r="E75" s="3">
        <v>44317</v>
      </c>
      <c r="F75" t="s">
        <v>146</v>
      </c>
      <c r="G75" t="s">
        <v>148</v>
      </c>
      <c r="H75">
        <v>212310</v>
      </c>
      <c r="I75">
        <v>450000</v>
      </c>
      <c r="J75">
        <v>0.4718</v>
      </c>
      <c r="K75">
        <v>2.1195421788893598</v>
      </c>
      <c r="L75" t="s">
        <v>103</v>
      </c>
      <c r="M75" t="s">
        <v>445</v>
      </c>
      <c r="N75" t="s">
        <v>757</v>
      </c>
    </row>
    <row r="76" spans="1:14" x14ac:dyDescent="0.35">
      <c r="A76">
        <v>201007</v>
      </c>
      <c r="B76" s="3">
        <v>44277</v>
      </c>
      <c r="C76" t="s">
        <v>471</v>
      </c>
      <c r="D76">
        <v>2021</v>
      </c>
      <c r="E76" s="3">
        <v>44256</v>
      </c>
      <c r="F76" t="s">
        <v>122</v>
      </c>
      <c r="G76" t="s">
        <v>172</v>
      </c>
      <c r="H76">
        <v>261800</v>
      </c>
      <c r="I76">
        <v>450000</v>
      </c>
      <c r="J76">
        <v>0.58169999999999999</v>
      </c>
      <c r="K76">
        <v>1.7188693659281895</v>
      </c>
      <c r="L76" t="s">
        <v>13</v>
      </c>
      <c r="M76" t="s">
        <v>446</v>
      </c>
      <c r="N76" t="s">
        <v>757</v>
      </c>
    </row>
    <row r="77" spans="1:14" x14ac:dyDescent="0.35">
      <c r="A77">
        <v>202281</v>
      </c>
      <c r="B77" s="3">
        <v>44446</v>
      </c>
      <c r="C77" t="s">
        <v>473</v>
      </c>
      <c r="D77">
        <v>2021</v>
      </c>
      <c r="E77" s="3">
        <v>44440</v>
      </c>
      <c r="F77" t="s">
        <v>170</v>
      </c>
      <c r="G77" t="s">
        <v>171</v>
      </c>
      <c r="H77">
        <v>276010</v>
      </c>
      <c r="I77">
        <v>443165</v>
      </c>
      <c r="J77">
        <v>0.62280000000000002</v>
      </c>
      <c r="K77">
        <v>1.6056121155030614</v>
      </c>
      <c r="L77" t="s">
        <v>13</v>
      </c>
      <c r="M77" t="s">
        <v>446</v>
      </c>
      <c r="N77" t="s">
        <v>757</v>
      </c>
    </row>
    <row r="78" spans="1:14" x14ac:dyDescent="0.35">
      <c r="A78">
        <v>20360</v>
      </c>
      <c r="B78" s="3">
        <v>44218</v>
      </c>
      <c r="C78" t="s">
        <v>464</v>
      </c>
      <c r="D78">
        <v>2021</v>
      </c>
      <c r="E78" s="3">
        <v>44197</v>
      </c>
      <c r="F78" t="s">
        <v>98</v>
      </c>
      <c r="G78" t="s">
        <v>99</v>
      </c>
      <c r="H78">
        <v>173670</v>
      </c>
      <c r="I78">
        <v>439900</v>
      </c>
      <c r="J78">
        <v>0.3947</v>
      </c>
      <c r="K78">
        <v>2.5329648183336211</v>
      </c>
      <c r="L78" t="s">
        <v>10</v>
      </c>
      <c r="M78" t="s">
        <v>445</v>
      </c>
      <c r="N78" t="s">
        <v>770</v>
      </c>
    </row>
    <row r="79" spans="1:14" x14ac:dyDescent="0.35">
      <c r="A79">
        <v>200552</v>
      </c>
      <c r="B79" s="3">
        <v>44462</v>
      </c>
      <c r="C79" t="s">
        <v>473</v>
      </c>
      <c r="D79">
        <v>2021</v>
      </c>
      <c r="E79" s="3">
        <v>44440</v>
      </c>
      <c r="F79" t="s">
        <v>180</v>
      </c>
      <c r="G79" t="s">
        <v>237</v>
      </c>
      <c r="H79">
        <v>213100</v>
      </c>
      <c r="I79">
        <v>435000</v>
      </c>
      <c r="J79">
        <v>0.48980000000000001</v>
      </c>
      <c r="K79">
        <v>2.0412951665884562</v>
      </c>
      <c r="L79" t="s">
        <v>13</v>
      </c>
      <c r="M79" t="s">
        <v>445</v>
      </c>
      <c r="N79" t="s">
        <v>762</v>
      </c>
    </row>
    <row r="80" spans="1:14" x14ac:dyDescent="0.35">
      <c r="A80">
        <v>20002</v>
      </c>
      <c r="B80" s="3">
        <v>44106</v>
      </c>
      <c r="C80" t="s">
        <v>469</v>
      </c>
      <c r="D80">
        <v>2020</v>
      </c>
      <c r="E80" s="3">
        <v>44105</v>
      </c>
      <c r="F80" t="s">
        <v>11</v>
      </c>
      <c r="G80" t="s">
        <v>12</v>
      </c>
      <c r="H80">
        <v>253000</v>
      </c>
      <c r="I80">
        <v>430000</v>
      </c>
      <c r="J80">
        <v>0.58830000000000005</v>
      </c>
      <c r="K80">
        <v>1.6996047430830039</v>
      </c>
      <c r="L80" t="s">
        <v>13</v>
      </c>
      <c r="M80" t="s">
        <v>446</v>
      </c>
      <c r="N80" t="s">
        <v>761</v>
      </c>
    </row>
    <row r="81" spans="1:14" x14ac:dyDescent="0.35">
      <c r="A81">
        <v>60890</v>
      </c>
      <c r="B81" s="3">
        <v>39190</v>
      </c>
      <c r="C81" t="s">
        <v>452</v>
      </c>
      <c r="D81">
        <v>2007</v>
      </c>
      <c r="E81" s="3">
        <v>39173</v>
      </c>
      <c r="F81" t="s">
        <v>122</v>
      </c>
      <c r="G81" t="s">
        <v>287</v>
      </c>
      <c r="H81">
        <v>44653</v>
      </c>
      <c r="I81">
        <v>429000</v>
      </c>
      <c r="J81">
        <v>0.10408624700000001</v>
      </c>
      <c r="K81">
        <v>9.6074171948133387</v>
      </c>
      <c r="L81" t="s">
        <v>16</v>
      </c>
      <c r="M81" t="s">
        <v>445</v>
      </c>
      <c r="N81" t="s">
        <v>757</v>
      </c>
    </row>
    <row r="82" spans="1:14" x14ac:dyDescent="0.35">
      <c r="A82">
        <v>162063</v>
      </c>
      <c r="B82" s="3">
        <v>43005</v>
      </c>
      <c r="C82" t="s">
        <v>473</v>
      </c>
      <c r="D82">
        <v>2017</v>
      </c>
      <c r="E82" s="3">
        <v>42979</v>
      </c>
      <c r="F82" t="s">
        <v>181</v>
      </c>
      <c r="G82" t="s">
        <v>395</v>
      </c>
      <c r="H82">
        <v>8190</v>
      </c>
      <c r="I82">
        <v>427500</v>
      </c>
      <c r="J82">
        <v>1.9157895000000001E-2</v>
      </c>
      <c r="K82">
        <v>52.197802197802197</v>
      </c>
      <c r="L82" t="s">
        <v>16</v>
      </c>
      <c r="M82" t="s">
        <v>445</v>
      </c>
      <c r="N82" t="s">
        <v>762</v>
      </c>
    </row>
    <row r="83" spans="1:14" x14ac:dyDescent="0.35">
      <c r="A83">
        <v>200125</v>
      </c>
      <c r="B83" s="3">
        <v>44286</v>
      </c>
      <c r="C83" t="s">
        <v>471</v>
      </c>
      <c r="D83">
        <v>2021</v>
      </c>
      <c r="E83" s="3">
        <v>44256</v>
      </c>
      <c r="F83" t="s">
        <v>77</v>
      </c>
      <c r="G83" t="s">
        <v>78</v>
      </c>
      <c r="H83">
        <v>220500</v>
      </c>
      <c r="I83">
        <v>425000</v>
      </c>
      <c r="J83">
        <v>0.51880000000000004</v>
      </c>
      <c r="K83">
        <v>1.9274376417233561</v>
      </c>
      <c r="L83" t="s">
        <v>13</v>
      </c>
      <c r="M83" t="s">
        <v>446</v>
      </c>
      <c r="N83" t="s">
        <v>760</v>
      </c>
    </row>
    <row r="84" spans="1:14" x14ac:dyDescent="0.35">
      <c r="A84">
        <v>200236</v>
      </c>
      <c r="B84" s="3">
        <v>44273</v>
      </c>
      <c r="C84" t="s">
        <v>471</v>
      </c>
      <c r="D84">
        <v>2021</v>
      </c>
      <c r="E84" s="3">
        <v>44256</v>
      </c>
      <c r="F84" t="s">
        <v>69</v>
      </c>
      <c r="G84" t="s">
        <v>70</v>
      </c>
      <c r="H84">
        <v>238140</v>
      </c>
      <c r="I84">
        <v>421000</v>
      </c>
      <c r="J84">
        <v>0.56559999999999999</v>
      </c>
      <c r="K84">
        <v>1.7678676408835139</v>
      </c>
      <c r="L84" t="s">
        <v>13</v>
      </c>
      <c r="M84" t="s">
        <v>446</v>
      </c>
      <c r="N84" t="s">
        <v>760</v>
      </c>
    </row>
    <row r="85" spans="1:14" x14ac:dyDescent="0.35">
      <c r="A85">
        <v>200599</v>
      </c>
      <c r="B85" s="3">
        <v>44379</v>
      </c>
      <c r="C85" t="s">
        <v>458</v>
      </c>
      <c r="D85">
        <v>2021</v>
      </c>
      <c r="E85" s="3">
        <v>44378</v>
      </c>
      <c r="F85" t="s">
        <v>252</v>
      </c>
      <c r="G85" t="s">
        <v>254</v>
      </c>
      <c r="H85">
        <v>237440</v>
      </c>
      <c r="I85">
        <v>420000</v>
      </c>
      <c r="J85">
        <v>0.56530000000000002</v>
      </c>
      <c r="K85">
        <v>1.7688679245283019</v>
      </c>
      <c r="L85" t="s">
        <v>13</v>
      </c>
      <c r="M85" t="s">
        <v>446</v>
      </c>
      <c r="N85" t="s">
        <v>763</v>
      </c>
    </row>
    <row r="86" spans="1:14" x14ac:dyDescent="0.35">
      <c r="A86">
        <v>200078</v>
      </c>
      <c r="B86" s="3">
        <v>44459</v>
      </c>
      <c r="C86" t="s">
        <v>473</v>
      </c>
      <c r="D86">
        <v>2021</v>
      </c>
      <c r="E86" s="3">
        <v>44440</v>
      </c>
      <c r="F86" t="s">
        <v>46</v>
      </c>
      <c r="G86" t="s">
        <v>47</v>
      </c>
      <c r="H86">
        <v>250100</v>
      </c>
      <c r="I86">
        <v>418800</v>
      </c>
      <c r="J86">
        <v>0.59709999999999996</v>
      </c>
      <c r="K86">
        <v>1.67453018792483</v>
      </c>
      <c r="L86" t="s">
        <v>13</v>
      </c>
      <c r="M86" t="s">
        <v>446</v>
      </c>
      <c r="N86" t="s">
        <v>755</v>
      </c>
    </row>
    <row r="87" spans="1:14" x14ac:dyDescent="0.35">
      <c r="A87">
        <v>200305</v>
      </c>
      <c r="B87" s="3">
        <v>44222</v>
      </c>
      <c r="C87" t="s">
        <v>464</v>
      </c>
      <c r="D87">
        <v>2021</v>
      </c>
      <c r="E87" s="3">
        <v>44197</v>
      </c>
      <c r="F87" t="s">
        <v>73</v>
      </c>
      <c r="G87" t="s">
        <v>419</v>
      </c>
      <c r="H87">
        <v>233660</v>
      </c>
      <c r="I87">
        <v>410000</v>
      </c>
      <c r="J87">
        <v>0.56989999999999996</v>
      </c>
      <c r="K87">
        <v>1.7546862963279979</v>
      </c>
      <c r="L87" t="s">
        <v>13</v>
      </c>
      <c r="M87" t="s">
        <v>446</v>
      </c>
      <c r="N87" t="s">
        <v>760</v>
      </c>
    </row>
    <row r="88" spans="1:14" x14ac:dyDescent="0.35">
      <c r="A88">
        <v>2001493</v>
      </c>
      <c r="B88" s="3">
        <v>44319</v>
      </c>
      <c r="C88" t="s">
        <v>456</v>
      </c>
      <c r="D88">
        <v>2021</v>
      </c>
      <c r="E88" s="3">
        <v>44317</v>
      </c>
      <c r="F88" t="s">
        <v>181</v>
      </c>
      <c r="G88" t="s">
        <v>226</v>
      </c>
      <c r="H88">
        <v>238890</v>
      </c>
      <c r="I88">
        <v>400000</v>
      </c>
      <c r="J88">
        <v>0.59719999999999995</v>
      </c>
      <c r="K88">
        <v>1.6744108166938758</v>
      </c>
      <c r="L88" t="s">
        <v>13</v>
      </c>
      <c r="M88" t="s">
        <v>446</v>
      </c>
      <c r="N88" t="s">
        <v>762</v>
      </c>
    </row>
    <row r="89" spans="1:14" x14ac:dyDescent="0.35">
      <c r="A89">
        <v>201057</v>
      </c>
      <c r="B89" s="3">
        <v>44420</v>
      </c>
      <c r="C89" t="s">
        <v>462</v>
      </c>
      <c r="D89">
        <v>2021</v>
      </c>
      <c r="E89" s="3">
        <v>44409</v>
      </c>
      <c r="F89" t="s">
        <v>146</v>
      </c>
      <c r="G89" t="s">
        <v>149</v>
      </c>
      <c r="H89">
        <v>264390</v>
      </c>
      <c r="I89">
        <v>400000</v>
      </c>
      <c r="J89">
        <v>0.66090000000000004</v>
      </c>
      <c r="K89">
        <v>1.5129165248307426</v>
      </c>
      <c r="L89" t="s">
        <v>10</v>
      </c>
      <c r="M89" t="s">
        <v>446</v>
      </c>
      <c r="N89" t="s">
        <v>757</v>
      </c>
    </row>
    <row r="90" spans="1:14" x14ac:dyDescent="0.35">
      <c r="A90">
        <v>20200824</v>
      </c>
      <c r="B90" s="3">
        <v>44319</v>
      </c>
      <c r="C90" t="s">
        <v>456</v>
      </c>
      <c r="D90">
        <v>2021</v>
      </c>
      <c r="E90" s="3">
        <v>44317</v>
      </c>
      <c r="F90" t="s">
        <v>129</v>
      </c>
      <c r="G90" t="s">
        <v>239</v>
      </c>
      <c r="H90">
        <v>193340</v>
      </c>
      <c r="I90">
        <v>395000</v>
      </c>
      <c r="J90">
        <v>0.4894</v>
      </c>
      <c r="K90">
        <v>2.0430329988621083</v>
      </c>
      <c r="L90" t="s">
        <v>13</v>
      </c>
      <c r="M90" t="s">
        <v>445</v>
      </c>
      <c r="N90" t="s">
        <v>762</v>
      </c>
    </row>
    <row r="91" spans="1:14" x14ac:dyDescent="0.35">
      <c r="A91">
        <v>200035</v>
      </c>
      <c r="B91" s="3">
        <v>44133</v>
      </c>
      <c r="C91" t="s">
        <v>469</v>
      </c>
      <c r="D91">
        <v>2020</v>
      </c>
      <c r="E91" s="3">
        <v>44105</v>
      </c>
      <c r="F91" t="s">
        <v>48</v>
      </c>
      <c r="G91" t="s">
        <v>49</v>
      </c>
      <c r="H91">
        <v>223900</v>
      </c>
      <c r="I91">
        <v>392000</v>
      </c>
      <c r="J91">
        <v>0.57110000000000005</v>
      </c>
      <c r="K91">
        <v>1.7507815989280928</v>
      </c>
      <c r="L91" t="s">
        <v>13</v>
      </c>
      <c r="M91" t="s">
        <v>446</v>
      </c>
      <c r="N91" t="s">
        <v>755</v>
      </c>
    </row>
    <row r="92" spans="1:14" x14ac:dyDescent="0.35">
      <c r="A92">
        <v>200510</v>
      </c>
      <c r="B92" s="3">
        <v>44454</v>
      </c>
      <c r="C92" t="s">
        <v>473</v>
      </c>
      <c r="D92">
        <v>2021</v>
      </c>
      <c r="E92" s="3">
        <v>44440</v>
      </c>
      <c r="F92" t="s">
        <v>69</v>
      </c>
      <c r="G92" t="s">
        <v>72</v>
      </c>
      <c r="H92">
        <v>212100</v>
      </c>
      <c r="I92">
        <v>390500</v>
      </c>
      <c r="J92">
        <v>0.54310000000000003</v>
      </c>
      <c r="K92">
        <v>1.8411126826968411</v>
      </c>
      <c r="L92" t="s">
        <v>13</v>
      </c>
      <c r="M92" t="s">
        <v>446</v>
      </c>
      <c r="N92" t="s">
        <v>760</v>
      </c>
    </row>
    <row r="93" spans="1:14" x14ac:dyDescent="0.35">
      <c r="A93">
        <v>200074</v>
      </c>
      <c r="B93" s="3">
        <v>44440</v>
      </c>
      <c r="C93" t="s">
        <v>473</v>
      </c>
      <c r="D93">
        <v>2021</v>
      </c>
      <c r="E93" s="3">
        <v>44440</v>
      </c>
      <c r="F93" t="s">
        <v>50</v>
      </c>
      <c r="G93" t="s">
        <v>51</v>
      </c>
      <c r="H93">
        <v>246100</v>
      </c>
      <c r="I93">
        <v>385000</v>
      </c>
      <c r="J93">
        <v>0.63919999999999999</v>
      </c>
      <c r="K93">
        <v>1.564404713531085</v>
      </c>
      <c r="L93" t="s">
        <v>10</v>
      </c>
      <c r="M93" t="s">
        <v>446</v>
      </c>
      <c r="N93" t="s">
        <v>755</v>
      </c>
    </row>
    <row r="94" spans="1:14" x14ac:dyDescent="0.35">
      <c r="A94">
        <v>200014</v>
      </c>
      <c r="B94" s="3">
        <v>44117</v>
      </c>
      <c r="C94" t="s">
        <v>469</v>
      </c>
      <c r="D94">
        <v>2020</v>
      </c>
      <c r="E94" s="3">
        <v>44105</v>
      </c>
      <c r="F94" t="s">
        <v>271</v>
      </c>
      <c r="G94" t="s">
        <v>273</v>
      </c>
      <c r="H94">
        <v>245790</v>
      </c>
      <c r="I94">
        <v>382000</v>
      </c>
      <c r="J94">
        <v>0.64339999999999997</v>
      </c>
      <c r="K94">
        <v>1.554172260873103</v>
      </c>
      <c r="L94" t="s">
        <v>13</v>
      </c>
      <c r="M94" t="s">
        <v>446</v>
      </c>
      <c r="N94" t="s">
        <v>759</v>
      </c>
    </row>
    <row r="95" spans="1:14" x14ac:dyDescent="0.35">
      <c r="A95">
        <v>200245</v>
      </c>
      <c r="B95" s="3">
        <v>44202</v>
      </c>
      <c r="C95" t="s">
        <v>464</v>
      </c>
      <c r="D95">
        <v>2021</v>
      </c>
      <c r="E95" s="3">
        <v>44197</v>
      </c>
      <c r="F95" t="s">
        <v>206</v>
      </c>
      <c r="G95" t="s">
        <v>208</v>
      </c>
      <c r="H95">
        <v>310660</v>
      </c>
      <c r="I95">
        <v>375000</v>
      </c>
      <c r="J95">
        <v>0.82840000000000003</v>
      </c>
      <c r="K95">
        <v>1.2071074486576965</v>
      </c>
      <c r="L95" t="s">
        <v>10</v>
      </c>
      <c r="M95" t="s">
        <v>446</v>
      </c>
      <c r="N95" t="s">
        <v>762</v>
      </c>
    </row>
    <row r="96" spans="1:14" x14ac:dyDescent="0.35">
      <c r="A96">
        <v>162000</v>
      </c>
      <c r="B96" s="3">
        <v>42992</v>
      </c>
      <c r="C96" t="s">
        <v>473</v>
      </c>
      <c r="D96">
        <v>2017</v>
      </c>
      <c r="E96" s="3">
        <v>42979</v>
      </c>
      <c r="F96" t="s">
        <v>181</v>
      </c>
      <c r="G96" t="s">
        <v>376</v>
      </c>
      <c r="H96">
        <v>264700</v>
      </c>
      <c r="I96">
        <v>373000</v>
      </c>
      <c r="J96">
        <v>0.70965147500000003</v>
      </c>
      <c r="K96">
        <v>1.4091424253872309</v>
      </c>
      <c r="L96" t="s">
        <v>16</v>
      </c>
      <c r="M96" t="s">
        <v>446</v>
      </c>
      <c r="N96" t="s">
        <v>762</v>
      </c>
    </row>
    <row r="97" spans="1:14" x14ac:dyDescent="0.35">
      <c r="A97">
        <v>200081</v>
      </c>
      <c r="B97" s="3">
        <v>44144</v>
      </c>
      <c r="C97" t="s">
        <v>475</v>
      </c>
      <c r="D97">
        <v>2020</v>
      </c>
      <c r="E97" s="3">
        <v>44136</v>
      </c>
      <c r="F97" t="s">
        <v>210</v>
      </c>
      <c r="G97" t="s">
        <v>214</v>
      </c>
      <c r="H97">
        <v>270440</v>
      </c>
      <c r="I97">
        <v>372000</v>
      </c>
      <c r="J97">
        <v>0.72689999999999999</v>
      </c>
      <c r="K97">
        <v>1.3755361632894543</v>
      </c>
      <c r="L97" t="s">
        <v>13</v>
      </c>
      <c r="M97" t="s">
        <v>446</v>
      </c>
      <c r="N97" t="s">
        <v>762</v>
      </c>
    </row>
    <row r="98" spans="1:14" x14ac:dyDescent="0.35">
      <c r="A98">
        <v>200011</v>
      </c>
      <c r="B98" s="3">
        <v>44117</v>
      </c>
      <c r="C98" t="s">
        <v>469</v>
      </c>
      <c r="D98">
        <v>2020</v>
      </c>
      <c r="E98" s="3">
        <v>44105</v>
      </c>
      <c r="F98" t="s">
        <v>252</v>
      </c>
      <c r="G98" t="s">
        <v>256</v>
      </c>
      <c r="H98">
        <v>183190</v>
      </c>
      <c r="I98">
        <v>370000</v>
      </c>
      <c r="J98">
        <v>0.49509999999999998</v>
      </c>
      <c r="K98">
        <v>2.0197609039794751</v>
      </c>
      <c r="L98" t="s">
        <v>13</v>
      </c>
      <c r="M98" t="s">
        <v>445</v>
      </c>
      <c r="N98" t="s">
        <v>763</v>
      </c>
    </row>
    <row r="99" spans="1:14" x14ac:dyDescent="0.35">
      <c r="A99">
        <v>900420</v>
      </c>
      <c r="B99" s="3">
        <v>40428</v>
      </c>
      <c r="C99" t="s">
        <v>473</v>
      </c>
      <c r="D99">
        <v>2010</v>
      </c>
      <c r="E99" s="3">
        <v>40422</v>
      </c>
      <c r="F99" t="s">
        <v>68</v>
      </c>
      <c r="G99" t="s">
        <v>315</v>
      </c>
      <c r="H99">
        <v>265580</v>
      </c>
      <c r="I99">
        <v>369900</v>
      </c>
      <c r="J99">
        <v>0.71797783199999998</v>
      </c>
      <c r="K99">
        <v>1.3928006627005045</v>
      </c>
      <c r="L99" t="s">
        <v>16</v>
      </c>
      <c r="M99" t="s">
        <v>446</v>
      </c>
      <c r="N99" t="s">
        <v>769</v>
      </c>
    </row>
    <row r="100" spans="1:14" x14ac:dyDescent="0.35">
      <c r="A100">
        <v>200233</v>
      </c>
      <c r="B100" s="3">
        <v>44196</v>
      </c>
      <c r="C100" t="s">
        <v>450</v>
      </c>
      <c r="D100">
        <v>2020</v>
      </c>
      <c r="E100" s="3">
        <v>44166</v>
      </c>
      <c r="F100" t="s">
        <v>252</v>
      </c>
      <c r="G100" t="s">
        <v>257</v>
      </c>
      <c r="H100">
        <v>202160</v>
      </c>
      <c r="I100">
        <v>365000</v>
      </c>
      <c r="J100">
        <v>0.55379999999999996</v>
      </c>
      <c r="K100">
        <v>1.8055005935892363</v>
      </c>
      <c r="L100" t="s">
        <v>13</v>
      </c>
      <c r="M100" t="s">
        <v>446</v>
      </c>
      <c r="N100" t="s">
        <v>763</v>
      </c>
    </row>
    <row r="101" spans="1:14" x14ac:dyDescent="0.35">
      <c r="A101">
        <v>2000230</v>
      </c>
      <c r="B101" s="3">
        <v>44271</v>
      </c>
      <c r="C101" t="s">
        <v>471</v>
      </c>
      <c r="D101">
        <v>2021</v>
      </c>
      <c r="E101" s="3">
        <v>44256</v>
      </c>
      <c r="F101" t="s">
        <v>43</v>
      </c>
      <c r="G101" t="s">
        <v>44</v>
      </c>
      <c r="H101">
        <v>210940</v>
      </c>
      <c r="I101">
        <v>365000</v>
      </c>
      <c r="J101">
        <v>0.57789999999999997</v>
      </c>
      <c r="K101">
        <v>1.7303498625201479</v>
      </c>
      <c r="L101" t="s">
        <v>13</v>
      </c>
      <c r="M101" t="s">
        <v>446</v>
      </c>
      <c r="N101" t="s">
        <v>755</v>
      </c>
    </row>
    <row r="102" spans="1:14" x14ac:dyDescent="0.35">
      <c r="A102">
        <v>201129</v>
      </c>
      <c r="B102" s="3">
        <v>44427</v>
      </c>
      <c r="C102" t="s">
        <v>462</v>
      </c>
      <c r="D102">
        <v>2021</v>
      </c>
      <c r="E102" s="3">
        <v>44409</v>
      </c>
      <c r="F102" t="s">
        <v>98</v>
      </c>
      <c r="G102" t="s">
        <v>105</v>
      </c>
      <c r="H102">
        <v>114954</v>
      </c>
      <c r="I102">
        <v>360000</v>
      </c>
      <c r="J102">
        <v>0.31929999999999997</v>
      </c>
      <c r="K102">
        <v>3.1316874575917324</v>
      </c>
      <c r="L102" t="s">
        <v>13</v>
      </c>
      <c r="M102" t="s">
        <v>445</v>
      </c>
      <c r="N102" t="s">
        <v>770</v>
      </c>
    </row>
    <row r="103" spans="1:14" x14ac:dyDescent="0.35">
      <c r="A103">
        <v>20293</v>
      </c>
      <c r="B103" s="3">
        <v>44354</v>
      </c>
      <c r="C103" t="s">
        <v>454</v>
      </c>
      <c r="D103">
        <v>2021</v>
      </c>
      <c r="E103" s="3">
        <v>44348</v>
      </c>
      <c r="F103" t="s">
        <v>184</v>
      </c>
      <c r="G103" t="s">
        <v>186</v>
      </c>
      <c r="H103">
        <v>193560</v>
      </c>
      <c r="I103">
        <v>360000</v>
      </c>
      <c r="J103">
        <v>0.53759999999999997</v>
      </c>
      <c r="K103">
        <v>1.8598884066955983</v>
      </c>
      <c r="L103" t="s">
        <v>13</v>
      </c>
      <c r="M103" t="s">
        <v>446</v>
      </c>
      <c r="N103" t="s">
        <v>764</v>
      </c>
    </row>
    <row r="104" spans="1:14" x14ac:dyDescent="0.35">
      <c r="A104">
        <v>200125</v>
      </c>
      <c r="B104" s="3">
        <v>44446</v>
      </c>
      <c r="C104" t="s">
        <v>473</v>
      </c>
      <c r="D104">
        <v>2021</v>
      </c>
      <c r="E104" s="3">
        <v>44440</v>
      </c>
      <c r="F104" t="s">
        <v>106</v>
      </c>
      <c r="G104" t="s">
        <v>107</v>
      </c>
      <c r="H104">
        <v>194790</v>
      </c>
      <c r="I104">
        <v>360000</v>
      </c>
      <c r="J104">
        <v>0.54100000000000004</v>
      </c>
      <c r="K104">
        <v>1.8481441552441091</v>
      </c>
      <c r="L104" t="s">
        <v>13</v>
      </c>
      <c r="M104" t="s">
        <v>446</v>
      </c>
      <c r="N104" t="s">
        <v>770</v>
      </c>
    </row>
    <row r="105" spans="1:14" x14ac:dyDescent="0.35">
      <c r="A105">
        <v>200652</v>
      </c>
      <c r="B105" s="3">
        <v>44376</v>
      </c>
      <c r="C105" t="s">
        <v>454</v>
      </c>
      <c r="D105">
        <v>2021</v>
      </c>
      <c r="E105" s="3">
        <v>44348</v>
      </c>
      <c r="F105" t="s">
        <v>73</v>
      </c>
      <c r="G105" t="s">
        <v>75</v>
      </c>
      <c r="H105">
        <v>203470</v>
      </c>
      <c r="I105">
        <v>360000</v>
      </c>
      <c r="J105">
        <v>0.56510000000000005</v>
      </c>
      <c r="K105">
        <v>1.7693025998918759</v>
      </c>
      <c r="L105" t="s">
        <v>13</v>
      </c>
      <c r="M105" t="s">
        <v>446</v>
      </c>
      <c r="N105" t="s">
        <v>760</v>
      </c>
    </row>
    <row r="106" spans="1:14" x14ac:dyDescent="0.35">
      <c r="A106">
        <v>2002299</v>
      </c>
      <c r="B106" s="3">
        <v>44412</v>
      </c>
      <c r="C106" t="s">
        <v>462</v>
      </c>
      <c r="D106">
        <v>2021</v>
      </c>
      <c r="E106" s="3">
        <v>44409</v>
      </c>
      <c r="F106" t="s">
        <v>181</v>
      </c>
      <c r="G106" t="s">
        <v>234</v>
      </c>
      <c r="H106">
        <v>169050</v>
      </c>
      <c r="I106">
        <v>355000</v>
      </c>
      <c r="J106">
        <v>0.47610000000000002</v>
      </c>
      <c r="K106">
        <v>2.0999704229517895</v>
      </c>
      <c r="L106" t="s">
        <v>13</v>
      </c>
      <c r="M106" t="s">
        <v>445</v>
      </c>
      <c r="N106" t="s">
        <v>762</v>
      </c>
    </row>
    <row r="107" spans="1:14" x14ac:dyDescent="0.35">
      <c r="A107">
        <v>202876</v>
      </c>
      <c r="B107" s="3">
        <v>44426</v>
      </c>
      <c r="C107" t="s">
        <v>462</v>
      </c>
      <c r="D107">
        <v>2021</v>
      </c>
      <c r="E107" s="3">
        <v>44409</v>
      </c>
      <c r="F107" t="s">
        <v>122</v>
      </c>
      <c r="G107" t="s">
        <v>175</v>
      </c>
      <c r="H107">
        <v>256270</v>
      </c>
      <c r="I107">
        <v>355000</v>
      </c>
      <c r="J107">
        <v>0.7218</v>
      </c>
      <c r="K107">
        <v>1.3852577359815819</v>
      </c>
      <c r="L107" t="s">
        <v>13</v>
      </c>
      <c r="M107" t="s">
        <v>446</v>
      </c>
      <c r="N107" t="s">
        <v>757</v>
      </c>
    </row>
    <row r="108" spans="1:14" x14ac:dyDescent="0.35">
      <c r="A108">
        <v>200086</v>
      </c>
      <c r="B108" s="3">
        <v>44418</v>
      </c>
      <c r="C108" t="s">
        <v>462</v>
      </c>
      <c r="D108">
        <v>2021</v>
      </c>
      <c r="E108" s="3">
        <v>44409</v>
      </c>
      <c r="F108" t="s">
        <v>25</v>
      </c>
      <c r="G108" t="s">
        <v>26</v>
      </c>
      <c r="H108">
        <v>168900</v>
      </c>
      <c r="I108">
        <v>352000</v>
      </c>
      <c r="J108">
        <v>0.4798</v>
      </c>
      <c r="K108">
        <v>2.0840734162226169</v>
      </c>
      <c r="L108" t="s">
        <v>13</v>
      </c>
      <c r="M108" t="s">
        <v>445</v>
      </c>
      <c r="N108" t="s">
        <v>766</v>
      </c>
    </row>
    <row r="109" spans="1:14" x14ac:dyDescent="0.35">
      <c r="A109">
        <v>200656</v>
      </c>
      <c r="B109" s="3">
        <v>44316</v>
      </c>
      <c r="C109" t="s">
        <v>452</v>
      </c>
      <c r="D109">
        <v>2021</v>
      </c>
      <c r="E109" s="3">
        <v>44287</v>
      </c>
      <c r="F109" t="s">
        <v>133</v>
      </c>
      <c r="G109" t="s">
        <v>179</v>
      </c>
      <c r="H109">
        <v>262300</v>
      </c>
      <c r="I109">
        <v>352000</v>
      </c>
      <c r="J109">
        <v>0.74509999999999998</v>
      </c>
      <c r="K109">
        <v>1.341974837971788</v>
      </c>
      <c r="L109" t="s">
        <v>10</v>
      </c>
      <c r="M109" t="s">
        <v>446</v>
      </c>
      <c r="N109" t="s">
        <v>757</v>
      </c>
    </row>
    <row r="110" spans="1:14" x14ac:dyDescent="0.35">
      <c r="A110">
        <v>200210</v>
      </c>
      <c r="B110" s="3">
        <v>44389</v>
      </c>
      <c r="C110" t="s">
        <v>458</v>
      </c>
      <c r="D110">
        <v>2021</v>
      </c>
      <c r="E110" s="3">
        <v>44378</v>
      </c>
      <c r="F110" t="s">
        <v>123</v>
      </c>
      <c r="G110" t="s">
        <v>124</v>
      </c>
      <c r="H110">
        <v>169400</v>
      </c>
      <c r="I110">
        <v>345000</v>
      </c>
      <c r="J110">
        <v>0.49099999999999999</v>
      </c>
      <c r="K110">
        <v>2.0365997638724913</v>
      </c>
      <c r="L110" t="s">
        <v>13</v>
      </c>
      <c r="M110" t="s">
        <v>445</v>
      </c>
      <c r="N110" t="s">
        <v>765</v>
      </c>
    </row>
    <row r="111" spans="1:14" x14ac:dyDescent="0.35">
      <c r="A111">
        <v>2000212</v>
      </c>
      <c r="B111" s="3">
        <v>44132</v>
      </c>
      <c r="C111" t="s">
        <v>469</v>
      </c>
      <c r="D111">
        <v>2020</v>
      </c>
      <c r="E111" s="3">
        <v>44105</v>
      </c>
      <c r="F111" t="s">
        <v>181</v>
      </c>
      <c r="G111" t="s">
        <v>231</v>
      </c>
      <c r="H111">
        <v>199330</v>
      </c>
      <c r="I111">
        <v>342500</v>
      </c>
      <c r="J111">
        <v>0.58189999999999997</v>
      </c>
      <c r="K111">
        <v>1.7182561581297346</v>
      </c>
      <c r="L111" t="s">
        <v>13</v>
      </c>
      <c r="M111" t="s">
        <v>446</v>
      </c>
      <c r="N111" t="s">
        <v>762</v>
      </c>
    </row>
    <row r="112" spans="1:14" x14ac:dyDescent="0.35">
      <c r="A112">
        <v>200149</v>
      </c>
      <c r="B112" s="3">
        <v>44389</v>
      </c>
      <c r="C112" t="s">
        <v>458</v>
      </c>
      <c r="D112">
        <v>2021</v>
      </c>
      <c r="E112" s="3">
        <v>44378</v>
      </c>
      <c r="F112" t="s">
        <v>244</v>
      </c>
      <c r="G112" t="s">
        <v>245</v>
      </c>
      <c r="H112">
        <v>204000</v>
      </c>
      <c r="I112">
        <v>337500</v>
      </c>
      <c r="J112">
        <v>0.60440000000000005</v>
      </c>
      <c r="K112">
        <v>1.6544117647058822</v>
      </c>
      <c r="L112" t="s">
        <v>13</v>
      </c>
      <c r="M112" t="s">
        <v>446</v>
      </c>
      <c r="N112" t="s">
        <v>763</v>
      </c>
    </row>
    <row r="113" spans="1:14" x14ac:dyDescent="0.35">
      <c r="A113">
        <v>20139</v>
      </c>
      <c r="B113" s="3">
        <v>44181</v>
      </c>
      <c r="C113" t="s">
        <v>450</v>
      </c>
      <c r="D113">
        <v>2020</v>
      </c>
      <c r="E113" s="3">
        <v>44166</v>
      </c>
      <c r="F113" t="s">
        <v>23</v>
      </c>
      <c r="G113" t="s">
        <v>24</v>
      </c>
      <c r="H113">
        <v>171360</v>
      </c>
      <c r="I113">
        <v>335000</v>
      </c>
      <c r="J113">
        <v>0.51149999999999995</v>
      </c>
      <c r="K113">
        <v>1.9549486461251167</v>
      </c>
      <c r="L113" t="s">
        <v>13</v>
      </c>
      <c r="M113" t="s">
        <v>446</v>
      </c>
      <c r="N113" t="s">
        <v>766</v>
      </c>
    </row>
    <row r="114" spans="1:14" x14ac:dyDescent="0.35">
      <c r="A114">
        <v>200522</v>
      </c>
      <c r="B114" s="3">
        <v>44259</v>
      </c>
      <c r="C114" t="s">
        <v>471</v>
      </c>
      <c r="D114">
        <v>2021</v>
      </c>
      <c r="E114" s="3">
        <v>44256</v>
      </c>
      <c r="F114" t="s">
        <v>133</v>
      </c>
      <c r="G114" t="s">
        <v>178</v>
      </c>
      <c r="H114">
        <v>174400</v>
      </c>
      <c r="I114">
        <v>335000</v>
      </c>
      <c r="J114">
        <v>0.52049999999999996</v>
      </c>
      <c r="K114">
        <v>1.9208715596330275</v>
      </c>
      <c r="L114" t="s">
        <v>13</v>
      </c>
      <c r="M114" t="s">
        <v>446</v>
      </c>
      <c r="N114" t="s">
        <v>757</v>
      </c>
    </row>
    <row r="115" spans="1:14" x14ac:dyDescent="0.35">
      <c r="A115">
        <v>200289</v>
      </c>
      <c r="B115" s="3">
        <v>44158</v>
      </c>
      <c r="C115" t="s">
        <v>475</v>
      </c>
      <c r="D115">
        <v>2020</v>
      </c>
      <c r="E115" s="3">
        <v>44136</v>
      </c>
      <c r="F115" t="s">
        <v>122</v>
      </c>
      <c r="G115" t="s">
        <v>176</v>
      </c>
      <c r="H115">
        <v>173040</v>
      </c>
      <c r="I115">
        <v>330000</v>
      </c>
      <c r="J115">
        <v>0.52429999999999999</v>
      </c>
      <c r="K115">
        <v>1.9070735090152566</v>
      </c>
      <c r="L115" t="s">
        <v>13</v>
      </c>
      <c r="M115" t="s">
        <v>446</v>
      </c>
      <c r="N115" t="s">
        <v>757</v>
      </c>
    </row>
    <row r="116" spans="1:14" x14ac:dyDescent="0.35">
      <c r="A116">
        <v>100035</v>
      </c>
      <c r="B116" s="3">
        <v>40512</v>
      </c>
      <c r="C116" t="s">
        <v>475</v>
      </c>
      <c r="D116">
        <v>2010</v>
      </c>
      <c r="E116" s="3">
        <v>40483</v>
      </c>
      <c r="F116" t="s">
        <v>96</v>
      </c>
      <c r="G116" t="s">
        <v>318</v>
      </c>
      <c r="H116">
        <v>257040</v>
      </c>
      <c r="I116">
        <v>330000</v>
      </c>
      <c r="J116">
        <v>0.77890909100000005</v>
      </c>
      <c r="K116">
        <v>1.2838468720821663</v>
      </c>
      <c r="L116" t="s">
        <v>16</v>
      </c>
      <c r="M116" t="s">
        <v>446</v>
      </c>
      <c r="N116" t="s">
        <v>756</v>
      </c>
    </row>
    <row r="117" spans="1:14" x14ac:dyDescent="0.35">
      <c r="A117">
        <v>200494</v>
      </c>
      <c r="B117" s="3">
        <v>44246</v>
      </c>
      <c r="C117" t="s">
        <v>460</v>
      </c>
      <c r="D117">
        <v>2021</v>
      </c>
      <c r="E117" s="3">
        <v>44228</v>
      </c>
      <c r="F117" t="s">
        <v>192</v>
      </c>
      <c r="G117" t="s">
        <v>275</v>
      </c>
      <c r="H117">
        <v>181720</v>
      </c>
      <c r="I117">
        <v>327900</v>
      </c>
      <c r="J117">
        <v>0.55410000000000004</v>
      </c>
      <c r="K117">
        <v>1.8044243891701519</v>
      </c>
      <c r="L117" t="s">
        <v>13</v>
      </c>
      <c r="M117" t="s">
        <v>446</v>
      </c>
      <c r="N117" t="s">
        <v>759</v>
      </c>
    </row>
    <row r="118" spans="1:14" x14ac:dyDescent="0.35">
      <c r="A118">
        <v>2020348</v>
      </c>
      <c r="B118" s="3">
        <v>44452</v>
      </c>
      <c r="C118" t="s">
        <v>473</v>
      </c>
      <c r="D118">
        <v>2021</v>
      </c>
      <c r="E118" s="3">
        <v>44440</v>
      </c>
      <c r="F118" t="s">
        <v>8</v>
      </c>
      <c r="G118" t="s">
        <v>9</v>
      </c>
      <c r="H118">
        <v>150500</v>
      </c>
      <c r="I118">
        <v>325000</v>
      </c>
      <c r="J118">
        <v>0.46300000000000002</v>
      </c>
      <c r="K118">
        <v>2.1594684385382061</v>
      </c>
      <c r="L118" t="s">
        <v>10</v>
      </c>
      <c r="M118" t="s">
        <v>445</v>
      </c>
      <c r="N118" t="s">
        <v>761</v>
      </c>
    </row>
    <row r="119" spans="1:14" x14ac:dyDescent="0.35">
      <c r="A119">
        <v>201443</v>
      </c>
      <c r="B119" s="3">
        <v>44440</v>
      </c>
      <c r="C119" t="s">
        <v>473</v>
      </c>
      <c r="D119">
        <v>2021</v>
      </c>
      <c r="E119" s="3">
        <v>44440</v>
      </c>
      <c r="F119" t="s">
        <v>56</v>
      </c>
      <c r="G119" t="s">
        <v>61</v>
      </c>
      <c r="H119">
        <v>158700</v>
      </c>
      <c r="I119">
        <v>325000</v>
      </c>
      <c r="J119">
        <v>0.48830000000000001</v>
      </c>
      <c r="K119">
        <v>2.0478890989287963</v>
      </c>
      <c r="L119" t="s">
        <v>13</v>
      </c>
      <c r="M119" t="s">
        <v>445</v>
      </c>
      <c r="N119" t="s">
        <v>758</v>
      </c>
    </row>
    <row r="120" spans="1:14" x14ac:dyDescent="0.35">
      <c r="A120">
        <v>200175</v>
      </c>
      <c r="B120" s="3">
        <v>44133</v>
      </c>
      <c r="C120" t="s">
        <v>469</v>
      </c>
      <c r="D120">
        <v>2020</v>
      </c>
      <c r="E120" s="3">
        <v>44105</v>
      </c>
      <c r="F120" t="s">
        <v>108</v>
      </c>
      <c r="G120" t="s">
        <v>134</v>
      </c>
      <c r="H120">
        <v>180950</v>
      </c>
      <c r="I120">
        <v>325000</v>
      </c>
      <c r="J120">
        <v>0.55669999999999997</v>
      </c>
      <c r="K120">
        <v>1.7960762641613706</v>
      </c>
      <c r="L120" t="s">
        <v>13</v>
      </c>
      <c r="M120" t="s">
        <v>446</v>
      </c>
      <c r="N120" t="s">
        <v>765</v>
      </c>
    </row>
    <row r="121" spans="1:14" x14ac:dyDescent="0.35">
      <c r="A121">
        <v>160717</v>
      </c>
      <c r="B121" s="3">
        <v>42979</v>
      </c>
      <c r="C121" t="s">
        <v>473</v>
      </c>
      <c r="D121">
        <v>2017</v>
      </c>
      <c r="E121" s="3">
        <v>42979</v>
      </c>
      <c r="F121" t="s">
        <v>283</v>
      </c>
      <c r="G121" t="s">
        <v>391</v>
      </c>
      <c r="H121">
        <v>199400</v>
      </c>
      <c r="I121">
        <v>320000</v>
      </c>
      <c r="J121">
        <v>0.62312500000000004</v>
      </c>
      <c r="K121">
        <v>1.60481444332999</v>
      </c>
      <c r="L121" t="s">
        <v>16</v>
      </c>
      <c r="M121" t="s">
        <v>446</v>
      </c>
      <c r="N121" t="s">
        <v>759</v>
      </c>
    </row>
    <row r="122" spans="1:14" x14ac:dyDescent="0.35">
      <c r="A122">
        <v>2000448</v>
      </c>
      <c r="B122" s="3">
        <v>44364</v>
      </c>
      <c r="C122" t="s">
        <v>454</v>
      </c>
      <c r="D122">
        <v>2021</v>
      </c>
      <c r="E122" s="3">
        <v>44348</v>
      </c>
      <c r="F122" t="s">
        <v>277</v>
      </c>
      <c r="G122" t="s">
        <v>278</v>
      </c>
      <c r="H122">
        <v>158870</v>
      </c>
      <c r="I122">
        <v>315000</v>
      </c>
      <c r="J122">
        <v>0.50429999999999997</v>
      </c>
      <c r="K122">
        <v>1.9827531944357022</v>
      </c>
      <c r="L122" t="s">
        <v>13</v>
      </c>
      <c r="M122" t="s">
        <v>446</v>
      </c>
      <c r="N122" t="s">
        <v>759</v>
      </c>
    </row>
    <row r="123" spans="1:14" x14ac:dyDescent="0.35">
      <c r="A123">
        <v>160943</v>
      </c>
      <c r="B123" s="3">
        <v>42874</v>
      </c>
      <c r="C123" t="s">
        <v>456</v>
      </c>
      <c r="D123">
        <v>2017</v>
      </c>
      <c r="E123" s="3">
        <v>42856</v>
      </c>
      <c r="F123" t="s">
        <v>122</v>
      </c>
      <c r="G123" t="s">
        <v>375</v>
      </c>
      <c r="H123">
        <v>189500</v>
      </c>
      <c r="I123">
        <v>313000</v>
      </c>
      <c r="J123">
        <v>0.60543130999999994</v>
      </c>
      <c r="K123">
        <v>1.6517150395778364</v>
      </c>
      <c r="L123" t="s">
        <v>16</v>
      </c>
      <c r="M123" t="s">
        <v>446</v>
      </c>
      <c r="N123" t="s">
        <v>757</v>
      </c>
    </row>
    <row r="124" spans="1:14" x14ac:dyDescent="0.35">
      <c r="A124">
        <v>20492</v>
      </c>
      <c r="B124" s="3">
        <v>44427</v>
      </c>
      <c r="C124" t="s">
        <v>462</v>
      </c>
      <c r="D124">
        <v>2021</v>
      </c>
      <c r="E124" s="3">
        <v>44409</v>
      </c>
      <c r="F124" t="s">
        <v>184</v>
      </c>
      <c r="G124" t="s">
        <v>188</v>
      </c>
      <c r="H124">
        <v>142910</v>
      </c>
      <c r="I124">
        <v>310000</v>
      </c>
      <c r="J124">
        <v>0.46100000000000002</v>
      </c>
      <c r="K124">
        <v>2.1691973969631237</v>
      </c>
      <c r="L124" t="s">
        <v>13</v>
      </c>
      <c r="M124" t="s">
        <v>445</v>
      </c>
      <c r="N124" t="s">
        <v>764</v>
      </c>
    </row>
    <row r="125" spans="1:14" x14ac:dyDescent="0.35">
      <c r="A125">
        <v>200700</v>
      </c>
      <c r="B125" s="3">
        <v>44390</v>
      </c>
      <c r="C125" t="s">
        <v>458</v>
      </c>
      <c r="D125">
        <v>2021</v>
      </c>
      <c r="E125" s="3">
        <v>44378</v>
      </c>
      <c r="F125" t="s">
        <v>73</v>
      </c>
      <c r="G125" t="s">
        <v>420</v>
      </c>
      <c r="H125">
        <v>161590</v>
      </c>
      <c r="I125">
        <v>310000</v>
      </c>
      <c r="J125">
        <v>0.5212</v>
      </c>
      <c r="K125">
        <v>1.9184355467541307</v>
      </c>
      <c r="L125" t="s">
        <v>13</v>
      </c>
      <c r="M125" t="s">
        <v>446</v>
      </c>
      <c r="N125" t="s">
        <v>760</v>
      </c>
    </row>
    <row r="126" spans="1:14" x14ac:dyDescent="0.35">
      <c r="A126">
        <v>200038</v>
      </c>
      <c r="B126" s="3">
        <v>44113</v>
      </c>
      <c r="C126" t="s">
        <v>469</v>
      </c>
      <c r="D126">
        <v>2020</v>
      </c>
      <c r="E126" s="3">
        <v>44105</v>
      </c>
      <c r="F126" t="s">
        <v>125</v>
      </c>
      <c r="G126" t="s">
        <v>132</v>
      </c>
      <c r="H126">
        <v>209440</v>
      </c>
      <c r="I126">
        <v>307000</v>
      </c>
      <c r="J126">
        <v>0.68220000000000003</v>
      </c>
      <c r="K126">
        <v>1.4658135981665394</v>
      </c>
      <c r="L126" t="s">
        <v>13</v>
      </c>
      <c r="M126" t="s">
        <v>446</v>
      </c>
      <c r="N126" t="s">
        <v>765</v>
      </c>
    </row>
    <row r="127" spans="1:14" x14ac:dyDescent="0.35">
      <c r="A127">
        <v>200961</v>
      </c>
      <c r="B127" s="3">
        <v>44378</v>
      </c>
      <c r="C127" t="s">
        <v>458</v>
      </c>
      <c r="D127">
        <v>2021</v>
      </c>
      <c r="E127" s="3">
        <v>44378</v>
      </c>
      <c r="F127" t="s">
        <v>125</v>
      </c>
      <c r="G127" t="s">
        <v>128</v>
      </c>
      <c r="H127">
        <v>130340</v>
      </c>
      <c r="I127">
        <v>305000</v>
      </c>
      <c r="J127">
        <v>0.42730000000000001</v>
      </c>
      <c r="K127">
        <v>2.340033757864048</v>
      </c>
      <c r="L127" t="s">
        <v>13</v>
      </c>
      <c r="M127" t="s">
        <v>445</v>
      </c>
      <c r="N127" t="s">
        <v>765</v>
      </c>
    </row>
    <row r="128" spans="1:14" x14ac:dyDescent="0.35">
      <c r="A128">
        <v>200557</v>
      </c>
      <c r="B128" s="3">
        <v>44267</v>
      </c>
      <c r="C128" t="s">
        <v>471</v>
      </c>
      <c r="D128">
        <v>2021</v>
      </c>
      <c r="E128" s="3">
        <v>44256</v>
      </c>
      <c r="F128" t="s">
        <v>192</v>
      </c>
      <c r="G128" t="s">
        <v>276</v>
      </c>
      <c r="H128">
        <v>166670</v>
      </c>
      <c r="I128">
        <v>305000</v>
      </c>
      <c r="J128">
        <v>0.5464</v>
      </c>
      <c r="K128">
        <v>1.8299634007319854</v>
      </c>
      <c r="L128" t="s">
        <v>13</v>
      </c>
      <c r="M128" t="s">
        <v>446</v>
      </c>
      <c r="N128" t="s">
        <v>759</v>
      </c>
    </row>
    <row r="129" spans="1:14" x14ac:dyDescent="0.35">
      <c r="A129">
        <v>20014</v>
      </c>
      <c r="B129" s="3">
        <v>44110</v>
      </c>
      <c r="C129" t="s">
        <v>469</v>
      </c>
      <c r="D129">
        <v>2020</v>
      </c>
      <c r="E129" s="3">
        <v>44105</v>
      </c>
      <c r="F129" t="s">
        <v>136</v>
      </c>
      <c r="G129" t="s">
        <v>137</v>
      </c>
      <c r="H129">
        <v>189100</v>
      </c>
      <c r="I129">
        <v>305000</v>
      </c>
      <c r="J129">
        <v>0.62</v>
      </c>
      <c r="K129">
        <v>1.6129032258064515</v>
      </c>
      <c r="L129" t="s">
        <v>13</v>
      </c>
      <c r="M129" t="s">
        <v>446</v>
      </c>
      <c r="N129" t="s">
        <v>765</v>
      </c>
    </row>
    <row r="130" spans="1:14" x14ac:dyDescent="0.35">
      <c r="A130">
        <v>200376</v>
      </c>
      <c r="B130" s="3">
        <v>44200</v>
      </c>
      <c r="C130" t="s">
        <v>464</v>
      </c>
      <c r="D130">
        <v>2021</v>
      </c>
      <c r="E130" s="3">
        <v>44197</v>
      </c>
      <c r="F130" t="s">
        <v>192</v>
      </c>
      <c r="G130" t="s">
        <v>274</v>
      </c>
      <c r="H130">
        <v>216580</v>
      </c>
      <c r="I130">
        <v>305000</v>
      </c>
      <c r="J130">
        <v>0.71</v>
      </c>
      <c r="K130">
        <v>1.4082556099362822</v>
      </c>
      <c r="L130" t="s">
        <v>13</v>
      </c>
      <c r="M130" t="s">
        <v>446</v>
      </c>
      <c r="N130" t="s">
        <v>759</v>
      </c>
    </row>
    <row r="131" spans="1:14" x14ac:dyDescent="0.35">
      <c r="A131">
        <v>201078</v>
      </c>
      <c r="B131" s="3">
        <v>44186</v>
      </c>
      <c r="C131" t="s">
        <v>450</v>
      </c>
      <c r="D131">
        <v>2020</v>
      </c>
      <c r="E131" s="3">
        <v>44166</v>
      </c>
      <c r="F131" t="s">
        <v>90</v>
      </c>
      <c r="G131" t="s">
        <v>91</v>
      </c>
      <c r="H131">
        <v>173040</v>
      </c>
      <c r="I131">
        <v>302000</v>
      </c>
      <c r="J131">
        <v>0.57289999999999996</v>
      </c>
      <c r="K131">
        <v>1.7452612112806287</v>
      </c>
      <c r="L131" t="s">
        <v>13</v>
      </c>
      <c r="M131" t="s">
        <v>446</v>
      </c>
      <c r="N131" t="s">
        <v>756</v>
      </c>
    </row>
    <row r="132" spans="1:14" x14ac:dyDescent="0.35">
      <c r="A132">
        <v>200484</v>
      </c>
      <c r="B132" s="3">
        <v>44389</v>
      </c>
      <c r="C132" t="s">
        <v>458</v>
      </c>
      <c r="D132">
        <v>2021</v>
      </c>
      <c r="E132" s="3">
        <v>44378</v>
      </c>
      <c r="F132" t="s">
        <v>187</v>
      </c>
      <c r="G132" t="s">
        <v>259</v>
      </c>
      <c r="H132">
        <v>126800</v>
      </c>
      <c r="I132">
        <v>300000</v>
      </c>
      <c r="J132">
        <v>0.42259999999999998</v>
      </c>
      <c r="K132">
        <v>2.3659305993690851</v>
      </c>
      <c r="L132" t="s">
        <v>13</v>
      </c>
      <c r="M132" t="s">
        <v>445</v>
      </c>
      <c r="N132" t="s">
        <v>771</v>
      </c>
    </row>
    <row r="133" spans="1:14" x14ac:dyDescent="0.35">
      <c r="A133">
        <v>200354</v>
      </c>
      <c r="B133" s="3">
        <v>44194</v>
      </c>
      <c r="C133" t="s">
        <v>450</v>
      </c>
      <c r="D133">
        <v>2020</v>
      </c>
      <c r="E133" s="3">
        <v>44166</v>
      </c>
      <c r="F133" t="s">
        <v>32</v>
      </c>
      <c r="G133" t="s">
        <v>34</v>
      </c>
      <c r="H133">
        <v>173740</v>
      </c>
      <c r="I133">
        <v>299000</v>
      </c>
      <c r="J133">
        <v>0.58099999999999996</v>
      </c>
      <c r="K133">
        <v>1.720962357545758</v>
      </c>
      <c r="L133" t="s">
        <v>13</v>
      </c>
      <c r="M133" t="s">
        <v>446</v>
      </c>
      <c r="N133" t="s">
        <v>766</v>
      </c>
    </row>
    <row r="134" spans="1:14" x14ac:dyDescent="0.35">
      <c r="A134">
        <v>161101</v>
      </c>
      <c r="B134" s="3">
        <v>42864</v>
      </c>
      <c r="C134" t="s">
        <v>456</v>
      </c>
      <c r="D134">
        <v>2017</v>
      </c>
      <c r="E134" s="3">
        <v>42856</v>
      </c>
      <c r="F134" t="s">
        <v>181</v>
      </c>
      <c r="G134" t="s">
        <v>399</v>
      </c>
      <c r="H134">
        <v>180350</v>
      </c>
      <c r="I134">
        <v>299000</v>
      </c>
      <c r="J134">
        <v>0.60317725799999999</v>
      </c>
      <c r="K134">
        <v>1.6578874410867757</v>
      </c>
      <c r="L134" t="s">
        <v>16</v>
      </c>
      <c r="M134" t="s">
        <v>446</v>
      </c>
      <c r="N134" t="s">
        <v>762</v>
      </c>
    </row>
    <row r="135" spans="1:14" x14ac:dyDescent="0.35">
      <c r="A135">
        <v>80097</v>
      </c>
      <c r="B135" s="3">
        <v>39897</v>
      </c>
      <c r="C135" t="s">
        <v>471</v>
      </c>
      <c r="D135">
        <v>2009</v>
      </c>
      <c r="E135" s="3">
        <v>39873</v>
      </c>
      <c r="F135" t="s">
        <v>308</v>
      </c>
      <c r="G135" t="s">
        <v>309</v>
      </c>
      <c r="H135">
        <v>210600</v>
      </c>
      <c r="I135">
        <v>299000</v>
      </c>
      <c r="J135">
        <v>0.70434782600000001</v>
      </c>
      <c r="K135">
        <v>1.4197530864197532</v>
      </c>
      <c r="L135" t="s">
        <v>16</v>
      </c>
      <c r="M135" t="s">
        <v>446</v>
      </c>
      <c r="N135" t="s">
        <v>760</v>
      </c>
    </row>
    <row r="136" spans="1:14" x14ac:dyDescent="0.35">
      <c r="A136">
        <v>70355</v>
      </c>
      <c r="B136" s="3">
        <v>39587</v>
      </c>
      <c r="C136" t="s">
        <v>456</v>
      </c>
      <c r="D136">
        <v>2008</v>
      </c>
      <c r="E136" s="3">
        <v>39569</v>
      </c>
      <c r="F136" t="s">
        <v>283</v>
      </c>
      <c r="G136" t="s">
        <v>299</v>
      </c>
      <c r="H136">
        <v>179830</v>
      </c>
      <c r="I136">
        <v>292500</v>
      </c>
      <c r="J136">
        <v>0.61480341900000002</v>
      </c>
      <c r="K136">
        <v>1.6265361730523271</v>
      </c>
      <c r="L136" t="s">
        <v>16</v>
      </c>
      <c r="M136" t="s">
        <v>446</v>
      </c>
      <c r="N136" t="s">
        <v>759</v>
      </c>
    </row>
    <row r="137" spans="1:14" x14ac:dyDescent="0.35">
      <c r="A137">
        <v>200046</v>
      </c>
      <c r="B137" s="3">
        <v>44179</v>
      </c>
      <c r="C137" t="s">
        <v>450</v>
      </c>
      <c r="D137">
        <v>2020</v>
      </c>
      <c r="E137" s="3">
        <v>44166</v>
      </c>
      <c r="F137" t="s">
        <v>244</v>
      </c>
      <c r="G137" t="s">
        <v>246</v>
      </c>
      <c r="H137">
        <v>133210</v>
      </c>
      <c r="I137">
        <v>289900</v>
      </c>
      <c r="J137">
        <v>0.45950000000000002</v>
      </c>
      <c r="K137">
        <v>2.1762630433150663</v>
      </c>
      <c r="L137" t="s">
        <v>13</v>
      </c>
      <c r="M137" t="s">
        <v>445</v>
      </c>
      <c r="N137" t="s">
        <v>763</v>
      </c>
    </row>
    <row r="138" spans="1:14" x14ac:dyDescent="0.35">
      <c r="A138">
        <v>20200070</v>
      </c>
      <c r="B138" s="3">
        <v>44294</v>
      </c>
      <c r="C138" t="s">
        <v>452</v>
      </c>
      <c r="D138">
        <v>2021</v>
      </c>
      <c r="E138" s="3">
        <v>44287</v>
      </c>
      <c r="F138" t="s">
        <v>135</v>
      </c>
      <c r="G138" t="s">
        <v>204</v>
      </c>
      <c r="H138">
        <v>170200</v>
      </c>
      <c r="I138">
        <v>287000</v>
      </c>
      <c r="J138">
        <v>0.59299999999999997</v>
      </c>
      <c r="K138">
        <v>1.6862514688601644</v>
      </c>
      <c r="L138" t="s">
        <v>13</v>
      </c>
      <c r="M138" t="s">
        <v>446</v>
      </c>
      <c r="N138" t="s">
        <v>762</v>
      </c>
    </row>
    <row r="139" spans="1:14" x14ac:dyDescent="0.35">
      <c r="A139">
        <v>200709</v>
      </c>
      <c r="B139" s="3">
        <v>44302</v>
      </c>
      <c r="C139" t="s">
        <v>452</v>
      </c>
      <c r="D139">
        <v>2021</v>
      </c>
      <c r="E139" s="3">
        <v>44287</v>
      </c>
      <c r="F139" t="s">
        <v>117</v>
      </c>
      <c r="G139" t="s">
        <v>118</v>
      </c>
      <c r="H139">
        <v>138100</v>
      </c>
      <c r="I139">
        <v>282500</v>
      </c>
      <c r="J139">
        <v>0.48884955800000002</v>
      </c>
      <c r="K139">
        <v>2.0456191165821869</v>
      </c>
      <c r="L139" t="s">
        <v>13</v>
      </c>
      <c r="M139" t="s">
        <v>445</v>
      </c>
      <c r="N139" t="s">
        <v>765</v>
      </c>
    </row>
    <row r="140" spans="1:14" x14ac:dyDescent="0.35">
      <c r="A140">
        <v>200117</v>
      </c>
      <c r="B140" s="3">
        <v>44298</v>
      </c>
      <c r="C140" t="s">
        <v>452</v>
      </c>
      <c r="D140">
        <v>2021</v>
      </c>
      <c r="E140" s="3">
        <v>44287</v>
      </c>
      <c r="F140" t="s">
        <v>41</v>
      </c>
      <c r="G140" t="s">
        <v>42</v>
      </c>
      <c r="H140">
        <v>160850</v>
      </c>
      <c r="I140">
        <v>280000</v>
      </c>
      <c r="J140">
        <v>0.57440000000000002</v>
      </c>
      <c r="K140">
        <v>1.7407522536524713</v>
      </c>
      <c r="L140" t="s">
        <v>13</v>
      </c>
      <c r="M140" t="s">
        <v>446</v>
      </c>
      <c r="N140" t="s">
        <v>755</v>
      </c>
    </row>
    <row r="141" spans="1:14" x14ac:dyDescent="0.35">
      <c r="A141">
        <v>90472</v>
      </c>
      <c r="B141" s="3">
        <v>40331</v>
      </c>
      <c r="C141" t="s">
        <v>454</v>
      </c>
      <c r="D141">
        <v>2010</v>
      </c>
      <c r="E141" s="3">
        <v>40330</v>
      </c>
      <c r="F141" t="s">
        <v>260</v>
      </c>
      <c r="G141" t="s">
        <v>313</v>
      </c>
      <c r="H141">
        <v>220920</v>
      </c>
      <c r="I141">
        <v>280000</v>
      </c>
      <c r="J141">
        <v>0.78900000000000003</v>
      </c>
      <c r="K141">
        <v>1.267427122940431</v>
      </c>
      <c r="L141" t="s">
        <v>16</v>
      </c>
      <c r="M141" t="s">
        <v>446</v>
      </c>
      <c r="N141" t="s">
        <v>769</v>
      </c>
    </row>
    <row r="142" spans="1:14" x14ac:dyDescent="0.35">
      <c r="A142">
        <v>20899</v>
      </c>
      <c r="B142" s="3">
        <v>44368</v>
      </c>
      <c r="C142" t="s">
        <v>454</v>
      </c>
      <c r="D142">
        <v>2021</v>
      </c>
      <c r="E142" s="3">
        <v>44348</v>
      </c>
      <c r="F142" t="s">
        <v>98</v>
      </c>
      <c r="G142" t="s">
        <v>427</v>
      </c>
      <c r="H142">
        <v>137270</v>
      </c>
      <c r="I142">
        <v>278500</v>
      </c>
      <c r="J142">
        <v>0.49280000000000002</v>
      </c>
      <c r="K142">
        <v>2.0288482552633496</v>
      </c>
      <c r="L142" t="s">
        <v>103</v>
      </c>
      <c r="M142" t="s">
        <v>445</v>
      </c>
      <c r="N142" t="s">
        <v>770</v>
      </c>
    </row>
    <row r="143" spans="1:14" x14ac:dyDescent="0.35">
      <c r="A143">
        <v>160197</v>
      </c>
      <c r="B143" s="3">
        <v>42675</v>
      </c>
      <c r="C143" t="s">
        <v>475</v>
      </c>
      <c r="D143">
        <v>2016</v>
      </c>
      <c r="E143" s="3">
        <v>42675</v>
      </c>
      <c r="F143" t="s">
        <v>181</v>
      </c>
      <c r="G143" t="s">
        <v>368</v>
      </c>
      <c r="H143">
        <v>143650</v>
      </c>
      <c r="I143">
        <v>278000</v>
      </c>
      <c r="J143">
        <v>0.51672661900000005</v>
      </c>
      <c r="K143">
        <v>1.9352593108249216</v>
      </c>
      <c r="L143" t="s">
        <v>16</v>
      </c>
      <c r="M143" t="s">
        <v>446</v>
      </c>
      <c r="N143" t="s">
        <v>762</v>
      </c>
    </row>
    <row r="144" spans="1:14" x14ac:dyDescent="0.35">
      <c r="A144">
        <v>2000327</v>
      </c>
      <c r="B144" s="3">
        <v>44258</v>
      </c>
      <c r="C144" t="s">
        <v>471</v>
      </c>
      <c r="D144">
        <v>2021</v>
      </c>
      <c r="E144" s="3">
        <v>44256</v>
      </c>
      <c r="F144" t="s">
        <v>140</v>
      </c>
      <c r="G144" t="s">
        <v>428</v>
      </c>
      <c r="H144">
        <v>157810</v>
      </c>
      <c r="I144">
        <v>276500</v>
      </c>
      <c r="J144">
        <v>0.57069999999999999</v>
      </c>
      <c r="K144">
        <v>1.7521069640707179</v>
      </c>
      <c r="L144" t="s">
        <v>13</v>
      </c>
      <c r="M144" t="s">
        <v>446</v>
      </c>
      <c r="N144" t="s">
        <v>757</v>
      </c>
    </row>
    <row r="145" spans="1:14" x14ac:dyDescent="0.35">
      <c r="A145">
        <v>20200059</v>
      </c>
      <c r="B145" s="3">
        <v>44117</v>
      </c>
      <c r="C145" t="s">
        <v>469</v>
      </c>
      <c r="D145">
        <v>2020</v>
      </c>
      <c r="E145" s="3">
        <v>44105</v>
      </c>
      <c r="F145" t="s">
        <v>129</v>
      </c>
      <c r="G145" t="s">
        <v>240</v>
      </c>
      <c r="H145">
        <v>156380</v>
      </c>
      <c r="I145">
        <v>276000</v>
      </c>
      <c r="J145">
        <v>0.5665</v>
      </c>
      <c r="K145">
        <v>1.7649315769279958</v>
      </c>
      <c r="L145" t="s">
        <v>13</v>
      </c>
      <c r="M145" t="s">
        <v>446</v>
      </c>
      <c r="N145" t="s">
        <v>762</v>
      </c>
    </row>
    <row r="146" spans="1:14" x14ac:dyDescent="0.35">
      <c r="A146">
        <v>90042</v>
      </c>
      <c r="B146" s="3">
        <v>40106</v>
      </c>
      <c r="C146" t="s">
        <v>469</v>
      </c>
      <c r="D146">
        <v>2009</v>
      </c>
      <c r="E146" s="3">
        <v>40087</v>
      </c>
      <c r="F146" t="s">
        <v>84</v>
      </c>
      <c r="G146" t="s">
        <v>323</v>
      </c>
      <c r="H146">
        <v>219870</v>
      </c>
      <c r="I146">
        <v>275000</v>
      </c>
      <c r="J146">
        <v>0.79952727300000004</v>
      </c>
      <c r="K146">
        <v>1.2507390730886432</v>
      </c>
      <c r="L146" t="s">
        <v>16</v>
      </c>
      <c r="M146" t="s">
        <v>446</v>
      </c>
      <c r="N146" t="s">
        <v>770</v>
      </c>
    </row>
    <row r="147" spans="1:14" x14ac:dyDescent="0.35">
      <c r="A147">
        <v>90113</v>
      </c>
      <c r="B147" s="3">
        <v>40150</v>
      </c>
      <c r="C147" t="s">
        <v>450</v>
      </c>
      <c r="D147">
        <v>2009</v>
      </c>
      <c r="E147" s="3">
        <v>40148</v>
      </c>
      <c r="F147" t="s">
        <v>187</v>
      </c>
      <c r="G147" t="s">
        <v>349</v>
      </c>
      <c r="H147">
        <v>176220</v>
      </c>
      <c r="I147">
        <v>270000</v>
      </c>
      <c r="J147">
        <v>0.65266666699999998</v>
      </c>
      <c r="K147">
        <v>1.5321756894790604</v>
      </c>
      <c r="L147" t="s">
        <v>16</v>
      </c>
      <c r="M147" t="s">
        <v>446</v>
      </c>
      <c r="N147" t="s">
        <v>771</v>
      </c>
    </row>
    <row r="148" spans="1:14" x14ac:dyDescent="0.35">
      <c r="A148">
        <v>200025</v>
      </c>
      <c r="B148" s="3">
        <v>44124</v>
      </c>
      <c r="C148" t="s">
        <v>469</v>
      </c>
      <c r="D148">
        <v>2020</v>
      </c>
      <c r="E148" s="3">
        <v>44105</v>
      </c>
      <c r="F148" t="s">
        <v>241</v>
      </c>
      <c r="G148" t="s">
        <v>243</v>
      </c>
      <c r="H148">
        <v>159180</v>
      </c>
      <c r="I148">
        <v>261000</v>
      </c>
      <c r="J148">
        <v>0.60980000000000001</v>
      </c>
      <c r="K148">
        <v>1.6396532227666791</v>
      </c>
      <c r="L148" t="s">
        <v>13</v>
      </c>
      <c r="M148" t="s">
        <v>446</v>
      </c>
      <c r="N148" t="s">
        <v>762</v>
      </c>
    </row>
    <row r="149" spans="1:14" x14ac:dyDescent="0.35">
      <c r="A149">
        <v>201245</v>
      </c>
      <c r="B149" s="3">
        <v>44453</v>
      </c>
      <c r="C149" t="s">
        <v>473</v>
      </c>
      <c r="D149">
        <v>2021</v>
      </c>
      <c r="E149" s="3">
        <v>44440</v>
      </c>
      <c r="F149" t="s">
        <v>125</v>
      </c>
      <c r="G149" t="s">
        <v>131</v>
      </c>
      <c r="H149">
        <v>128170</v>
      </c>
      <c r="I149">
        <v>260000</v>
      </c>
      <c r="J149">
        <v>0.4929</v>
      </c>
      <c r="K149">
        <v>2.0285558242958572</v>
      </c>
      <c r="L149" t="s">
        <v>13</v>
      </c>
      <c r="M149" t="s">
        <v>445</v>
      </c>
      <c r="N149" t="s">
        <v>765</v>
      </c>
    </row>
    <row r="150" spans="1:14" x14ac:dyDescent="0.35">
      <c r="A150">
        <v>200408</v>
      </c>
      <c r="B150" s="3">
        <v>44189</v>
      </c>
      <c r="C150" t="s">
        <v>450</v>
      </c>
      <c r="D150">
        <v>2020</v>
      </c>
      <c r="E150" s="3">
        <v>44166</v>
      </c>
      <c r="F150" t="s">
        <v>56</v>
      </c>
      <c r="G150" t="s">
        <v>63</v>
      </c>
      <c r="H150">
        <v>130800</v>
      </c>
      <c r="I150">
        <v>260000</v>
      </c>
      <c r="J150">
        <v>0.503</v>
      </c>
      <c r="K150">
        <v>1.9877675840978593</v>
      </c>
      <c r="L150" t="s">
        <v>13</v>
      </c>
      <c r="M150" t="s">
        <v>446</v>
      </c>
      <c r="N150" t="s">
        <v>758</v>
      </c>
    </row>
    <row r="151" spans="1:14" x14ac:dyDescent="0.35">
      <c r="A151">
        <v>10037</v>
      </c>
      <c r="B151" s="3">
        <v>40500</v>
      </c>
      <c r="C151" t="s">
        <v>475</v>
      </c>
      <c r="D151">
        <v>2010</v>
      </c>
      <c r="E151" s="3">
        <v>40483</v>
      </c>
      <c r="F151" t="s">
        <v>286</v>
      </c>
      <c r="G151" t="s">
        <v>347</v>
      </c>
      <c r="H151">
        <v>203600</v>
      </c>
      <c r="I151">
        <v>260000</v>
      </c>
      <c r="J151">
        <v>0.78307692299999998</v>
      </c>
      <c r="K151">
        <v>1.2770137524557956</v>
      </c>
      <c r="L151" t="s">
        <v>16</v>
      </c>
      <c r="M151" t="s">
        <v>446</v>
      </c>
      <c r="N151" t="s">
        <v>765</v>
      </c>
    </row>
    <row r="152" spans="1:14" x14ac:dyDescent="0.35">
      <c r="A152">
        <v>2000513</v>
      </c>
      <c r="B152" s="3">
        <v>44397</v>
      </c>
      <c r="C152" t="s">
        <v>458</v>
      </c>
      <c r="D152">
        <v>2021</v>
      </c>
      <c r="E152" s="3">
        <v>44378</v>
      </c>
      <c r="F152" t="s">
        <v>277</v>
      </c>
      <c r="G152" t="s">
        <v>279</v>
      </c>
      <c r="H152">
        <v>144050</v>
      </c>
      <c r="I152">
        <v>257500</v>
      </c>
      <c r="J152">
        <v>0.55940000000000001</v>
      </c>
      <c r="K152">
        <v>1.7875737591114196</v>
      </c>
      <c r="L152" t="s">
        <v>13</v>
      </c>
      <c r="M152" t="s">
        <v>446</v>
      </c>
      <c r="N152" t="s">
        <v>759</v>
      </c>
    </row>
    <row r="153" spans="1:14" x14ac:dyDescent="0.35">
      <c r="A153">
        <v>20118</v>
      </c>
      <c r="B153" s="3">
        <v>44469</v>
      </c>
      <c r="C153" t="s">
        <v>473</v>
      </c>
      <c r="D153">
        <v>2021</v>
      </c>
      <c r="E153" s="3">
        <v>44440</v>
      </c>
      <c r="F153" t="s">
        <v>235</v>
      </c>
      <c r="G153" t="s">
        <v>236</v>
      </c>
      <c r="H153">
        <v>92890</v>
      </c>
      <c r="I153">
        <v>255000</v>
      </c>
      <c r="J153">
        <v>0.36420000000000002</v>
      </c>
      <c r="K153">
        <v>2.7451824738938528</v>
      </c>
      <c r="L153" t="s">
        <v>13</v>
      </c>
      <c r="M153" t="s">
        <v>445</v>
      </c>
      <c r="N153" t="s">
        <v>762</v>
      </c>
    </row>
    <row r="154" spans="1:14" x14ac:dyDescent="0.35">
      <c r="A154">
        <v>170178</v>
      </c>
      <c r="B154" s="3">
        <v>43089</v>
      </c>
      <c r="C154" t="s">
        <v>450</v>
      </c>
      <c r="D154">
        <v>2017</v>
      </c>
      <c r="E154" s="3">
        <v>43070</v>
      </c>
      <c r="F154" t="s">
        <v>159</v>
      </c>
      <c r="G154" t="s">
        <v>381</v>
      </c>
      <c r="H154">
        <v>169400</v>
      </c>
      <c r="I154">
        <v>252500</v>
      </c>
      <c r="J154">
        <v>0.67089108900000005</v>
      </c>
      <c r="K154">
        <v>1.4905548996458087</v>
      </c>
      <c r="L154" t="s">
        <v>16</v>
      </c>
      <c r="M154" t="s">
        <v>446</v>
      </c>
      <c r="N154" t="s">
        <v>757</v>
      </c>
    </row>
    <row r="155" spans="1:14" x14ac:dyDescent="0.35">
      <c r="A155">
        <v>200002</v>
      </c>
      <c r="B155" s="3">
        <v>44105</v>
      </c>
      <c r="C155" t="s">
        <v>469</v>
      </c>
      <c r="D155">
        <v>2020</v>
      </c>
      <c r="E155" s="3">
        <v>44105</v>
      </c>
      <c r="F155" t="s">
        <v>210</v>
      </c>
      <c r="G155" t="s">
        <v>213</v>
      </c>
      <c r="H155">
        <v>186610</v>
      </c>
      <c r="I155">
        <v>252000</v>
      </c>
      <c r="J155">
        <v>0.74050000000000005</v>
      </c>
      <c r="K155">
        <v>1.3504099458764267</v>
      </c>
      <c r="L155" t="s">
        <v>13</v>
      </c>
      <c r="M155" t="s">
        <v>446</v>
      </c>
      <c r="N155" t="s">
        <v>762</v>
      </c>
    </row>
    <row r="156" spans="1:14" x14ac:dyDescent="0.35">
      <c r="A156">
        <v>2000381</v>
      </c>
      <c r="B156" s="3">
        <v>44452</v>
      </c>
      <c r="C156" t="s">
        <v>473</v>
      </c>
      <c r="D156">
        <v>2021</v>
      </c>
      <c r="E156" s="3">
        <v>44440</v>
      </c>
      <c r="F156" t="s">
        <v>27</v>
      </c>
      <c r="G156" t="s">
        <v>28</v>
      </c>
      <c r="H156">
        <v>163730</v>
      </c>
      <c r="I156">
        <v>250000</v>
      </c>
      <c r="J156">
        <v>0.65490000000000004</v>
      </c>
      <c r="K156">
        <v>1.5269040493495389</v>
      </c>
      <c r="L156" t="s">
        <v>13</v>
      </c>
      <c r="M156" t="s">
        <v>446</v>
      </c>
      <c r="N156" t="s">
        <v>766</v>
      </c>
    </row>
    <row r="157" spans="1:14" x14ac:dyDescent="0.35">
      <c r="A157">
        <v>201295</v>
      </c>
      <c r="B157" s="3">
        <v>44448</v>
      </c>
      <c r="C157" t="s">
        <v>473</v>
      </c>
      <c r="D157">
        <v>2021</v>
      </c>
      <c r="E157" s="3">
        <v>44440</v>
      </c>
      <c r="F157" t="s">
        <v>32</v>
      </c>
      <c r="G157" t="s">
        <v>412</v>
      </c>
      <c r="H157">
        <v>144340</v>
      </c>
      <c r="I157">
        <v>249900</v>
      </c>
      <c r="J157">
        <v>0.57750000000000001</v>
      </c>
      <c r="K157">
        <v>1.7313288069835111</v>
      </c>
      <c r="L157" t="s">
        <v>13</v>
      </c>
      <c r="M157" t="s">
        <v>446</v>
      </c>
      <c r="N157" t="s">
        <v>766</v>
      </c>
    </row>
    <row r="158" spans="1:14" x14ac:dyDescent="0.35">
      <c r="A158">
        <v>20565</v>
      </c>
      <c r="B158" s="3">
        <v>44284</v>
      </c>
      <c r="C158" t="s">
        <v>471</v>
      </c>
      <c r="D158">
        <v>2021</v>
      </c>
      <c r="E158" s="3">
        <v>44256</v>
      </c>
      <c r="F158" t="s">
        <v>98</v>
      </c>
      <c r="G158" t="s">
        <v>426</v>
      </c>
      <c r="H158">
        <v>61915</v>
      </c>
      <c r="I158">
        <v>249000</v>
      </c>
      <c r="J158">
        <v>0.24859999999999999</v>
      </c>
      <c r="K158">
        <v>4.021642574497295</v>
      </c>
      <c r="L158" t="s">
        <v>13</v>
      </c>
      <c r="M158" t="s">
        <v>445</v>
      </c>
      <c r="N158" t="s">
        <v>770</v>
      </c>
    </row>
    <row r="159" spans="1:14" x14ac:dyDescent="0.35">
      <c r="A159">
        <v>70113</v>
      </c>
      <c r="B159" s="3">
        <v>39426</v>
      </c>
      <c r="C159" t="s">
        <v>450</v>
      </c>
      <c r="D159">
        <v>2007</v>
      </c>
      <c r="E159" s="3">
        <v>39417</v>
      </c>
      <c r="F159" t="s">
        <v>182</v>
      </c>
      <c r="G159" t="s">
        <v>298</v>
      </c>
      <c r="H159">
        <v>175770</v>
      </c>
      <c r="I159">
        <v>248000</v>
      </c>
      <c r="J159">
        <v>0.70874999999999999</v>
      </c>
      <c r="K159">
        <v>1.4109347442680775</v>
      </c>
      <c r="L159" t="s">
        <v>16</v>
      </c>
      <c r="M159" t="s">
        <v>446</v>
      </c>
      <c r="N159" t="s">
        <v>757</v>
      </c>
    </row>
    <row r="160" spans="1:14" x14ac:dyDescent="0.35">
      <c r="A160">
        <v>200537</v>
      </c>
      <c r="B160" s="3">
        <v>44337</v>
      </c>
      <c r="C160" t="s">
        <v>456</v>
      </c>
      <c r="D160">
        <v>2021</v>
      </c>
      <c r="E160" s="3">
        <v>44317</v>
      </c>
      <c r="F160" t="s">
        <v>73</v>
      </c>
      <c r="G160" t="s">
        <v>74</v>
      </c>
      <c r="H160">
        <v>117380</v>
      </c>
      <c r="I160">
        <v>245000</v>
      </c>
      <c r="J160">
        <v>0.47910000000000003</v>
      </c>
      <c r="K160">
        <v>2.0872380303288467</v>
      </c>
      <c r="L160" t="s">
        <v>13</v>
      </c>
      <c r="M160" t="s">
        <v>445</v>
      </c>
      <c r="N160" t="s">
        <v>760</v>
      </c>
    </row>
    <row r="161" spans="1:14" x14ac:dyDescent="0.35">
      <c r="A161">
        <v>200101</v>
      </c>
      <c r="B161" s="3">
        <v>44203</v>
      </c>
      <c r="C161" t="s">
        <v>464</v>
      </c>
      <c r="D161">
        <v>2021</v>
      </c>
      <c r="E161" s="3">
        <v>44197</v>
      </c>
      <c r="F161" t="s">
        <v>52</v>
      </c>
      <c r="G161" t="s">
        <v>53</v>
      </c>
      <c r="H161">
        <v>142800</v>
      </c>
      <c r="I161">
        <v>245000</v>
      </c>
      <c r="J161">
        <v>0.58279999999999998</v>
      </c>
      <c r="K161">
        <v>1.7156862745098038</v>
      </c>
      <c r="L161" t="s">
        <v>13</v>
      </c>
      <c r="M161" t="s">
        <v>446</v>
      </c>
      <c r="N161" t="s">
        <v>755</v>
      </c>
    </row>
    <row r="162" spans="1:14" x14ac:dyDescent="0.35">
      <c r="A162">
        <v>70258</v>
      </c>
      <c r="B162" s="3">
        <v>39447</v>
      </c>
      <c r="C162" t="s">
        <v>450</v>
      </c>
      <c r="D162">
        <v>2007</v>
      </c>
      <c r="E162" s="3">
        <v>39417</v>
      </c>
      <c r="F162" t="s">
        <v>409</v>
      </c>
      <c r="G162" t="s">
        <v>295</v>
      </c>
      <c r="H162">
        <v>171700</v>
      </c>
      <c r="I162">
        <v>244000</v>
      </c>
      <c r="J162">
        <v>0.70368852500000001</v>
      </c>
      <c r="K162">
        <v>1.4210832847990682</v>
      </c>
      <c r="L162" t="s">
        <v>16</v>
      </c>
      <c r="M162" t="s">
        <v>446</v>
      </c>
      <c r="N162" t="s">
        <v>759</v>
      </c>
    </row>
    <row r="163" spans="1:14" x14ac:dyDescent="0.35">
      <c r="A163">
        <v>17128</v>
      </c>
      <c r="B163" s="3">
        <v>43203</v>
      </c>
      <c r="C163" t="s">
        <v>452</v>
      </c>
      <c r="D163">
        <v>2018</v>
      </c>
      <c r="E163" s="3">
        <v>43191</v>
      </c>
      <c r="F163" t="s">
        <v>284</v>
      </c>
      <c r="G163" t="s">
        <v>377</v>
      </c>
      <c r="H163">
        <v>132650</v>
      </c>
      <c r="I163">
        <v>241368</v>
      </c>
      <c r="J163">
        <v>0.54949999999999999</v>
      </c>
      <c r="K163">
        <v>1.8195853750471165</v>
      </c>
      <c r="L163" t="s">
        <v>16</v>
      </c>
      <c r="M163" t="s">
        <v>446</v>
      </c>
      <c r="N163" t="s">
        <v>758</v>
      </c>
    </row>
    <row r="164" spans="1:14" x14ac:dyDescent="0.35">
      <c r="A164">
        <v>200264</v>
      </c>
      <c r="B164" s="3">
        <v>44357</v>
      </c>
      <c r="C164" t="s">
        <v>454</v>
      </c>
      <c r="D164">
        <v>2021</v>
      </c>
      <c r="E164" s="3">
        <v>44348</v>
      </c>
      <c r="F164" t="s">
        <v>155</v>
      </c>
      <c r="G164" t="s">
        <v>156</v>
      </c>
      <c r="H164">
        <v>107500</v>
      </c>
      <c r="I164">
        <v>240000</v>
      </c>
      <c r="J164">
        <v>0.44790000000000002</v>
      </c>
      <c r="K164">
        <v>2.2325581395348837</v>
      </c>
      <c r="L164" t="s">
        <v>13</v>
      </c>
      <c r="M164" t="s">
        <v>445</v>
      </c>
      <c r="N164" t="s">
        <v>757</v>
      </c>
    </row>
    <row r="165" spans="1:14" x14ac:dyDescent="0.35">
      <c r="A165">
        <v>200226</v>
      </c>
      <c r="B165" s="3">
        <v>44183</v>
      </c>
      <c r="C165" t="s">
        <v>450</v>
      </c>
      <c r="D165">
        <v>2020</v>
      </c>
      <c r="E165" s="3">
        <v>44166</v>
      </c>
      <c r="F165" t="s">
        <v>73</v>
      </c>
      <c r="G165" t="s">
        <v>76</v>
      </c>
      <c r="H165">
        <v>145570</v>
      </c>
      <c r="I165">
        <v>240000</v>
      </c>
      <c r="J165">
        <v>0.60650000000000004</v>
      </c>
      <c r="K165">
        <v>1.6486913512399533</v>
      </c>
      <c r="L165" t="s">
        <v>13</v>
      </c>
      <c r="M165" t="s">
        <v>446</v>
      </c>
      <c r="N165" t="s">
        <v>760</v>
      </c>
    </row>
    <row r="166" spans="1:14" x14ac:dyDescent="0.35">
      <c r="A166">
        <v>200886</v>
      </c>
      <c r="B166" s="3">
        <v>44319</v>
      </c>
      <c r="C166" t="s">
        <v>456</v>
      </c>
      <c r="D166">
        <v>2021</v>
      </c>
      <c r="E166" s="3">
        <v>44317</v>
      </c>
      <c r="F166" t="s">
        <v>56</v>
      </c>
      <c r="G166" t="s">
        <v>58</v>
      </c>
      <c r="H166">
        <v>189800</v>
      </c>
      <c r="I166">
        <v>240000</v>
      </c>
      <c r="J166">
        <v>0.79079999999999995</v>
      </c>
      <c r="K166">
        <v>1.2644889357218125</v>
      </c>
      <c r="L166" t="s">
        <v>13</v>
      </c>
      <c r="M166" t="s">
        <v>446</v>
      </c>
      <c r="N166" t="s">
        <v>758</v>
      </c>
    </row>
    <row r="167" spans="1:14" x14ac:dyDescent="0.35">
      <c r="A167">
        <v>90695</v>
      </c>
      <c r="B167" s="3">
        <v>40359</v>
      </c>
      <c r="C167" t="s">
        <v>454</v>
      </c>
      <c r="D167">
        <v>2010</v>
      </c>
      <c r="E167" s="3">
        <v>40330</v>
      </c>
      <c r="F167" t="s">
        <v>122</v>
      </c>
      <c r="G167" t="s">
        <v>336</v>
      </c>
      <c r="H167">
        <v>45757</v>
      </c>
      <c r="I167">
        <v>239900</v>
      </c>
      <c r="J167">
        <v>0.19073363900000001</v>
      </c>
      <c r="K167">
        <v>5.2429136525558935</v>
      </c>
      <c r="L167" t="s">
        <v>16</v>
      </c>
      <c r="M167" t="s">
        <v>445</v>
      </c>
      <c r="N167" t="s">
        <v>757</v>
      </c>
    </row>
    <row r="168" spans="1:14" x14ac:dyDescent="0.35">
      <c r="A168">
        <v>90073</v>
      </c>
      <c r="B168" s="3">
        <v>40142</v>
      </c>
      <c r="C168" t="s">
        <v>475</v>
      </c>
      <c r="D168">
        <v>2009</v>
      </c>
      <c r="E168" s="3">
        <v>40118</v>
      </c>
      <c r="F168" t="s">
        <v>215</v>
      </c>
      <c r="G168" t="s">
        <v>335</v>
      </c>
      <c r="H168">
        <v>111300</v>
      </c>
      <c r="I168">
        <v>238521</v>
      </c>
      <c r="J168">
        <v>0.46662557999999998</v>
      </c>
      <c r="K168">
        <v>2.143045822102426</v>
      </c>
      <c r="L168" t="s">
        <v>16</v>
      </c>
      <c r="M168" t="s">
        <v>445</v>
      </c>
      <c r="N168" t="s">
        <v>759</v>
      </c>
    </row>
    <row r="169" spans="1:14" x14ac:dyDescent="0.35">
      <c r="A169">
        <v>201133</v>
      </c>
      <c r="B169" s="3">
        <v>44441</v>
      </c>
      <c r="C169" t="s">
        <v>473</v>
      </c>
      <c r="D169">
        <v>2021</v>
      </c>
      <c r="E169" s="3">
        <v>44440</v>
      </c>
      <c r="F169" t="s">
        <v>146</v>
      </c>
      <c r="G169" t="s">
        <v>150</v>
      </c>
      <c r="H169">
        <v>123480</v>
      </c>
      <c r="I169">
        <v>235000</v>
      </c>
      <c r="J169">
        <v>0.52539999999999998</v>
      </c>
      <c r="K169">
        <v>1.9031422092646582</v>
      </c>
      <c r="L169" t="s">
        <v>13</v>
      </c>
      <c r="M169" t="s">
        <v>446</v>
      </c>
      <c r="N169" t="s">
        <v>757</v>
      </c>
    </row>
    <row r="170" spans="1:14" x14ac:dyDescent="0.35">
      <c r="A170">
        <v>200207</v>
      </c>
      <c r="B170" s="3">
        <v>44357</v>
      </c>
      <c r="C170" t="s">
        <v>454</v>
      </c>
      <c r="D170">
        <v>2021</v>
      </c>
      <c r="E170" s="3">
        <v>44348</v>
      </c>
      <c r="F170" t="s">
        <v>200</v>
      </c>
      <c r="G170" t="s">
        <v>201</v>
      </c>
      <c r="H170">
        <v>120890</v>
      </c>
      <c r="I170">
        <v>234900</v>
      </c>
      <c r="J170">
        <v>0.51459999999999995</v>
      </c>
      <c r="K170">
        <v>1.9430887583753826</v>
      </c>
      <c r="L170" t="s">
        <v>13</v>
      </c>
      <c r="M170" t="s">
        <v>446</v>
      </c>
      <c r="N170" t="s">
        <v>754</v>
      </c>
    </row>
    <row r="171" spans="1:14" x14ac:dyDescent="0.35">
      <c r="A171">
        <v>200938</v>
      </c>
      <c r="B171" s="3">
        <v>44329</v>
      </c>
      <c r="C171" t="s">
        <v>456</v>
      </c>
      <c r="D171">
        <v>2021</v>
      </c>
      <c r="E171" s="3">
        <v>44317</v>
      </c>
      <c r="F171" t="s">
        <v>56</v>
      </c>
      <c r="G171" t="s">
        <v>59</v>
      </c>
      <c r="H171">
        <v>118900</v>
      </c>
      <c r="I171">
        <v>230000</v>
      </c>
      <c r="J171">
        <v>0.51690000000000003</v>
      </c>
      <c r="K171">
        <v>1.9343986543313709</v>
      </c>
      <c r="L171" t="s">
        <v>13</v>
      </c>
      <c r="M171" t="s">
        <v>446</v>
      </c>
      <c r="N171" t="s">
        <v>758</v>
      </c>
    </row>
    <row r="172" spans="1:14" x14ac:dyDescent="0.35">
      <c r="A172">
        <v>100002</v>
      </c>
      <c r="B172" s="3">
        <v>40455</v>
      </c>
      <c r="C172" t="s">
        <v>469</v>
      </c>
      <c r="D172">
        <v>2010</v>
      </c>
      <c r="E172" s="3">
        <v>40452</v>
      </c>
      <c r="F172" t="s">
        <v>29</v>
      </c>
      <c r="G172" t="s">
        <v>333</v>
      </c>
      <c r="H172">
        <v>184500</v>
      </c>
      <c r="I172">
        <v>230000</v>
      </c>
      <c r="J172">
        <v>0.80217391299999996</v>
      </c>
      <c r="K172">
        <v>1.2466124661246611</v>
      </c>
      <c r="L172" t="s">
        <v>16</v>
      </c>
      <c r="M172" t="s">
        <v>446</v>
      </c>
      <c r="N172" t="s">
        <v>766</v>
      </c>
    </row>
    <row r="173" spans="1:14" x14ac:dyDescent="0.35">
      <c r="A173">
        <v>20059</v>
      </c>
      <c r="B173" s="3">
        <v>44245</v>
      </c>
      <c r="C173" t="s">
        <v>460</v>
      </c>
      <c r="D173">
        <v>2021</v>
      </c>
      <c r="E173" s="3">
        <v>44228</v>
      </c>
      <c r="F173" t="s">
        <v>113</v>
      </c>
      <c r="G173" t="s">
        <v>114</v>
      </c>
      <c r="H173">
        <v>121510</v>
      </c>
      <c r="I173">
        <v>229900</v>
      </c>
      <c r="J173">
        <v>0.52849999999999997</v>
      </c>
      <c r="K173">
        <v>1.8920253477080076</v>
      </c>
      <c r="L173" t="s">
        <v>13</v>
      </c>
      <c r="M173" t="s">
        <v>446</v>
      </c>
      <c r="N173" t="s">
        <v>772</v>
      </c>
    </row>
    <row r="174" spans="1:14" x14ac:dyDescent="0.35">
      <c r="A174">
        <v>70052</v>
      </c>
      <c r="B174" s="3">
        <v>39367</v>
      </c>
      <c r="C174" t="s">
        <v>469</v>
      </c>
      <c r="D174">
        <v>2007</v>
      </c>
      <c r="E174" s="3">
        <v>39356</v>
      </c>
      <c r="F174" t="s">
        <v>159</v>
      </c>
      <c r="G174" t="s">
        <v>292</v>
      </c>
      <c r="H174">
        <v>161700</v>
      </c>
      <c r="I174">
        <v>227000</v>
      </c>
      <c r="J174">
        <v>0.71233480199999999</v>
      </c>
      <c r="K174">
        <v>1.4038342609771182</v>
      </c>
      <c r="L174" t="s">
        <v>16</v>
      </c>
      <c r="M174" t="s">
        <v>446</v>
      </c>
      <c r="N174" t="s">
        <v>757</v>
      </c>
    </row>
    <row r="175" spans="1:14" x14ac:dyDescent="0.35">
      <c r="A175">
        <v>200374</v>
      </c>
      <c r="B175" s="3">
        <v>44334</v>
      </c>
      <c r="C175" t="s">
        <v>456</v>
      </c>
      <c r="D175">
        <v>2021</v>
      </c>
      <c r="E175" s="3">
        <v>44317</v>
      </c>
      <c r="F175" t="s">
        <v>187</v>
      </c>
      <c r="G175" t="s">
        <v>258</v>
      </c>
      <c r="H175">
        <v>129190</v>
      </c>
      <c r="I175">
        <v>226800</v>
      </c>
      <c r="J175">
        <v>0.5696</v>
      </c>
      <c r="K175">
        <v>1.7555538354361793</v>
      </c>
      <c r="L175" t="s">
        <v>13</v>
      </c>
      <c r="M175" t="s">
        <v>446</v>
      </c>
      <c r="N175" t="s">
        <v>771</v>
      </c>
    </row>
    <row r="176" spans="1:14" x14ac:dyDescent="0.35">
      <c r="A176">
        <v>200106</v>
      </c>
      <c r="B176" s="3">
        <v>44137</v>
      </c>
      <c r="C176" t="s">
        <v>475</v>
      </c>
      <c r="D176">
        <v>2020</v>
      </c>
      <c r="E176" s="3">
        <v>44136</v>
      </c>
      <c r="F176" t="s">
        <v>139</v>
      </c>
      <c r="G176" t="s">
        <v>250</v>
      </c>
      <c r="H176">
        <v>126570</v>
      </c>
      <c r="I176">
        <v>225005</v>
      </c>
      <c r="J176">
        <v>0.5625</v>
      </c>
      <c r="K176">
        <v>1.7777119380579915</v>
      </c>
      <c r="L176" t="s">
        <v>13</v>
      </c>
      <c r="M176" t="s">
        <v>446</v>
      </c>
      <c r="N176" t="s">
        <v>763</v>
      </c>
    </row>
    <row r="177" spans="1:14" x14ac:dyDescent="0.35">
      <c r="A177">
        <v>160452</v>
      </c>
      <c r="B177" s="3">
        <v>42989</v>
      </c>
      <c r="C177" t="s">
        <v>473</v>
      </c>
      <c r="D177">
        <v>2017</v>
      </c>
      <c r="E177" s="3">
        <v>42979</v>
      </c>
      <c r="F177" t="s">
        <v>200</v>
      </c>
      <c r="G177" t="s">
        <v>400</v>
      </c>
      <c r="H177">
        <v>145950</v>
      </c>
      <c r="I177">
        <v>225000</v>
      </c>
      <c r="J177">
        <v>0.64866666699999997</v>
      </c>
      <c r="K177">
        <v>1.5416238437821173</v>
      </c>
      <c r="L177" t="s">
        <v>16</v>
      </c>
      <c r="M177" t="s">
        <v>446</v>
      </c>
      <c r="N177" t="s">
        <v>754</v>
      </c>
    </row>
    <row r="178" spans="1:14" x14ac:dyDescent="0.35">
      <c r="A178">
        <v>20086</v>
      </c>
      <c r="B178" s="3">
        <v>44126</v>
      </c>
      <c r="C178" t="s">
        <v>469</v>
      </c>
      <c r="D178">
        <v>2020</v>
      </c>
      <c r="E178" s="3">
        <v>44105</v>
      </c>
      <c r="F178" t="s">
        <v>146</v>
      </c>
      <c r="G178" t="s">
        <v>429</v>
      </c>
      <c r="H178">
        <v>122220</v>
      </c>
      <c r="I178">
        <v>223000</v>
      </c>
      <c r="J178">
        <v>0.54800000000000004</v>
      </c>
      <c r="K178">
        <v>1.82457862870234</v>
      </c>
      <c r="L178" t="s">
        <v>13</v>
      </c>
      <c r="M178" t="s">
        <v>446</v>
      </c>
      <c r="N178" t="s">
        <v>757</v>
      </c>
    </row>
    <row r="179" spans="1:14" x14ac:dyDescent="0.35">
      <c r="A179">
        <v>20102</v>
      </c>
      <c r="B179" s="3">
        <v>44174</v>
      </c>
      <c r="C179" t="s">
        <v>450</v>
      </c>
      <c r="D179">
        <v>2020</v>
      </c>
      <c r="E179" s="3">
        <v>44166</v>
      </c>
      <c r="F179" t="s">
        <v>191</v>
      </c>
      <c r="G179" t="s">
        <v>270</v>
      </c>
      <c r="H179">
        <v>127000</v>
      </c>
      <c r="I179">
        <v>223000</v>
      </c>
      <c r="J179">
        <v>0.56950000000000001</v>
      </c>
      <c r="K179">
        <v>1.7559055118110236</v>
      </c>
      <c r="L179" t="s">
        <v>13</v>
      </c>
      <c r="M179" t="s">
        <v>446</v>
      </c>
      <c r="N179" t="s">
        <v>759</v>
      </c>
    </row>
    <row r="180" spans="1:14" x14ac:dyDescent="0.35">
      <c r="A180">
        <v>20614</v>
      </c>
      <c r="B180" s="3">
        <v>44294</v>
      </c>
      <c r="C180" t="s">
        <v>452</v>
      </c>
      <c r="D180">
        <v>2021</v>
      </c>
      <c r="E180" s="3">
        <v>44287</v>
      </c>
      <c r="F180" t="s">
        <v>98</v>
      </c>
      <c r="G180" t="s">
        <v>101</v>
      </c>
      <c r="H180">
        <v>52500</v>
      </c>
      <c r="I180">
        <v>220000</v>
      </c>
      <c r="J180">
        <v>0.23860000000000001</v>
      </c>
      <c r="K180">
        <v>4.1904761904761907</v>
      </c>
      <c r="L180" t="s">
        <v>13</v>
      </c>
      <c r="M180" t="s">
        <v>445</v>
      </c>
      <c r="N180" t="s">
        <v>770</v>
      </c>
    </row>
    <row r="181" spans="1:14" x14ac:dyDescent="0.35">
      <c r="A181">
        <v>200179</v>
      </c>
      <c r="B181" s="3">
        <v>44369</v>
      </c>
      <c r="C181" t="s">
        <v>454</v>
      </c>
      <c r="D181">
        <v>2021</v>
      </c>
      <c r="E181" s="3">
        <v>44348</v>
      </c>
      <c r="F181" t="s">
        <v>195</v>
      </c>
      <c r="G181" t="s">
        <v>196</v>
      </c>
      <c r="H181">
        <v>134750</v>
      </c>
      <c r="I181">
        <v>220000</v>
      </c>
      <c r="J181">
        <v>0.61250000000000004</v>
      </c>
      <c r="K181">
        <v>1.6326530612244898</v>
      </c>
      <c r="L181" t="s">
        <v>13</v>
      </c>
      <c r="M181" t="s">
        <v>446</v>
      </c>
      <c r="N181" t="s">
        <v>764</v>
      </c>
    </row>
    <row r="182" spans="1:14" x14ac:dyDescent="0.35">
      <c r="A182">
        <v>70073</v>
      </c>
      <c r="B182" s="3">
        <v>39521</v>
      </c>
      <c r="C182" t="s">
        <v>471</v>
      </c>
      <c r="D182">
        <v>2008</v>
      </c>
      <c r="E182" s="3">
        <v>39508</v>
      </c>
      <c r="F182" t="s">
        <v>41</v>
      </c>
      <c r="G182" t="s">
        <v>301</v>
      </c>
      <c r="H182">
        <v>126000</v>
      </c>
      <c r="I182">
        <v>217500</v>
      </c>
      <c r="J182">
        <v>0.579310345</v>
      </c>
      <c r="K182">
        <v>1.7261904761904763</v>
      </c>
      <c r="L182" t="s">
        <v>16</v>
      </c>
      <c r="M182" t="s">
        <v>446</v>
      </c>
      <c r="N182" t="s">
        <v>755</v>
      </c>
    </row>
    <row r="183" spans="1:14" x14ac:dyDescent="0.35">
      <c r="A183">
        <v>202611</v>
      </c>
      <c r="B183" s="3">
        <v>44383</v>
      </c>
      <c r="C183" t="s">
        <v>458</v>
      </c>
      <c r="D183">
        <v>2021</v>
      </c>
      <c r="E183" s="3">
        <v>44378</v>
      </c>
      <c r="F183" t="s">
        <v>122</v>
      </c>
      <c r="G183" t="s">
        <v>173</v>
      </c>
      <c r="H183">
        <v>144380</v>
      </c>
      <c r="I183">
        <v>217500</v>
      </c>
      <c r="J183">
        <v>0.66379999999999995</v>
      </c>
      <c r="K183">
        <v>1.506441335365009</v>
      </c>
      <c r="L183" t="s">
        <v>13</v>
      </c>
      <c r="M183" t="s">
        <v>446</v>
      </c>
      <c r="N183" t="s">
        <v>757</v>
      </c>
    </row>
    <row r="184" spans="1:14" x14ac:dyDescent="0.35">
      <c r="A184">
        <v>160773</v>
      </c>
      <c r="B184" s="3">
        <v>42905</v>
      </c>
      <c r="C184" t="s">
        <v>454</v>
      </c>
      <c r="D184">
        <v>2017</v>
      </c>
      <c r="E184" s="3">
        <v>42887</v>
      </c>
      <c r="F184" t="s">
        <v>129</v>
      </c>
      <c r="G184" t="s">
        <v>396</v>
      </c>
      <c r="H184">
        <v>153230</v>
      </c>
      <c r="I184">
        <v>215000</v>
      </c>
      <c r="J184">
        <v>0.71269767399999995</v>
      </c>
      <c r="K184">
        <v>1.4031194935717548</v>
      </c>
      <c r="L184" t="s">
        <v>16</v>
      </c>
      <c r="M184" t="s">
        <v>446</v>
      </c>
      <c r="N184" t="s">
        <v>762</v>
      </c>
    </row>
    <row r="185" spans="1:14" x14ac:dyDescent="0.35">
      <c r="A185">
        <v>201440</v>
      </c>
      <c r="B185" s="3">
        <v>44454</v>
      </c>
      <c r="C185" t="s">
        <v>473</v>
      </c>
      <c r="D185">
        <v>2021</v>
      </c>
      <c r="E185" s="3">
        <v>44440</v>
      </c>
      <c r="F185" t="s">
        <v>159</v>
      </c>
      <c r="G185" t="s">
        <v>163</v>
      </c>
      <c r="H185">
        <v>80150</v>
      </c>
      <c r="I185">
        <v>214000</v>
      </c>
      <c r="J185">
        <v>0.3745</v>
      </c>
      <c r="K185">
        <v>2.6699937616968183</v>
      </c>
      <c r="L185" t="s">
        <v>13</v>
      </c>
      <c r="M185" t="s">
        <v>445</v>
      </c>
      <c r="N185" t="s">
        <v>757</v>
      </c>
    </row>
    <row r="186" spans="1:14" x14ac:dyDescent="0.35">
      <c r="A186">
        <v>90002</v>
      </c>
      <c r="B186" s="3">
        <v>40087</v>
      </c>
      <c r="C186" t="s">
        <v>469</v>
      </c>
      <c r="D186">
        <v>2009</v>
      </c>
      <c r="E186" s="3">
        <v>40087</v>
      </c>
      <c r="F186" t="s">
        <v>139</v>
      </c>
      <c r="G186" t="s">
        <v>343</v>
      </c>
      <c r="H186">
        <v>150710</v>
      </c>
      <c r="I186">
        <v>210000</v>
      </c>
      <c r="J186">
        <v>0.71766666700000004</v>
      </c>
      <c r="K186">
        <v>1.3934045517882026</v>
      </c>
      <c r="L186" t="s">
        <v>16</v>
      </c>
      <c r="M186" t="s">
        <v>446</v>
      </c>
      <c r="N186" t="s">
        <v>763</v>
      </c>
    </row>
    <row r="187" spans="1:14" x14ac:dyDescent="0.35">
      <c r="A187">
        <v>20064</v>
      </c>
      <c r="B187" s="3">
        <v>44439</v>
      </c>
      <c r="C187" t="s">
        <v>462</v>
      </c>
      <c r="D187">
        <v>2021</v>
      </c>
      <c r="E187" s="3">
        <v>44409</v>
      </c>
      <c r="F187" t="s">
        <v>81</v>
      </c>
      <c r="G187" t="s">
        <v>82</v>
      </c>
      <c r="H187">
        <v>186770</v>
      </c>
      <c r="I187">
        <v>209000</v>
      </c>
      <c r="J187">
        <v>0.89359999999999995</v>
      </c>
      <c r="K187">
        <v>1.1190233977619533</v>
      </c>
      <c r="L187" t="s">
        <v>10</v>
      </c>
      <c r="M187" t="s">
        <v>446</v>
      </c>
      <c r="N187" t="s">
        <v>769</v>
      </c>
    </row>
    <row r="188" spans="1:14" x14ac:dyDescent="0.35">
      <c r="A188">
        <v>70280</v>
      </c>
      <c r="B188" s="3">
        <v>39650</v>
      </c>
      <c r="C188" t="s">
        <v>458</v>
      </c>
      <c r="D188">
        <v>2008</v>
      </c>
      <c r="E188" s="3">
        <v>39630</v>
      </c>
      <c r="F188" t="s">
        <v>43</v>
      </c>
      <c r="G188" t="s">
        <v>302</v>
      </c>
      <c r="H188">
        <v>98180</v>
      </c>
      <c r="I188">
        <v>204900</v>
      </c>
      <c r="J188">
        <v>0.47916056600000001</v>
      </c>
      <c r="K188">
        <v>2.0869830922794868</v>
      </c>
      <c r="L188" t="s">
        <v>16</v>
      </c>
      <c r="M188" t="s">
        <v>445</v>
      </c>
      <c r="N188" t="s">
        <v>755</v>
      </c>
    </row>
    <row r="189" spans="1:14" x14ac:dyDescent="0.35">
      <c r="A189">
        <v>2000330</v>
      </c>
      <c r="B189" s="3">
        <v>44336</v>
      </c>
      <c r="C189" t="s">
        <v>456</v>
      </c>
      <c r="D189">
        <v>2021</v>
      </c>
      <c r="E189" s="3">
        <v>44317</v>
      </c>
      <c r="F189" t="s">
        <v>43</v>
      </c>
      <c r="G189" t="s">
        <v>45</v>
      </c>
      <c r="H189">
        <v>144220</v>
      </c>
      <c r="I189">
        <v>204000</v>
      </c>
      <c r="J189">
        <v>0.70689999999999997</v>
      </c>
      <c r="K189">
        <v>1.4145056164193592</v>
      </c>
      <c r="L189" t="s">
        <v>13</v>
      </c>
      <c r="M189" t="s">
        <v>446</v>
      </c>
      <c r="N189" t="s">
        <v>755</v>
      </c>
    </row>
    <row r="190" spans="1:14" x14ac:dyDescent="0.35">
      <c r="A190">
        <v>20135</v>
      </c>
      <c r="B190" s="3">
        <v>44217</v>
      </c>
      <c r="C190" t="s">
        <v>464</v>
      </c>
      <c r="D190">
        <v>2021</v>
      </c>
      <c r="E190" s="3">
        <v>44197</v>
      </c>
      <c r="F190" t="s">
        <v>184</v>
      </c>
      <c r="G190" t="s">
        <v>185</v>
      </c>
      <c r="H190">
        <v>98580</v>
      </c>
      <c r="I190">
        <v>200000</v>
      </c>
      <c r="J190">
        <v>0.4929</v>
      </c>
      <c r="K190">
        <v>2.028809089064719</v>
      </c>
      <c r="L190" t="s">
        <v>13</v>
      </c>
      <c r="M190" t="s">
        <v>445</v>
      </c>
      <c r="N190" t="s">
        <v>764</v>
      </c>
    </row>
    <row r="191" spans="1:14" x14ac:dyDescent="0.35">
      <c r="A191">
        <v>161187</v>
      </c>
      <c r="B191" s="3">
        <v>42930</v>
      </c>
      <c r="C191" t="s">
        <v>458</v>
      </c>
      <c r="D191">
        <v>2017</v>
      </c>
      <c r="E191" s="3">
        <v>42917</v>
      </c>
      <c r="F191" t="s">
        <v>122</v>
      </c>
      <c r="G191" t="s">
        <v>378</v>
      </c>
      <c r="H191">
        <v>143240</v>
      </c>
      <c r="I191">
        <v>200000</v>
      </c>
      <c r="J191">
        <v>0.71619999999999995</v>
      </c>
      <c r="K191">
        <v>1.3962580284836639</v>
      </c>
      <c r="L191" t="s">
        <v>16</v>
      </c>
      <c r="M191" t="s">
        <v>446</v>
      </c>
      <c r="N191" t="s">
        <v>757</v>
      </c>
    </row>
    <row r="192" spans="1:14" x14ac:dyDescent="0.35">
      <c r="A192">
        <v>200052</v>
      </c>
      <c r="B192" s="3">
        <v>44151</v>
      </c>
      <c r="C192" t="s">
        <v>475</v>
      </c>
      <c r="D192">
        <v>2020</v>
      </c>
      <c r="E192" s="3">
        <v>44136</v>
      </c>
      <c r="F192" t="s">
        <v>115</v>
      </c>
      <c r="G192" t="s">
        <v>116</v>
      </c>
      <c r="H192">
        <v>149570</v>
      </c>
      <c r="I192">
        <v>200000</v>
      </c>
      <c r="J192">
        <v>0.74780000000000002</v>
      </c>
      <c r="K192">
        <v>1.3371665440930669</v>
      </c>
      <c r="L192" t="s">
        <v>13</v>
      </c>
      <c r="M192" t="s">
        <v>446</v>
      </c>
      <c r="N192" t="s">
        <v>772</v>
      </c>
    </row>
    <row r="193" spans="1:14" x14ac:dyDescent="0.35">
      <c r="A193">
        <v>170327</v>
      </c>
      <c r="B193" s="3">
        <v>43208</v>
      </c>
      <c r="C193" t="s">
        <v>452</v>
      </c>
      <c r="D193">
        <v>2018</v>
      </c>
      <c r="E193" s="3">
        <v>43191</v>
      </c>
      <c r="F193" t="s">
        <v>73</v>
      </c>
      <c r="G193" t="s">
        <v>389</v>
      </c>
      <c r="H193">
        <v>124660</v>
      </c>
      <c r="I193">
        <v>196000</v>
      </c>
      <c r="J193">
        <v>0.63600000000000001</v>
      </c>
      <c r="K193">
        <v>1.5722765923311408</v>
      </c>
      <c r="L193" t="s">
        <v>16</v>
      </c>
      <c r="M193" t="s">
        <v>446</v>
      </c>
      <c r="N193" t="s">
        <v>760</v>
      </c>
    </row>
    <row r="194" spans="1:14" x14ac:dyDescent="0.35">
      <c r="A194">
        <v>2000857</v>
      </c>
      <c r="B194" s="3">
        <v>44217</v>
      </c>
      <c r="C194" t="s">
        <v>464</v>
      </c>
      <c r="D194">
        <v>2021</v>
      </c>
      <c r="E194" s="3">
        <v>44197</v>
      </c>
      <c r="F194" t="s">
        <v>181</v>
      </c>
      <c r="G194" t="s">
        <v>222</v>
      </c>
      <c r="H194">
        <v>109420</v>
      </c>
      <c r="I194">
        <v>195000</v>
      </c>
      <c r="J194">
        <v>0.56110000000000004</v>
      </c>
      <c r="K194">
        <v>1.7821239261560957</v>
      </c>
      <c r="L194" t="s">
        <v>13</v>
      </c>
      <c r="M194" t="s">
        <v>446</v>
      </c>
      <c r="N194" t="s">
        <v>762</v>
      </c>
    </row>
    <row r="195" spans="1:14" x14ac:dyDescent="0.35">
      <c r="A195">
        <v>2000296</v>
      </c>
      <c r="B195" s="3">
        <v>44239</v>
      </c>
      <c r="C195" t="s">
        <v>460</v>
      </c>
      <c r="D195">
        <v>2021</v>
      </c>
      <c r="E195" s="3">
        <v>44228</v>
      </c>
      <c r="F195" t="s">
        <v>140</v>
      </c>
      <c r="G195" t="s">
        <v>141</v>
      </c>
      <c r="H195">
        <v>114660</v>
      </c>
      <c r="I195">
        <v>195000</v>
      </c>
      <c r="J195">
        <v>0.58799999999999997</v>
      </c>
      <c r="K195">
        <v>1.7006802721088434</v>
      </c>
      <c r="L195" t="s">
        <v>13</v>
      </c>
      <c r="M195" t="s">
        <v>446</v>
      </c>
      <c r="N195" t="s">
        <v>757</v>
      </c>
    </row>
    <row r="196" spans="1:14" x14ac:dyDescent="0.35">
      <c r="A196">
        <v>900039</v>
      </c>
      <c r="B196" s="3">
        <v>40136</v>
      </c>
      <c r="C196" t="s">
        <v>475</v>
      </c>
      <c r="D196">
        <v>2009</v>
      </c>
      <c r="E196" s="3">
        <v>40118</v>
      </c>
      <c r="F196" t="s">
        <v>200</v>
      </c>
      <c r="G196" t="s">
        <v>319</v>
      </c>
      <c r="H196">
        <v>138950</v>
      </c>
      <c r="I196">
        <v>195000</v>
      </c>
      <c r="J196">
        <v>0.71256410299999995</v>
      </c>
      <c r="K196">
        <v>1.4033825116948542</v>
      </c>
      <c r="L196" t="s">
        <v>16</v>
      </c>
      <c r="M196" t="s">
        <v>446</v>
      </c>
      <c r="N196" t="s">
        <v>754</v>
      </c>
    </row>
    <row r="197" spans="1:14" x14ac:dyDescent="0.35">
      <c r="A197">
        <v>2000022</v>
      </c>
      <c r="B197" s="3">
        <v>44117</v>
      </c>
      <c r="C197" t="s">
        <v>469</v>
      </c>
      <c r="D197">
        <v>2020</v>
      </c>
      <c r="E197" s="3">
        <v>44105</v>
      </c>
      <c r="F197" t="s">
        <v>140</v>
      </c>
      <c r="G197" t="s">
        <v>145</v>
      </c>
      <c r="H197">
        <v>108070</v>
      </c>
      <c r="I197">
        <v>193500</v>
      </c>
      <c r="J197">
        <v>0.5585</v>
      </c>
      <c r="K197">
        <v>1.7905061534190803</v>
      </c>
      <c r="L197" t="s">
        <v>13</v>
      </c>
      <c r="M197" t="s">
        <v>446</v>
      </c>
      <c r="N197" t="s">
        <v>757</v>
      </c>
    </row>
    <row r="198" spans="1:14" x14ac:dyDescent="0.35">
      <c r="A198">
        <v>200010</v>
      </c>
      <c r="B198" s="3">
        <v>44126</v>
      </c>
      <c r="C198" t="s">
        <v>469</v>
      </c>
      <c r="D198">
        <v>2020</v>
      </c>
      <c r="E198" s="3">
        <v>44105</v>
      </c>
      <c r="F198" t="s">
        <v>200</v>
      </c>
      <c r="G198" t="s">
        <v>202</v>
      </c>
      <c r="H198">
        <v>128870</v>
      </c>
      <c r="I198">
        <v>193000</v>
      </c>
      <c r="J198">
        <v>0.66769999999999996</v>
      </c>
      <c r="K198">
        <v>1.4976332738418561</v>
      </c>
      <c r="L198" t="s">
        <v>13</v>
      </c>
      <c r="M198" t="s">
        <v>446</v>
      </c>
      <c r="N198" t="s">
        <v>754</v>
      </c>
    </row>
    <row r="199" spans="1:14" x14ac:dyDescent="0.35">
      <c r="A199">
        <v>201176</v>
      </c>
      <c r="B199" s="3">
        <v>44264</v>
      </c>
      <c r="C199" t="s">
        <v>471</v>
      </c>
      <c r="D199">
        <v>2021</v>
      </c>
      <c r="E199" s="3">
        <v>44256</v>
      </c>
      <c r="F199" t="s">
        <v>144</v>
      </c>
      <c r="G199" t="s">
        <v>165</v>
      </c>
      <c r="H199">
        <v>165550</v>
      </c>
      <c r="I199">
        <v>191000</v>
      </c>
      <c r="J199">
        <v>0.86670000000000003</v>
      </c>
      <c r="K199">
        <v>1.1537299909392933</v>
      </c>
      <c r="L199" t="s">
        <v>13</v>
      </c>
      <c r="M199" t="s">
        <v>446</v>
      </c>
      <c r="N199" t="s">
        <v>757</v>
      </c>
    </row>
    <row r="200" spans="1:14" x14ac:dyDescent="0.35">
      <c r="A200">
        <v>200419</v>
      </c>
      <c r="B200" s="3">
        <v>44231</v>
      </c>
      <c r="C200" t="s">
        <v>460</v>
      </c>
      <c r="D200">
        <v>2021</v>
      </c>
      <c r="E200" s="3">
        <v>44228</v>
      </c>
      <c r="F200" t="s">
        <v>159</v>
      </c>
      <c r="G200" t="s">
        <v>160</v>
      </c>
      <c r="H200">
        <v>74200</v>
      </c>
      <c r="I200">
        <v>190000</v>
      </c>
      <c r="J200">
        <v>0.39050000000000001</v>
      </c>
      <c r="K200">
        <v>2.5606469002695418</v>
      </c>
      <c r="L200" t="s">
        <v>13</v>
      </c>
      <c r="M200" t="s">
        <v>445</v>
      </c>
      <c r="N200" t="s">
        <v>757</v>
      </c>
    </row>
    <row r="201" spans="1:14" x14ac:dyDescent="0.35">
      <c r="A201">
        <v>70149</v>
      </c>
      <c r="B201" s="3">
        <v>39504</v>
      </c>
      <c r="C201" t="s">
        <v>460</v>
      </c>
      <c r="D201">
        <v>2008</v>
      </c>
      <c r="E201" s="3">
        <v>39479</v>
      </c>
      <c r="F201" t="s">
        <v>66</v>
      </c>
      <c r="G201" t="s">
        <v>296</v>
      </c>
      <c r="H201">
        <v>125300</v>
      </c>
      <c r="I201">
        <v>190000</v>
      </c>
      <c r="J201">
        <v>0.65947368399999995</v>
      </c>
      <c r="K201">
        <v>1.5163607342378291</v>
      </c>
      <c r="L201" t="s">
        <v>16</v>
      </c>
      <c r="M201" t="s">
        <v>446</v>
      </c>
      <c r="N201" t="s">
        <v>760</v>
      </c>
    </row>
    <row r="202" spans="1:14" x14ac:dyDescent="0.35">
      <c r="A202">
        <v>20486</v>
      </c>
      <c r="B202" s="3">
        <v>44362</v>
      </c>
      <c r="C202" t="s">
        <v>454</v>
      </c>
      <c r="D202">
        <v>2021</v>
      </c>
      <c r="E202" s="3">
        <v>44348</v>
      </c>
      <c r="F202" t="s">
        <v>216</v>
      </c>
      <c r="G202" t="s">
        <v>217</v>
      </c>
      <c r="H202">
        <v>92080</v>
      </c>
      <c r="I202">
        <v>185000</v>
      </c>
      <c r="J202">
        <v>0.49769999999999998</v>
      </c>
      <c r="K202">
        <v>2.0091225021720245</v>
      </c>
      <c r="L202" t="s">
        <v>13</v>
      </c>
      <c r="M202" t="s">
        <v>445</v>
      </c>
      <c r="N202" t="s">
        <v>762</v>
      </c>
    </row>
    <row r="203" spans="1:14" x14ac:dyDescent="0.35">
      <c r="A203">
        <v>200759</v>
      </c>
      <c r="B203" s="3">
        <v>44398</v>
      </c>
      <c r="C203" t="s">
        <v>458</v>
      </c>
      <c r="D203">
        <v>2021</v>
      </c>
      <c r="E203" s="3">
        <v>44378</v>
      </c>
      <c r="F203" t="s">
        <v>206</v>
      </c>
      <c r="G203" t="s">
        <v>207</v>
      </c>
      <c r="H203">
        <v>144410</v>
      </c>
      <c r="I203">
        <v>185000</v>
      </c>
      <c r="J203">
        <v>0.78049999999999997</v>
      </c>
      <c r="K203">
        <v>1.2810747178173256</v>
      </c>
      <c r="L203" t="s">
        <v>13</v>
      </c>
      <c r="M203" t="s">
        <v>446</v>
      </c>
      <c r="N203" t="s">
        <v>762</v>
      </c>
    </row>
    <row r="204" spans="1:14" x14ac:dyDescent="0.35">
      <c r="A204">
        <v>2000473</v>
      </c>
      <c r="B204" s="3">
        <v>44334</v>
      </c>
      <c r="C204" t="s">
        <v>456</v>
      </c>
      <c r="D204">
        <v>2021</v>
      </c>
      <c r="E204" s="3">
        <v>44317</v>
      </c>
      <c r="F204" t="s">
        <v>140</v>
      </c>
      <c r="G204" t="s">
        <v>143</v>
      </c>
      <c r="H204">
        <v>98900</v>
      </c>
      <c r="I204">
        <v>184500</v>
      </c>
      <c r="J204">
        <v>0.53600000000000003</v>
      </c>
      <c r="K204">
        <v>1.865520728008089</v>
      </c>
      <c r="L204" t="s">
        <v>13</v>
      </c>
      <c r="M204" t="s">
        <v>446</v>
      </c>
      <c r="N204" t="s">
        <v>757</v>
      </c>
    </row>
    <row r="205" spans="1:14" x14ac:dyDescent="0.35">
      <c r="A205">
        <v>200527</v>
      </c>
      <c r="B205" s="3">
        <v>44256</v>
      </c>
      <c r="C205" t="s">
        <v>471</v>
      </c>
      <c r="D205">
        <v>2021</v>
      </c>
      <c r="E205" s="3">
        <v>44256</v>
      </c>
      <c r="F205" t="s">
        <v>32</v>
      </c>
      <c r="G205" t="s">
        <v>35</v>
      </c>
      <c r="H205">
        <v>85680</v>
      </c>
      <c r="I205">
        <v>183000</v>
      </c>
      <c r="J205">
        <v>0.46810000000000002</v>
      </c>
      <c r="K205">
        <v>2.1358543417366946</v>
      </c>
      <c r="L205" t="s">
        <v>13</v>
      </c>
      <c r="M205" t="s">
        <v>445</v>
      </c>
      <c r="N205" t="s">
        <v>766</v>
      </c>
    </row>
    <row r="206" spans="1:14" x14ac:dyDescent="0.35">
      <c r="A206">
        <v>161740</v>
      </c>
      <c r="B206" s="3">
        <v>42951</v>
      </c>
      <c r="C206" t="s">
        <v>462</v>
      </c>
      <c r="D206">
        <v>2017</v>
      </c>
      <c r="E206" s="3">
        <v>42948</v>
      </c>
      <c r="F206" t="s">
        <v>181</v>
      </c>
      <c r="G206" t="s">
        <v>392</v>
      </c>
      <c r="H206">
        <v>102440</v>
      </c>
      <c r="I206">
        <v>180450</v>
      </c>
      <c r="J206">
        <v>0.56769188100000001</v>
      </c>
      <c r="K206">
        <v>1.761518937914877</v>
      </c>
      <c r="L206" t="s">
        <v>16</v>
      </c>
      <c r="M206" t="s">
        <v>446</v>
      </c>
      <c r="N206" t="s">
        <v>762</v>
      </c>
    </row>
    <row r="207" spans="1:14" x14ac:dyDescent="0.35">
      <c r="A207">
        <v>200362</v>
      </c>
      <c r="B207" s="3">
        <v>44340</v>
      </c>
      <c r="C207" t="s">
        <v>456</v>
      </c>
      <c r="D207">
        <v>2021</v>
      </c>
      <c r="E207" s="3">
        <v>44317</v>
      </c>
      <c r="F207" t="s">
        <v>210</v>
      </c>
      <c r="G207" t="s">
        <v>211</v>
      </c>
      <c r="H207">
        <v>99660</v>
      </c>
      <c r="I207">
        <v>180000</v>
      </c>
      <c r="J207">
        <v>0.55359999999999998</v>
      </c>
      <c r="K207">
        <v>1.8061408789885611</v>
      </c>
      <c r="L207" t="s">
        <v>13</v>
      </c>
      <c r="M207" t="s">
        <v>446</v>
      </c>
      <c r="N207" t="s">
        <v>762</v>
      </c>
    </row>
    <row r="208" spans="1:14" x14ac:dyDescent="0.35">
      <c r="A208">
        <v>20750</v>
      </c>
      <c r="B208" s="3">
        <v>44322</v>
      </c>
      <c r="C208" t="s">
        <v>456</v>
      </c>
      <c r="D208">
        <v>2021</v>
      </c>
      <c r="E208" s="3">
        <v>44317</v>
      </c>
      <c r="F208" t="s">
        <v>98</v>
      </c>
      <c r="G208" t="s">
        <v>102</v>
      </c>
      <c r="H208">
        <v>126560</v>
      </c>
      <c r="I208">
        <v>180000</v>
      </c>
      <c r="J208">
        <v>0.70309999999999995</v>
      </c>
      <c r="K208">
        <v>1.4222503160556257</v>
      </c>
      <c r="L208" t="s">
        <v>10</v>
      </c>
      <c r="M208" t="s">
        <v>446</v>
      </c>
      <c r="N208" t="s">
        <v>770</v>
      </c>
    </row>
    <row r="209" spans="1:14" x14ac:dyDescent="0.35">
      <c r="A209">
        <v>200212</v>
      </c>
      <c r="B209" s="3">
        <v>44264</v>
      </c>
      <c r="C209" t="s">
        <v>471</v>
      </c>
      <c r="D209">
        <v>2021</v>
      </c>
      <c r="E209" s="3">
        <v>44256</v>
      </c>
      <c r="F209" t="s">
        <v>14</v>
      </c>
      <c r="G209" t="s">
        <v>15</v>
      </c>
      <c r="H209">
        <v>130400</v>
      </c>
      <c r="I209">
        <v>179900</v>
      </c>
      <c r="J209">
        <v>0.7248</v>
      </c>
      <c r="K209">
        <v>1.3796012269938651</v>
      </c>
      <c r="L209" t="s">
        <v>13</v>
      </c>
      <c r="M209" t="s">
        <v>446</v>
      </c>
      <c r="N209" t="s">
        <v>761</v>
      </c>
    </row>
    <row r="210" spans="1:14" x14ac:dyDescent="0.35">
      <c r="A210">
        <v>160539</v>
      </c>
      <c r="B210" s="3">
        <v>42741</v>
      </c>
      <c r="C210" t="s">
        <v>464</v>
      </c>
      <c r="D210">
        <v>2017</v>
      </c>
      <c r="E210" s="3">
        <v>42736</v>
      </c>
      <c r="F210" t="s">
        <v>181</v>
      </c>
      <c r="G210" t="s">
        <v>397</v>
      </c>
      <c r="H210">
        <v>74670</v>
      </c>
      <c r="I210">
        <v>176500</v>
      </c>
      <c r="J210">
        <v>0.42305948999999998</v>
      </c>
      <c r="K210">
        <v>2.36373376188563</v>
      </c>
      <c r="L210" t="s">
        <v>16</v>
      </c>
      <c r="M210" t="s">
        <v>445</v>
      </c>
      <c r="N210" t="s">
        <v>762</v>
      </c>
    </row>
    <row r="211" spans="1:14" x14ac:dyDescent="0.35">
      <c r="A211">
        <v>900251</v>
      </c>
      <c r="B211" s="3">
        <v>40301</v>
      </c>
      <c r="C211" t="s">
        <v>456</v>
      </c>
      <c r="D211">
        <v>2010</v>
      </c>
      <c r="E211" s="3">
        <v>40299</v>
      </c>
      <c r="F211" t="s">
        <v>68</v>
      </c>
      <c r="G211" t="s">
        <v>330</v>
      </c>
      <c r="H211">
        <v>118860</v>
      </c>
      <c r="I211">
        <v>175000</v>
      </c>
      <c r="J211">
        <v>0.67920000000000003</v>
      </c>
      <c r="K211">
        <v>1.4723203769140165</v>
      </c>
      <c r="L211" t="s">
        <v>16</v>
      </c>
      <c r="M211" t="s">
        <v>446</v>
      </c>
      <c r="N211" t="s">
        <v>769</v>
      </c>
    </row>
    <row r="212" spans="1:14" x14ac:dyDescent="0.35">
      <c r="A212">
        <v>60610</v>
      </c>
      <c r="B212" s="3">
        <v>39252</v>
      </c>
      <c r="C212" t="s">
        <v>454</v>
      </c>
      <c r="D212">
        <v>2007</v>
      </c>
      <c r="E212" s="3">
        <v>39234</v>
      </c>
      <c r="F212" t="s">
        <v>174</v>
      </c>
      <c r="G212" t="s">
        <v>290</v>
      </c>
      <c r="H212">
        <v>124250</v>
      </c>
      <c r="I212">
        <v>175000</v>
      </c>
      <c r="J212">
        <v>0.71</v>
      </c>
      <c r="K212">
        <v>1.408450704225352</v>
      </c>
      <c r="L212" t="s">
        <v>16</v>
      </c>
      <c r="M212" t="s">
        <v>446</v>
      </c>
      <c r="N212" t="s">
        <v>759</v>
      </c>
    </row>
    <row r="213" spans="1:14" x14ac:dyDescent="0.35">
      <c r="A213">
        <v>100052</v>
      </c>
      <c r="B213" s="3">
        <v>40596</v>
      </c>
      <c r="C213" t="s">
        <v>460</v>
      </c>
      <c r="D213">
        <v>2011</v>
      </c>
      <c r="E213" s="3">
        <v>40575</v>
      </c>
      <c r="F213" t="s">
        <v>8</v>
      </c>
      <c r="G213" t="s">
        <v>326</v>
      </c>
      <c r="H213">
        <v>137300</v>
      </c>
      <c r="I213">
        <v>175000</v>
      </c>
      <c r="J213">
        <v>0.78457142899999999</v>
      </c>
      <c r="K213">
        <v>1.2745812090313182</v>
      </c>
      <c r="L213" t="s">
        <v>16</v>
      </c>
      <c r="M213" t="s">
        <v>446</v>
      </c>
      <c r="N213" t="s">
        <v>761</v>
      </c>
    </row>
    <row r="214" spans="1:14" x14ac:dyDescent="0.35">
      <c r="A214">
        <v>70125</v>
      </c>
      <c r="B214" s="3">
        <v>39472</v>
      </c>
      <c r="C214" t="s">
        <v>464</v>
      </c>
      <c r="D214">
        <v>2008</v>
      </c>
      <c r="E214" s="3">
        <v>39448</v>
      </c>
      <c r="F214" t="s">
        <v>277</v>
      </c>
      <c r="G214" t="s">
        <v>307</v>
      </c>
      <c r="H214">
        <v>87500</v>
      </c>
      <c r="I214">
        <v>173700</v>
      </c>
      <c r="J214">
        <v>0.50374208399999998</v>
      </c>
      <c r="K214">
        <v>1.9851428571428571</v>
      </c>
      <c r="L214" t="s">
        <v>16</v>
      </c>
      <c r="M214" t="s">
        <v>446</v>
      </c>
      <c r="N214" t="s">
        <v>759</v>
      </c>
    </row>
    <row r="215" spans="1:14" x14ac:dyDescent="0.35">
      <c r="A215">
        <v>130311</v>
      </c>
      <c r="B215" s="3">
        <v>41795</v>
      </c>
      <c r="C215" t="s">
        <v>454</v>
      </c>
      <c r="D215">
        <v>2014</v>
      </c>
      <c r="E215" s="3">
        <v>41791</v>
      </c>
      <c r="F215" t="s">
        <v>73</v>
      </c>
      <c r="G215" t="s">
        <v>358</v>
      </c>
      <c r="H215">
        <v>125840</v>
      </c>
      <c r="I215">
        <v>173000</v>
      </c>
      <c r="J215">
        <v>0.72739884399999999</v>
      </c>
      <c r="K215">
        <v>1.3747616020343294</v>
      </c>
      <c r="L215" t="s">
        <v>16</v>
      </c>
      <c r="M215" t="s">
        <v>446</v>
      </c>
      <c r="N215" t="s">
        <v>760</v>
      </c>
    </row>
    <row r="216" spans="1:14" x14ac:dyDescent="0.35">
      <c r="A216">
        <v>200192</v>
      </c>
      <c r="B216" s="3">
        <v>44155</v>
      </c>
      <c r="C216" t="s">
        <v>475</v>
      </c>
      <c r="D216">
        <v>2020</v>
      </c>
      <c r="E216" s="3">
        <v>44136</v>
      </c>
      <c r="F216" t="s">
        <v>159</v>
      </c>
      <c r="G216" t="s">
        <v>164</v>
      </c>
      <c r="H216">
        <v>71150</v>
      </c>
      <c r="I216">
        <v>170000</v>
      </c>
      <c r="J216">
        <v>0.41849999999999998</v>
      </c>
      <c r="K216">
        <v>2.3893183415319745</v>
      </c>
      <c r="L216" t="s">
        <v>13</v>
      </c>
      <c r="M216" t="s">
        <v>445</v>
      </c>
      <c r="N216" t="s">
        <v>757</v>
      </c>
    </row>
    <row r="217" spans="1:14" x14ac:dyDescent="0.35">
      <c r="A217">
        <v>20000179</v>
      </c>
      <c r="B217" s="3">
        <v>44249</v>
      </c>
      <c r="C217" t="s">
        <v>460</v>
      </c>
      <c r="D217">
        <v>2021</v>
      </c>
      <c r="E217" s="3">
        <v>44228</v>
      </c>
      <c r="F217" t="s">
        <v>37</v>
      </c>
      <c r="G217" t="s">
        <v>39</v>
      </c>
      <c r="H217">
        <v>94770</v>
      </c>
      <c r="I217">
        <v>170000</v>
      </c>
      <c r="J217">
        <v>0.55740000000000001</v>
      </c>
      <c r="K217">
        <v>1.7938166086314233</v>
      </c>
      <c r="L217" t="s">
        <v>13</v>
      </c>
      <c r="M217" t="s">
        <v>446</v>
      </c>
      <c r="N217" t="s">
        <v>766</v>
      </c>
    </row>
    <row r="218" spans="1:14" x14ac:dyDescent="0.35">
      <c r="A218">
        <v>200468</v>
      </c>
      <c r="B218" s="3">
        <v>44239</v>
      </c>
      <c r="C218" t="s">
        <v>460</v>
      </c>
      <c r="D218">
        <v>2021</v>
      </c>
      <c r="E218" s="3">
        <v>44228</v>
      </c>
      <c r="F218" t="s">
        <v>125</v>
      </c>
      <c r="G218" t="s">
        <v>126</v>
      </c>
      <c r="H218">
        <v>100520</v>
      </c>
      <c r="I218">
        <v>170000</v>
      </c>
      <c r="J218">
        <v>0.59119999999999995</v>
      </c>
      <c r="K218">
        <v>1.6912057302029446</v>
      </c>
      <c r="L218" t="s">
        <v>13</v>
      </c>
      <c r="M218" t="s">
        <v>446</v>
      </c>
      <c r="N218" t="s">
        <v>765</v>
      </c>
    </row>
    <row r="219" spans="1:14" x14ac:dyDescent="0.35">
      <c r="A219">
        <v>160293</v>
      </c>
      <c r="B219" s="3">
        <v>42845</v>
      </c>
      <c r="C219" t="s">
        <v>452</v>
      </c>
      <c r="D219">
        <v>2017</v>
      </c>
      <c r="E219" s="3">
        <v>42826</v>
      </c>
      <c r="F219" t="s">
        <v>216</v>
      </c>
      <c r="G219" t="s">
        <v>383</v>
      </c>
      <c r="H219">
        <v>102830</v>
      </c>
      <c r="I219">
        <v>170000</v>
      </c>
      <c r="J219">
        <v>0.60488235300000004</v>
      </c>
      <c r="K219">
        <v>1.6532140425945736</v>
      </c>
      <c r="L219" t="s">
        <v>16</v>
      </c>
      <c r="M219" t="s">
        <v>446</v>
      </c>
      <c r="N219" t="s">
        <v>762</v>
      </c>
    </row>
    <row r="220" spans="1:14" x14ac:dyDescent="0.35">
      <c r="A220">
        <v>200113</v>
      </c>
      <c r="B220" s="3">
        <v>44210</v>
      </c>
      <c r="C220" t="s">
        <v>464</v>
      </c>
      <c r="D220">
        <v>2021</v>
      </c>
      <c r="E220" s="3">
        <v>44197</v>
      </c>
      <c r="F220" t="s">
        <v>241</v>
      </c>
      <c r="G220" t="s">
        <v>242</v>
      </c>
      <c r="H220">
        <v>98280</v>
      </c>
      <c r="I220">
        <v>169900</v>
      </c>
      <c r="J220">
        <v>0.57840000000000003</v>
      </c>
      <c r="K220">
        <v>1.7287342287342287</v>
      </c>
      <c r="L220" t="s">
        <v>13</v>
      </c>
      <c r="M220" t="s">
        <v>446</v>
      </c>
      <c r="N220" t="s">
        <v>762</v>
      </c>
    </row>
    <row r="221" spans="1:14" x14ac:dyDescent="0.35">
      <c r="A221">
        <v>70491</v>
      </c>
      <c r="B221" s="3">
        <v>39596</v>
      </c>
      <c r="C221" t="s">
        <v>456</v>
      </c>
      <c r="D221">
        <v>2008</v>
      </c>
      <c r="E221" s="3">
        <v>39569</v>
      </c>
      <c r="F221" t="s">
        <v>84</v>
      </c>
      <c r="G221" t="s">
        <v>294</v>
      </c>
      <c r="H221">
        <v>101990</v>
      </c>
      <c r="I221">
        <v>169000</v>
      </c>
      <c r="J221">
        <v>0.60349112400000005</v>
      </c>
      <c r="K221">
        <v>1.6570251985488773</v>
      </c>
      <c r="L221" t="s">
        <v>16</v>
      </c>
      <c r="M221" t="s">
        <v>446</v>
      </c>
      <c r="N221" t="s">
        <v>770</v>
      </c>
    </row>
    <row r="222" spans="1:14" x14ac:dyDescent="0.35">
      <c r="A222">
        <v>160427</v>
      </c>
      <c r="B222" s="3">
        <v>42976</v>
      </c>
      <c r="C222" t="s">
        <v>462</v>
      </c>
      <c r="D222">
        <v>2017</v>
      </c>
      <c r="E222" s="3">
        <v>42948</v>
      </c>
      <c r="F222" t="s">
        <v>277</v>
      </c>
      <c r="G222" t="s">
        <v>394</v>
      </c>
      <c r="H222">
        <v>113800</v>
      </c>
      <c r="I222">
        <v>169000</v>
      </c>
      <c r="J222">
        <v>0.67337278099999998</v>
      </c>
      <c r="K222">
        <v>1.4850615114235501</v>
      </c>
      <c r="L222" t="s">
        <v>16</v>
      </c>
      <c r="M222" t="s">
        <v>446</v>
      </c>
      <c r="N222" t="s">
        <v>759</v>
      </c>
    </row>
    <row r="223" spans="1:14" x14ac:dyDescent="0.35">
      <c r="A223">
        <v>170091</v>
      </c>
      <c r="B223" s="3">
        <v>43066</v>
      </c>
      <c r="C223" t="s">
        <v>475</v>
      </c>
      <c r="D223">
        <v>2017</v>
      </c>
      <c r="E223" s="3">
        <v>43040</v>
      </c>
      <c r="F223" t="s">
        <v>29</v>
      </c>
      <c r="G223" t="s">
        <v>372</v>
      </c>
      <c r="H223">
        <v>112800</v>
      </c>
      <c r="I223">
        <v>167450</v>
      </c>
      <c r="J223">
        <v>0.67363392099999997</v>
      </c>
      <c r="K223">
        <v>1.4844858156028369</v>
      </c>
      <c r="L223" t="s">
        <v>16</v>
      </c>
      <c r="M223" t="s">
        <v>446</v>
      </c>
      <c r="N223" t="s">
        <v>766</v>
      </c>
    </row>
    <row r="224" spans="1:14" x14ac:dyDescent="0.35">
      <c r="A224">
        <v>20522</v>
      </c>
      <c r="B224" s="3">
        <v>44266</v>
      </c>
      <c r="C224" t="s">
        <v>471</v>
      </c>
      <c r="D224">
        <v>2021</v>
      </c>
      <c r="E224" s="3">
        <v>44256</v>
      </c>
      <c r="F224" t="s">
        <v>98</v>
      </c>
      <c r="G224" t="s">
        <v>100</v>
      </c>
      <c r="H224">
        <v>35875</v>
      </c>
      <c r="I224">
        <v>165000</v>
      </c>
      <c r="J224">
        <v>0.21740000000000001</v>
      </c>
      <c r="K224">
        <v>4.5993031358885021</v>
      </c>
      <c r="L224" t="s">
        <v>13</v>
      </c>
      <c r="M224" t="s">
        <v>445</v>
      </c>
      <c r="N224" t="s">
        <v>770</v>
      </c>
    </row>
    <row r="225" spans="1:14" x14ac:dyDescent="0.35">
      <c r="A225">
        <v>20513</v>
      </c>
      <c r="B225" s="3">
        <v>44266</v>
      </c>
      <c r="C225" t="s">
        <v>471</v>
      </c>
      <c r="D225">
        <v>2021</v>
      </c>
      <c r="E225" s="3">
        <v>44256</v>
      </c>
      <c r="F225" t="s">
        <v>146</v>
      </c>
      <c r="G225" t="s">
        <v>147</v>
      </c>
      <c r="H225">
        <v>97580</v>
      </c>
      <c r="I225">
        <v>163300</v>
      </c>
      <c r="J225">
        <v>0.59750000000000003</v>
      </c>
      <c r="K225">
        <v>1.673498667759787</v>
      </c>
      <c r="L225" t="s">
        <v>13</v>
      </c>
      <c r="M225" t="s">
        <v>446</v>
      </c>
      <c r="N225" t="s">
        <v>757</v>
      </c>
    </row>
    <row r="226" spans="1:14" x14ac:dyDescent="0.35">
      <c r="A226">
        <v>100533</v>
      </c>
      <c r="B226" s="3">
        <v>40723</v>
      </c>
      <c r="C226" t="s">
        <v>454</v>
      </c>
      <c r="D226">
        <v>2011</v>
      </c>
      <c r="E226" s="3">
        <v>40695</v>
      </c>
      <c r="F226" t="s">
        <v>56</v>
      </c>
      <c r="G226" t="s">
        <v>316</v>
      </c>
      <c r="H226">
        <v>146800</v>
      </c>
      <c r="I226">
        <v>162800</v>
      </c>
      <c r="J226">
        <v>0.90171990199999996</v>
      </c>
      <c r="K226">
        <v>1.1089918256130791</v>
      </c>
      <c r="L226" t="s">
        <v>16</v>
      </c>
      <c r="M226" t="s">
        <v>446</v>
      </c>
      <c r="N226" t="s">
        <v>758</v>
      </c>
    </row>
    <row r="227" spans="1:14" x14ac:dyDescent="0.35">
      <c r="A227">
        <v>90163</v>
      </c>
      <c r="B227" s="3">
        <v>40141</v>
      </c>
      <c r="C227" t="s">
        <v>475</v>
      </c>
      <c r="D227">
        <v>2009</v>
      </c>
      <c r="E227" s="3">
        <v>40118</v>
      </c>
      <c r="F227" t="s">
        <v>192</v>
      </c>
      <c r="G227" t="s">
        <v>338</v>
      </c>
      <c r="H227">
        <v>105000</v>
      </c>
      <c r="I227">
        <v>161000</v>
      </c>
      <c r="J227">
        <v>0.65217391300000005</v>
      </c>
      <c r="K227">
        <v>1.5333333333333334</v>
      </c>
      <c r="L227" t="s">
        <v>16</v>
      </c>
      <c r="M227" t="s">
        <v>446</v>
      </c>
      <c r="N227" t="s">
        <v>759</v>
      </c>
    </row>
    <row r="228" spans="1:14" x14ac:dyDescent="0.35">
      <c r="A228">
        <v>10113</v>
      </c>
      <c r="B228" s="3">
        <v>40534</v>
      </c>
      <c r="C228" t="s">
        <v>450</v>
      </c>
      <c r="D228">
        <v>2010</v>
      </c>
      <c r="E228" s="3">
        <v>40513</v>
      </c>
      <c r="F228" t="s">
        <v>83</v>
      </c>
      <c r="G228" t="s">
        <v>310</v>
      </c>
      <c r="H228">
        <v>119400</v>
      </c>
      <c r="I228">
        <v>161000</v>
      </c>
      <c r="J228">
        <v>0.74161490699999999</v>
      </c>
      <c r="K228">
        <v>1.3484087102177555</v>
      </c>
      <c r="L228" t="s">
        <v>16</v>
      </c>
      <c r="M228" t="s">
        <v>446</v>
      </c>
      <c r="N228" t="s">
        <v>756</v>
      </c>
    </row>
    <row r="229" spans="1:14" x14ac:dyDescent="0.35">
      <c r="A229">
        <v>200991</v>
      </c>
      <c r="B229" s="3">
        <v>44385</v>
      </c>
      <c r="C229" t="s">
        <v>458</v>
      </c>
      <c r="D229">
        <v>2021</v>
      </c>
      <c r="E229" s="3">
        <v>44378</v>
      </c>
      <c r="F229" t="s">
        <v>117</v>
      </c>
      <c r="G229" t="s">
        <v>120</v>
      </c>
      <c r="H229">
        <v>104300</v>
      </c>
      <c r="I229">
        <v>160000</v>
      </c>
      <c r="J229">
        <v>0.65180000000000005</v>
      </c>
      <c r="K229">
        <v>1.5340364333652925</v>
      </c>
      <c r="L229" t="s">
        <v>13</v>
      </c>
      <c r="M229" t="s">
        <v>446</v>
      </c>
      <c r="N229" t="s">
        <v>765</v>
      </c>
    </row>
    <row r="230" spans="1:14" x14ac:dyDescent="0.35">
      <c r="A230">
        <v>20000050</v>
      </c>
      <c r="B230" s="3">
        <v>44140</v>
      </c>
      <c r="C230" t="s">
        <v>475</v>
      </c>
      <c r="D230">
        <v>2020</v>
      </c>
      <c r="E230" s="3">
        <v>44136</v>
      </c>
      <c r="F230" t="s">
        <v>37</v>
      </c>
      <c r="G230" t="s">
        <v>38</v>
      </c>
      <c r="H230">
        <v>105110</v>
      </c>
      <c r="I230">
        <v>160000</v>
      </c>
      <c r="J230">
        <v>0.65693749999999995</v>
      </c>
      <c r="K230">
        <v>1.5222148225668348</v>
      </c>
      <c r="L230" t="s">
        <v>13</v>
      </c>
      <c r="M230" t="s">
        <v>446</v>
      </c>
      <c r="N230" t="s">
        <v>766</v>
      </c>
    </row>
    <row r="231" spans="1:14" x14ac:dyDescent="0.35">
      <c r="A231">
        <v>80588</v>
      </c>
      <c r="B231" s="3">
        <v>40015</v>
      </c>
      <c r="C231" t="s">
        <v>458</v>
      </c>
      <c r="D231">
        <v>2009</v>
      </c>
      <c r="E231" s="3">
        <v>39995</v>
      </c>
      <c r="F231" t="s">
        <v>56</v>
      </c>
      <c r="G231" t="s">
        <v>293</v>
      </c>
      <c r="H231">
        <v>125900</v>
      </c>
      <c r="I231">
        <v>160000</v>
      </c>
      <c r="J231">
        <v>0.78687499999999999</v>
      </c>
      <c r="K231">
        <v>1.2708498808578237</v>
      </c>
      <c r="L231" t="s">
        <v>16</v>
      </c>
      <c r="M231" t="s">
        <v>446</v>
      </c>
      <c r="N231" t="s">
        <v>758</v>
      </c>
    </row>
    <row r="232" spans="1:14" x14ac:dyDescent="0.35">
      <c r="A232">
        <v>70130</v>
      </c>
      <c r="B232" s="3">
        <v>39689</v>
      </c>
      <c r="C232" t="s">
        <v>462</v>
      </c>
      <c r="D232">
        <v>2008</v>
      </c>
      <c r="E232" s="3">
        <v>39661</v>
      </c>
      <c r="F232" t="s">
        <v>119</v>
      </c>
      <c r="G232" t="s">
        <v>430</v>
      </c>
      <c r="H232">
        <v>91700</v>
      </c>
      <c r="I232">
        <v>157000</v>
      </c>
      <c r="J232">
        <v>0.58407643300000001</v>
      </c>
      <c r="K232">
        <v>1.7121046892039258</v>
      </c>
      <c r="L232" t="s">
        <v>16</v>
      </c>
      <c r="M232" t="s">
        <v>446</v>
      </c>
      <c r="N232" t="s">
        <v>764</v>
      </c>
    </row>
    <row r="233" spans="1:14" x14ac:dyDescent="0.35">
      <c r="A233">
        <v>180207</v>
      </c>
      <c r="B233" s="3">
        <v>43523</v>
      </c>
      <c r="C233" t="s">
        <v>460</v>
      </c>
      <c r="D233">
        <v>2019</v>
      </c>
      <c r="E233" s="3">
        <v>43497</v>
      </c>
      <c r="F233" t="s">
        <v>29</v>
      </c>
      <c r="G233" t="s">
        <v>405</v>
      </c>
      <c r="H233">
        <v>100800</v>
      </c>
      <c r="I233">
        <v>156000</v>
      </c>
      <c r="J233">
        <v>0.64615384600000003</v>
      </c>
      <c r="K233">
        <v>1.5476190476190477</v>
      </c>
      <c r="L233" t="s">
        <v>16</v>
      </c>
      <c r="M233" t="s">
        <v>446</v>
      </c>
      <c r="N233" t="s">
        <v>766</v>
      </c>
    </row>
    <row r="234" spans="1:14" x14ac:dyDescent="0.35">
      <c r="A234">
        <v>200032</v>
      </c>
      <c r="B234" s="3">
        <v>44112</v>
      </c>
      <c r="C234" t="s">
        <v>469</v>
      </c>
      <c r="D234">
        <v>2020</v>
      </c>
      <c r="E234" s="3">
        <v>44105</v>
      </c>
      <c r="F234" t="s">
        <v>32</v>
      </c>
      <c r="G234" t="s">
        <v>33</v>
      </c>
      <c r="H234">
        <v>94920</v>
      </c>
      <c r="I234">
        <v>155000</v>
      </c>
      <c r="J234">
        <v>0.61229999999999996</v>
      </c>
      <c r="K234">
        <v>1.6329540665823852</v>
      </c>
      <c r="L234" t="s">
        <v>13</v>
      </c>
      <c r="M234" t="s">
        <v>446</v>
      </c>
      <c r="N234" t="s">
        <v>766</v>
      </c>
    </row>
    <row r="235" spans="1:14" x14ac:dyDescent="0.35">
      <c r="A235">
        <v>161240</v>
      </c>
      <c r="B235" s="3">
        <v>42942</v>
      </c>
      <c r="C235" t="s">
        <v>458</v>
      </c>
      <c r="D235">
        <v>2017</v>
      </c>
      <c r="E235" s="3">
        <v>42917</v>
      </c>
      <c r="F235" t="s">
        <v>122</v>
      </c>
      <c r="G235" t="s">
        <v>374</v>
      </c>
      <c r="H235">
        <v>95050</v>
      </c>
      <c r="I235">
        <v>155000</v>
      </c>
      <c r="J235">
        <v>0.61322580599999998</v>
      </c>
      <c r="K235">
        <v>1.6307206733298265</v>
      </c>
      <c r="L235" t="s">
        <v>16</v>
      </c>
      <c r="M235" t="s">
        <v>446</v>
      </c>
      <c r="N235" t="s">
        <v>757</v>
      </c>
    </row>
    <row r="236" spans="1:14" x14ac:dyDescent="0.35">
      <c r="A236">
        <v>62389</v>
      </c>
      <c r="B236" s="3">
        <v>39318</v>
      </c>
      <c r="C236" t="s">
        <v>462</v>
      </c>
      <c r="D236">
        <v>2007</v>
      </c>
      <c r="E236" s="3">
        <v>39295</v>
      </c>
      <c r="F236" t="s">
        <v>282</v>
      </c>
      <c r="G236" t="s">
        <v>289</v>
      </c>
      <c r="H236">
        <v>80521</v>
      </c>
      <c r="I236">
        <v>154500</v>
      </c>
      <c r="J236">
        <v>0.52117152099999997</v>
      </c>
      <c r="K236">
        <v>1.9187541138336583</v>
      </c>
      <c r="L236" t="s">
        <v>16</v>
      </c>
      <c r="M236" t="s">
        <v>446</v>
      </c>
      <c r="N236" t="s">
        <v>766</v>
      </c>
    </row>
    <row r="237" spans="1:14" x14ac:dyDescent="0.35">
      <c r="A237">
        <v>12323</v>
      </c>
      <c r="B237" s="3">
        <v>41463</v>
      </c>
      <c r="C237" t="s">
        <v>458</v>
      </c>
      <c r="D237">
        <v>2013</v>
      </c>
      <c r="E237" s="3">
        <v>41456</v>
      </c>
      <c r="F237" t="s">
        <v>174</v>
      </c>
      <c r="G237" t="s">
        <v>357</v>
      </c>
      <c r="H237">
        <v>126280</v>
      </c>
      <c r="I237">
        <v>153500</v>
      </c>
      <c r="J237">
        <v>0.82267100999999998</v>
      </c>
      <c r="K237">
        <v>1.2155527399429837</v>
      </c>
      <c r="L237" t="s">
        <v>16</v>
      </c>
      <c r="M237" t="s">
        <v>446</v>
      </c>
      <c r="N237" t="s">
        <v>759</v>
      </c>
    </row>
    <row r="238" spans="1:14" x14ac:dyDescent="0.35">
      <c r="A238">
        <v>190443</v>
      </c>
      <c r="B238" s="3">
        <v>43950</v>
      </c>
      <c r="C238" t="s">
        <v>452</v>
      </c>
      <c r="D238">
        <v>2020</v>
      </c>
      <c r="E238" s="3">
        <v>43922</v>
      </c>
      <c r="F238" t="s">
        <v>281</v>
      </c>
      <c r="G238" t="s">
        <v>401</v>
      </c>
      <c r="H238">
        <v>92280</v>
      </c>
      <c r="I238">
        <v>153000</v>
      </c>
      <c r="J238">
        <v>0.60309999999999997</v>
      </c>
      <c r="K238">
        <v>1.6579973992197659</v>
      </c>
      <c r="L238" t="s">
        <v>16</v>
      </c>
      <c r="M238" t="s">
        <v>446</v>
      </c>
      <c r="N238" t="s">
        <v>765</v>
      </c>
    </row>
    <row r="239" spans="1:14" x14ac:dyDescent="0.35">
      <c r="A239">
        <v>90035</v>
      </c>
      <c r="B239" s="3">
        <v>40148</v>
      </c>
      <c r="C239" t="s">
        <v>450</v>
      </c>
      <c r="D239">
        <v>2009</v>
      </c>
      <c r="E239" s="3">
        <v>40148</v>
      </c>
      <c r="F239" t="s">
        <v>321</v>
      </c>
      <c r="G239" t="s">
        <v>331</v>
      </c>
      <c r="H239">
        <v>110700</v>
      </c>
      <c r="I239">
        <v>151000</v>
      </c>
      <c r="J239">
        <v>0.73311258300000004</v>
      </c>
      <c r="K239">
        <v>1.3640469738030714</v>
      </c>
      <c r="L239" t="s">
        <v>16</v>
      </c>
      <c r="M239" t="s">
        <v>446</v>
      </c>
      <c r="N239" t="s">
        <v>759</v>
      </c>
    </row>
    <row r="240" spans="1:14" x14ac:dyDescent="0.35">
      <c r="A240">
        <v>201777</v>
      </c>
      <c r="B240" s="3">
        <v>44355</v>
      </c>
      <c r="C240" t="s">
        <v>454</v>
      </c>
      <c r="D240">
        <v>2021</v>
      </c>
      <c r="E240" s="3">
        <v>44348</v>
      </c>
      <c r="F240" t="s">
        <v>264</v>
      </c>
      <c r="G240" t="s">
        <v>266</v>
      </c>
      <c r="H240">
        <v>36770</v>
      </c>
      <c r="I240">
        <v>150000</v>
      </c>
      <c r="J240">
        <v>0.24510000000000001</v>
      </c>
      <c r="K240">
        <v>4.0794125645906991</v>
      </c>
      <c r="L240" t="s">
        <v>13</v>
      </c>
      <c r="M240" t="s">
        <v>445</v>
      </c>
      <c r="N240" t="s">
        <v>759</v>
      </c>
    </row>
    <row r="241" spans="1:14" x14ac:dyDescent="0.35">
      <c r="A241">
        <v>200285</v>
      </c>
      <c r="B241" s="3">
        <v>44298</v>
      </c>
      <c r="C241" t="s">
        <v>452</v>
      </c>
      <c r="D241">
        <v>2021</v>
      </c>
      <c r="E241" s="3">
        <v>44287</v>
      </c>
      <c r="F241" t="s">
        <v>96</v>
      </c>
      <c r="G241" t="s">
        <v>97</v>
      </c>
      <c r="H241">
        <v>77840</v>
      </c>
      <c r="I241">
        <v>150000</v>
      </c>
      <c r="J241">
        <v>0.51890000000000003</v>
      </c>
      <c r="K241">
        <v>1.9270298047276464</v>
      </c>
      <c r="L241" t="s">
        <v>13</v>
      </c>
      <c r="M241" t="s">
        <v>446</v>
      </c>
      <c r="N241" t="s">
        <v>756</v>
      </c>
    </row>
    <row r="242" spans="1:14" x14ac:dyDescent="0.35">
      <c r="A242">
        <v>201018</v>
      </c>
      <c r="B242" s="3">
        <v>44350</v>
      </c>
      <c r="C242" t="s">
        <v>454</v>
      </c>
      <c r="D242">
        <v>2021</v>
      </c>
      <c r="E242" s="3">
        <v>44348</v>
      </c>
      <c r="F242" t="s">
        <v>56</v>
      </c>
      <c r="G242" t="s">
        <v>416</v>
      </c>
      <c r="H242">
        <v>136900</v>
      </c>
      <c r="I242">
        <v>150000</v>
      </c>
      <c r="J242">
        <v>0.91259999999999997</v>
      </c>
      <c r="K242">
        <v>1.0956902848794741</v>
      </c>
      <c r="L242" t="s">
        <v>13</v>
      </c>
      <c r="M242" t="s">
        <v>446</v>
      </c>
      <c r="N242" t="s">
        <v>758</v>
      </c>
    </row>
    <row r="243" spans="1:14" x14ac:dyDescent="0.35">
      <c r="A243">
        <v>200230</v>
      </c>
      <c r="B243" s="3">
        <v>44312</v>
      </c>
      <c r="C243" t="s">
        <v>452</v>
      </c>
      <c r="D243">
        <v>2021</v>
      </c>
      <c r="E243" s="3">
        <v>44287</v>
      </c>
      <c r="F243" t="s">
        <v>109</v>
      </c>
      <c r="G243" t="s">
        <v>110</v>
      </c>
      <c r="H243">
        <v>143220</v>
      </c>
      <c r="I243">
        <v>150000</v>
      </c>
      <c r="J243">
        <v>0.95479999999999998</v>
      </c>
      <c r="K243">
        <v>1.0473397570171763</v>
      </c>
      <c r="L243" t="s">
        <v>103</v>
      </c>
      <c r="M243" t="s">
        <v>446</v>
      </c>
      <c r="N243" t="s">
        <v>767</v>
      </c>
    </row>
    <row r="244" spans="1:14" x14ac:dyDescent="0.35">
      <c r="A244">
        <v>90347</v>
      </c>
      <c r="B244" s="3">
        <v>40177</v>
      </c>
      <c r="C244" t="s">
        <v>450</v>
      </c>
      <c r="D244">
        <v>2009</v>
      </c>
      <c r="E244" s="3">
        <v>40148</v>
      </c>
      <c r="F244" t="s">
        <v>264</v>
      </c>
      <c r="G244" t="s">
        <v>348</v>
      </c>
      <c r="H244">
        <v>87700</v>
      </c>
      <c r="I244">
        <v>149850</v>
      </c>
      <c r="J244">
        <v>0.58525191899999995</v>
      </c>
      <c r="K244">
        <v>1.7086659064994298</v>
      </c>
      <c r="L244" t="s">
        <v>16</v>
      </c>
      <c r="M244" t="s">
        <v>446</v>
      </c>
      <c r="N244" t="s">
        <v>759</v>
      </c>
    </row>
    <row r="245" spans="1:14" x14ac:dyDescent="0.35">
      <c r="A245">
        <v>90832</v>
      </c>
      <c r="B245" s="3">
        <v>40359</v>
      </c>
      <c r="C245" t="s">
        <v>454</v>
      </c>
      <c r="D245">
        <v>2010</v>
      </c>
      <c r="E245" s="3">
        <v>40330</v>
      </c>
      <c r="F245" t="s">
        <v>159</v>
      </c>
      <c r="G245" t="s">
        <v>332</v>
      </c>
      <c r="H245">
        <v>99960</v>
      </c>
      <c r="I245">
        <v>146000</v>
      </c>
      <c r="J245">
        <v>0.68465753399999996</v>
      </c>
      <c r="K245">
        <v>1.4605842336934773</v>
      </c>
      <c r="L245" t="s">
        <v>16</v>
      </c>
      <c r="M245" t="s">
        <v>446</v>
      </c>
      <c r="N245" t="s">
        <v>757</v>
      </c>
    </row>
    <row r="246" spans="1:14" x14ac:dyDescent="0.35">
      <c r="A246">
        <v>150007</v>
      </c>
      <c r="B246" s="3">
        <v>42305</v>
      </c>
      <c r="C246" t="s">
        <v>469</v>
      </c>
      <c r="D246">
        <v>2015</v>
      </c>
      <c r="E246" s="3">
        <v>42278</v>
      </c>
      <c r="F246" t="s">
        <v>285</v>
      </c>
      <c r="G246" t="s">
        <v>362</v>
      </c>
      <c r="H246">
        <v>100900</v>
      </c>
      <c r="I246">
        <v>144900</v>
      </c>
      <c r="J246">
        <v>0.69634230500000005</v>
      </c>
      <c r="K246">
        <v>1.4360753221010902</v>
      </c>
      <c r="L246" t="s">
        <v>16</v>
      </c>
      <c r="M246" t="s">
        <v>446</v>
      </c>
      <c r="N246" t="s">
        <v>760</v>
      </c>
    </row>
    <row r="247" spans="1:14" x14ac:dyDescent="0.35">
      <c r="A247">
        <v>100020</v>
      </c>
      <c r="B247" s="3">
        <v>40473</v>
      </c>
      <c r="C247" t="s">
        <v>469</v>
      </c>
      <c r="D247">
        <v>2010</v>
      </c>
      <c r="E247" s="3">
        <v>40452</v>
      </c>
      <c r="F247" t="s">
        <v>29</v>
      </c>
      <c r="G247" t="s">
        <v>342</v>
      </c>
      <c r="H247">
        <v>123700</v>
      </c>
      <c r="I247">
        <v>143800</v>
      </c>
      <c r="J247">
        <v>0.86022253100000001</v>
      </c>
      <c r="K247">
        <v>1.1624898949070332</v>
      </c>
      <c r="L247" t="s">
        <v>16</v>
      </c>
      <c r="M247" t="s">
        <v>446</v>
      </c>
      <c r="N247" t="s">
        <v>766</v>
      </c>
    </row>
    <row r="248" spans="1:14" x14ac:dyDescent="0.35">
      <c r="A248">
        <v>60190</v>
      </c>
      <c r="B248" s="3">
        <v>39062</v>
      </c>
      <c r="C248" t="s">
        <v>450</v>
      </c>
      <c r="D248">
        <v>2006</v>
      </c>
      <c r="E248" s="3">
        <v>39052</v>
      </c>
      <c r="F248" t="s">
        <v>283</v>
      </c>
      <c r="G248" t="s">
        <v>288</v>
      </c>
      <c r="H248">
        <v>78260</v>
      </c>
      <c r="I248">
        <v>143000</v>
      </c>
      <c r="J248">
        <v>0.54727272699999996</v>
      </c>
      <c r="K248">
        <v>1.8272425249169435</v>
      </c>
      <c r="L248" t="s">
        <v>16</v>
      </c>
      <c r="M248" t="s">
        <v>446</v>
      </c>
      <c r="N248" t="s">
        <v>759</v>
      </c>
    </row>
    <row r="249" spans="1:14" x14ac:dyDescent="0.35">
      <c r="A249">
        <v>9347</v>
      </c>
      <c r="B249" s="3">
        <v>40232</v>
      </c>
      <c r="C249" t="s">
        <v>460</v>
      </c>
      <c r="D249">
        <v>2010</v>
      </c>
      <c r="E249" s="3">
        <v>40210</v>
      </c>
      <c r="F249" t="s">
        <v>125</v>
      </c>
      <c r="G249" t="s">
        <v>344</v>
      </c>
      <c r="H249">
        <v>93050</v>
      </c>
      <c r="I249">
        <v>143000</v>
      </c>
      <c r="J249">
        <v>0.65069930099999995</v>
      </c>
      <c r="K249">
        <v>1.5368081676518002</v>
      </c>
      <c r="L249" t="s">
        <v>16</v>
      </c>
      <c r="M249" t="s">
        <v>446</v>
      </c>
      <c r="N249" t="s">
        <v>765</v>
      </c>
    </row>
    <row r="250" spans="1:14" x14ac:dyDescent="0.35">
      <c r="A250">
        <v>17141</v>
      </c>
      <c r="B250" s="3">
        <v>43069</v>
      </c>
      <c r="C250" t="s">
        <v>475</v>
      </c>
      <c r="D250">
        <v>2017</v>
      </c>
      <c r="E250" s="3">
        <v>43040</v>
      </c>
      <c r="F250" t="s">
        <v>174</v>
      </c>
      <c r="G250" t="s">
        <v>407</v>
      </c>
      <c r="H250">
        <v>119630</v>
      </c>
      <c r="I250">
        <v>142650</v>
      </c>
      <c r="J250">
        <v>0.83860000000000001</v>
      </c>
      <c r="K250">
        <v>1.1924266488339046</v>
      </c>
      <c r="L250" t="s">
        <v>16</v>
      </c>
      <c r="M250" t="s">
        <v>446</v>
      </c>
      <c r="N250" t="s">
        <v>759</v>
      </c>
    </row>
    <row r="251" spans="1:14" x14ac:dyDescent="0.35">
      <c r="A251">
        <v>200375</v>
      </c>
      <c r="B251" s="3">
        <v>44292</v>
      </c>
      <c r="C251" t="s">
        <v>452</v>
      </c>
      <c r="D251">
        <v>2021</v>
      </c>
      <c r="E251" s="3">
        <v>44287</v>
      </c>
      <c r="F251" t="s">
        <v>66</v>
      </c>
      <c r="G251" t="s">
        <v>417</v>
      </c>
      <c r="H251">
        <v>76960</v>
      </c>
      <c r="I251">
        <v>140000</v>
      </c>
      <c r="J251">
        <v>0.54969999999999997</v>
      </c>
      <c r="K251">
        <v>1.8191268191268191</v>
      </c>
      <c r="L251" t="s">
        <v>13</v>
      </c>
      <c r="M251" t="s">
        <v>446</v>
      </c>
      <c r="N251" t="s">
        <v>760</v>
      </c>
    </row>
    <row r="252" spans="1:14" x14ac:dyDescent="0.35">
      <c r="A252">
        <v>14332</v>
      </c>
      <c r="B252" s="3">
        <v>42179</v>
      </c>
      <c r="C252" t="s">
        <v>454</v>
      </c>
      <c r="D252">
        <v>2015</v>
      </c>
      <c r="E252" s="3">
        <v>42156</v>
      </c>
      <c r="F252" t="s">
        <v>182</v>
      </c>
      <c r="G252" t="s">
        <v>360</v>
      </c>
      <c r="H252">
        <v>107520</v>
      </c>
      <c r="I252">
        <v>140000</v>
      </c>
      <c r="J252">
        <v>0.76800000000000002</v>
      </c>
      <c r="K252">
        <v>1.3020833333333333</v>
      </c>
      <c r="L252" t="s">
        <v>16</v>
      </c>
      <c r="M252" t="s">
        <v>446</v>
      </c>
      <c r="N252" t="s">
        <v>757</v>
      </c>
    </row>
    <row r="253" spans="1:14" x14ac:dyDescent="0.35">
      <c r="A253">
        <v>202250</v>
      </c>
      <c r="B253" s="3">
        <v>44417</v>
      </c>
      <c r="C253" t="s">
        <v>462</v>
      </c>
      <c r="D253">
        <v>2021</v>
      </c>
      <c r="E253" s="3">
        <v>44409</v>
      </c>
      <c r="F253" t="s">
        <v>264</v>
      </c>
      <c r="G253" t="s">
        <v>267</v>
      </c>
      <c r="H253">
        <v>63100</v>
      </c>
      <c r="I253">
        <v>139900</v>
      </c>
      <c r="J253">
        <v>0.45100000000000001</v>
      </c>
      <c r="K253">
        <v>2.2171156893819335</v>
      </c>
      <c r="L253" t="s">
        <v>13</v>
      </c>
      <c r="M253" t="s">
        <v>445</v>
      </c>
      <c r="N253" t="s">
        <v>759</v>
      </c>
    </row>
    <row r="254" spans="1:14" x14ac:dyDescent="0.35">
      <c r="A254">
        <v>150498</v>
      </c>
      <c r="B254" s="3">
        <v>42492</v>
      </c>
      <c r="C254" t="s">
        <v>456</v>
      </c>
      <c r="D254">
        <v>2016</v>
      </c>
      <c r="E254" s="3">
        <v>42491</v>
      </c>
      <c r="F254" t="s">
        <v>125</v>
      </c>
      <c r="G254" t="s">
        <v>363</v>
      </c>
      <c r="H254">
        <v>94570</v>
      </c>
      <c r="I254">
        <v>135000</v>
      </c>
      <c r="J254">
        <v>0.70051851899999995</v>
      </c>
      <c r="K254">
        <v>1.4275140107856614</v>
      </c>
      <c r="L254" t="s">
        <v>16</v>
      </c>
      <c r="M254" t="s">
        <v>446</v>
      </c>
      <c r="N254" t="s">
        <v>765</v>
      </c>
    </row>
    <row r="255" spans="1:14" x14ac:dyDescent="0.35">
      <c r="A255">
        <v>13105</v>
      </c>
      <c r="B255" s="3">
        <v>41709</v>
      </c>
      <c r="C255" t="s">
        <v>471</v>
      </c>
      <c r="D255">
        <v>2014</v>
      </c>
      <c r="E255" s="3">
        <v>41699</v>
      </c>
      <c r="F255" t="s">
        <v>27</v>
      </c>
      <c r="G255" t="s">
        <v>353</v>
      </c>
      <c r="H255">
        <v>124460</v>
      </c>
      <c r="I255">
        <v>133000</v>
      </c>
      <c r="J255">
        <v>0.93578947400000001</v>
      </c>
      <c r="K255">
        <v>1.0686164229471316</v>
      </c>
      <c r="L255" t="s">
        <v>16</v>
      </c>
      <c r="M255" t="s">
        <v>446</v>
      </c>
      <c r="N255" t="s">
        <v>766</v>
      </c>
    </row>
    <row r="256" spans="1:14" x14ac:dyDescent="0.35">
      <c r="A256">
        <v>200436</v>
      </c>
      <c r="B256" s="3">
        <v>44320</v>
      </c>
      <c r="C256" t="s">
        <v>456</v>
      </c>
      <c r="D256">
        <v>2021</v>
      </c>
      <c r="E256" s="3">
        <v>44317</v>
      </c>
      <c r="F256" t="s">
        <v>92</v>
      </c>
      <c r="G256" t="s">
        <v>93</v>
      </c>
      <c r="H256">
        <v>71960</v>
      </c>
      <c r="I256">
        <v>130000</v>
      </c>
      <c r="J256">
        <v>0.55349999999999999</v>
      </c>
      <c r="K256">
        <v>1.8065591995553085</v>
      </c>
      <c r="L256" t="s">
        <v>13</v>
      </c>
      <c r="M256" t="s">
        <v>446</v>
      </c>
      <c r="N256" t="s">
        <v>756</v>
      </c>
    </row>
    <row r="257" spans="1:14" x14ac:dyDescent="0.35">
      <c r="A257">
        <v>200377</v>
      </c>
      <c r="B257" s="3">
        <v>44344</v>
      </c>
      <c r="C257" t="s">
        <v>456</v>
      </c>
      <c r="D257">
        <v>2021</v>
      </c>
      <c r="E257" s="3">
        <v>44317</v>
      </c>
      <c r="F257" t="s">
        <v>210</v>
      </c>
      <c r="G257" t="s">
        <v>212</v>
      </c>
      <c r="H257">
        <v>80010</v>
      </c>
      <c r="I257">
        <v>130000</v>
      </c>
      <c r="J257">
        <v>0.61539999999999995</v>
      </c>
      <c r="K257">
        <v>1.6247969003874516</v>
      </c>
      <c r="L257" t="s">
        <v>13</v>
      </c>
      <c r="M257" t="s">
        <v>446</v>
      </c>
      <c r="N257" t="s">
        <v>762</v>
      </c>
    </row>
    <row r="258" spans="1:14" x14ac:dyDescent="0.35">
      <c r="A258">
        <v>90097</v>
      </c>
      <c r="B258" s="3">
        <v>40332</v>
      </c>
      <c r="C258" t="s">
        <v>454</v>
      </c>
      <c r="D258">
        <v>2010</v>
      </c>
      <c r="E258" s="3">
        <v>40330</v>
      </c>
      <c r="F258" t="s">
        <v>321</v>
      </c>
      <c r="G258" t="s">
        <v>322</v>
      </c>
      <c r="H258">
        <v>126200</v>
      </c>
      <c r="I258">
        <v>130000</v>
      </c>
      <c r="J258">
        <v>0.97076923100000001</v>
      </c>
      <c r="K258">
        <v>1.0301109350237718</v>
      </c>
      <c r="L258" t="s">
        <v>16</v>
      </c>
      <c r="M258" t="s">
        <v>446</v>
      </c>
      <c r="N258" t="s">
        <v>759</v>
      </c>
    </row>
    <row r="259" spans="1:14" x14ac:dyDescent="0.35">
      <c r="A259">
        <v>140129</v>
      </c>
      <c r="B259" s="3">
        <v>42198</v>
      </c>
      <c r="C259" t="s">
        <v>458</v>
      </c>
      <c r="D259">
        <v>2015</v>
      </c>
      <c r="E259" s="3">
        <v>42186</v>
      </c>
      <c r="F259" t="s">
        <v>306</v>
      </c>
      <c r="G259" t="s">
        <v>361</v>
      </c>
      <c r="H259">
        <v>88000</v>
      </c>
      <c r="I259">
        <v>128866</v>
      </c>
      <c r="J259">
        <v>0.68287989100000002</v>
      </c>
      <c r="K259">
        <v>1.4643863636363637</v>
      </c>
      <c r="L259" t="s">
        <v>16</v>
      </c>
      <c r="M259" t="s">
        <v>446</v>
      </c>
      <c r="N259" t="s">
        <v>757</v>
      </c>
    </row>
    <row r="260" spans="1:14" x14ac:dyDescent="0.35">
      <c r="A260">
        <v>20273</v>
      </c>
      <c r="B260" s="3">
        <v>44207</v>
      </c>
      <c r="C260" t="s">
        <v>464</v>
      </c>
      <c r="D260">
        <v>2021</v>
      </c>
      <c r="E260" s="3">
        <v>44197</v>
      </c>
      <c r="F260" t="s">
        <v>142</v>
      </c>
      <c r="G260" t="s">
        <v>199</v>
      </c>
      <c r="H260">
        <v>89810</v>
      </c>
      <c r="I260">
        <v>128300</v>
      </c>
      <c r="J260">
        <v>0.7</v>
      </c>
      <c r="K260">
        <v>1.4285714285714286</v>
      </c>
      <c r="L260" t="s">
        <v>13</v>
      </c>
      <c r="M260" t="s">
        <v>446</v>
      </c>
      <c r="N260" t="s">
        <v>754</v>
      </c>
    </row>
    <row r="261" spans="1:14" x14ac:dyDescent="0.35">
      <c r="A261">
        <v>900152</v>
      </c>
      <c r="B261" s="3">
        <v>40301</v>
      </c>
      <c r="C261" t="s">
        <v>456</v>
      </c>
      <c r="D261">
        <v>2010</v>
      </c>
      <c r="E261" s="3">
        <v>40299</v>
      </c>
      <c r="F261" t="s">
        <v>200</v>
      </c>
      <c r="G261" t="s">
        <v>314</v>
      </c>
      <c r="H261">
        <v>88620</v>
      </c>
      <c r="I261">
        <v>127000</v>
      </c>
      <c r="J261">
        <v>0.69779527600000002</v>
      </c>
      <c r="K261">
        <v>1.4330850823741819</v>
      </c>
      <c r="L261" t="s">
        <v>16</v>
      </c>
      <c r="M261" t="s">
        <v>446</v>
      </c>
      <c r="N261" t="s">
        <v>754</v>
      </c>
    </row>
    <row r="262" spans="1:14" x14ac:dyDescent="0.35">
      <c r="A262">
        <v>160624</v>
      </c>
      <c r="B262" s="3">
        <v>42964</v>
      </c>
      <c r="C262" t="s">
        <v>462</v>
      </c>
      <c r="D262">
        <v>2017</v>
      </c>
      <c r="E262" s="3">
        <v>42948</v>
      </c>
      <c r="F262" t="s">
        <v>133</v>
      </c>
      <c r="G262" t="s">
        <v>367</v>
      </c>
      <c r="H262">
        <v>96100</v>
      </c>
      <c r="I262">
        <v>125500</v>
      </c>
      <c r="J262">
        <v>0.76573705199999997</v>
      </c>
      <c r="K262">
        <v>1.3059313215400625</v>
      </c>
      <c r="L262" t="s">
        <v>16</v>
      </c>
      <c r="M262" t="s">
        <v>446</v>
      </c>
      <c r="N262" t="s">
        <v>757</v>
      </c>
    </row>
    <row r="263" spans="1:14" x14ac:dyDescent="0.35">
      <c r="A263">
        <v>160521</v>
      </c>
      <c r="B263" s="3">
        <v>42916</v>
      </c>
      <c r="C263" t="s">
        <v>454</v>
      </c>
      <c r="D263">
        <v>2017</v>
      </c>
      <c r="E263" s="3">
        <v>42887</v>
      </c>
      <c r="F263" t="s">
        <v>139</v>
      </c>
      <c r="G263" t="s">
        <v>369</v>
      </c>
      <c r="H263">
        <v>88000</v>
      </c>
      <c r="I263">
        <v>125000</v>
      </c>
      <c r="J263">
        <v>0.70399999999999996</v>
      </c>
      <c r="K263">
        <v>1.4204545454545454</v>
      </c>
      <c r="L263" t="s">
        <v>16</v>
      </c>
      <c r="M263" t="s">
        <v>446</v>
      </c>
      <c r="N263" t="s">
        <v>763</v>
      </c>
    </row>
    <row r="264" spans="1:14" x14ac:dyDescent="0.35">
      <c r="A264">
        <v>130523</v>
      </c>
      <c r="B264" s="3">
        <v>41908</v>
      </c>
      <c r="C264" t="s">
        <v>473</v>
      </c>
      <c r="D264">
        <v>2014</v>
      </c>
      <c r="E264" s="3">
        <v>41883</v>
      </c>
      <c r="F264" t="s">
        <v>73</v>
      </c>
      <c r="G264" t="s">
        <v>354</v>
      </c>
      <c r="H264">
        <v>97940</v>
      </c>
      <c r="I264">
        <v>125000</v>
      </c>
      <c r="J264">
        <v>0.78351999999999999</v>
      </c>
      <c r="K264">
        <v>1.2762916071063917</v>
      </c>
      <c r="L264" t="s">
        <v>16</v>
      </c>
      <c r="M264" t="s">
        <v>446</v>
      </c>
      <c r="N264" t="s">
        <v>760</v>
      </c>
    </row>
    <row r="265" spans="1:14" x14ac:dyDescent="0.35">
      <c r="A265">
        <v>160010</v>
      </c>
      <c r="B265" s="3">
        <v>42656</v>
      </c>
      <c r="C265" t="s">
        <v>469</v>
      </c>
      <c r="D265">
        <v>2016</v>
      </c>
      <c r="E265" s="3">
        <v>42644</v>
      </c>
      <c r="F265" t="s">
        <v>200</v>
      </c>
      <c r="G265" t="s">
        <v>370</v>
      </c>
      <c r="H265">
        <v>76930</v>
      </c>
      <c r="I265">
        <v>124500</v>
      </c>
      <c r="J265">
        <v>0.61791164700000001</v>
      </c>
      <c r="K265">
        <v>1.6183543481086702</v>
      </c>
      <c r="L265" t="s">
        <v>16</v>
      </c>
      <c r="M265" t="s">
        <v>446</v>
      </c>
      <c r="N265" t="s">
        <v>754</v>
      </c>
    </row>
    <row r="266" spans="1:14" x14ac:dyDescent="0.35">
      <c r="A266">
        <v>70133</v>
      </c>
      <c r="B266" s="3">
        <v>39527</v>
      </c>
      <c r="C266" t="s">
        <v>471</v>
      </c>
      <c r="D266">
        <v>2008</v>
      </c>
      <c r="E266" s="3">
        <v>39508</v>
      </c>
      <c r="F266" t="s">
        <v>261</v>
      </c>
      <c r="G266" t="s">
        <v>297</v>
      </c>
      <c r="H266">
        <v>92820</v>
      </c>
      <c r="I266">
        <v>124000</v>
      </c>
      <c r="J266">
        <v>0.74854838700000004</v>
      </c>
      <c r="K266">
        <v>1.3359189829778064</v>
      </c>
      <c r="L266" t="s">
        <v>16</v>
      </c>
      <c r="M266" t="s">
        <v>446</v>
      </c>
      <c r="N266" t="s">
        <v>772</v>
      </c>
    </row>
    <row r="267" spans="1:14" x14ac:dyDescent="0.35">
      <c r="A267">
        <v>200174</v>
      </c>
      <c r="B267" s="3">
        <v>44155</v>
      </c>
      <c r="C267" t="s">
        <v>475</v>
      </c>
      <c r="D267">
        <v>2020</v>
      </c>
      <c r="E267" s="3">
        <v>44136</v>
      </c>
      <c r="F267" t="s">
        <v>139</v>
      </c>
      <c r="G267" t="s">
        <v>251</v>
      </c>
      <c r="H267">
        <v>58020</v>
      </c>
      <c r="I267">
        <v>122500</v>
      </c>
      <c r="J267">
        <v>0.47360000000000002</v>
      </c>
      <c r="K267">
        <v>2.1113409169251982</v>
      </c>
      <c r="L267" t="s">
        <v>13</v>
      </c>
      <c r="M267" t="s">
        <v>445</v>
      </c>
      <c r="N267" t="s">
        <v>763</v>
      </c>
    </row>
    <row r="268" spans="1:14" x14ac:dyDescent="0.35">
      <c r="A268">
        <v>160065</v>
      </c>
      <c r="B268" s="3">
        <v>42709</v>
      </c>
      <c r="C268" t="s">
        <v>450</v>
      </c>
      <c r="D268">
        <v>2016</v>
      </c>
      <c r="E268" s="3">
        <v>42705</v>
      </c>
      <c r="F268" t="s">
        <v>200</v>
      </c>
      <c r="G268" t="s">
        <v>387</v>
      </c>
      <c r="H268">
        <v>89950</v>
      </c>
      <c r="I268">
        <v>122500</v>
      </c>
      <c r="J268">
        <v>0.73428571399999998</v>
      </c>
      <c r="K268">
        <v>1.3618677042801557</v>
      </c>
      <c r="L268" t="s">
        <v>16</v>
      </c>
      <c r="M268" t="s">
        <v>446</v>
      </c>
      <c r="N268" t="s">
        <v>754</v>
      </c>
    </row>
    <row r="269" spans="1:14" x14ac:dyDescent="0.35">
      <c r="A269">
        <v>201592</v>
      </c>
      <c r="B269" s="3">
        <v>44328</v>
      </c>
      <c r="C269" t="s">
        <v>456</v>
      </c>
      <c r="D269">
        <v>2021</v>
      </c>
      <c r="E269" s="3">
        <v>44317</v>
      </c>
      <c r="F269" t="s">
        <v>264</v>
      </c>
      <c r="G269" t="s">
        <v>265</v>
      </c>
      <c r="H269">
        <v>73860</v>
      </c>
      <c r="I269">
        <v>122000</v>
      </c>
      <c r="J269">
        <v>0.60540000000000005</v>
      </c>
      <c r="K269">
        <v>1.6517736257784998</v>
      </c>
      <c r="L269" t="s">
        <v>13</v>
      </c>
      <c r="M269" t="s">
        <v>446</v>
      </c>
      <c r="N269" t="s">
        <v>759</v>
      </c>
    </row>
    <row r="270" spans="1:14" x14ac:dyDescent="0.35">
      <c r="A270">
        <v>100226</v>
      </c>
      <c r="B270" s="3">
        <v>40599</v>
      </c>
      <c r="C270" t="s">
        <v>460</v>
      </c>
      <c r="D270">
        <v>2011</v>
      </c>
      <c r="E270" s="3">
        <v>40575</v>
      </c>
      <c r="F270" t="s">
        <v>32</v>
      </c>
      <c r="G270" t="s">
        <v>340</v>
      </c>
      <c r="H270">
        <v>93450</v>
      </c>
      <c r="I270">
        <v>120000</v>
      </c>
      <c r="J270">
        <v>0.77875000000000005</v>
      </c>
      <c r="K270">
        <v>1.2841091492776886</v>
      </c>
      <c r="L270" t="s">
        <v>16</v>
      </c>
      <c r="M270" t="s">
        <v>446</v>
      </c>
      <c r="N270" t="s">
        <v>766</v>
      </c>
    </row>
    <row r="271" spans="1:14" x14ac:dyDescent="0.35">
      <c r="A271">
        <v>100254</v>
      </c>
      <c r="B271" s="3">
        <v>40731</v>
      </c>
      <c r="C271" t="s">
        <v>458</v>
      </c>
      <c r="D271">
        <v>2011</v>
      </c>
      <c r="E271" s="3">
        <v>40725</v>
      </c>
      <c r="F271" t="s">
        <v>68</v>
      </c>
      <c r="G271" t="s">
        <v>312</v>
      </c>
      <c r="H271">
        <v>91000</v>
      </c>
      <c r="I271">
        <v>115000</v>
      </c>
      <c r="J271">
        <v>0.79130434800000005</v>
      </c>
      <c r="K271">
        <v>1.2637362637362637</v>
      </c>
      <c r="L271" t="s">
        <v>16</v>
      </c>
      <c r="M271" t="s">
        <v>446</v>
      </c>
      <c r="N271" t="s">
        <v>769</v>
      </c>
    </row>
    <row r="272" spans="1:14" x14ac:dyDescent="0.35">
      <c r="A272">
        <v>90010</v>
      </c>
      <c r="B272" s="3">
        <v>40105</v>
      </c>
      <c r="C272" t="s">
        <v>469</v>
      </c>
      <c r="D272">
        <v>2009</v>
      </c>
      <c r="E272" s="3">
        <v>40087</v>
      </c>
      <c r="F272" t="s">
        <v>193</v>
      </c>
      <c r="G272" t="s">
        <v>317</v>
      </c>
      <c r="H272">
        <v>94260</v>
      </c>
      <c r="I272">
        <v>115000</v>
      </c>
      <c r="J272">
        <v>0.81965217400000001</v>
      </c>
      <c r="K272">
        <v>1.22002970507108</v>
      </c>
      <c r="L272" t="s">
        <v>16</v>
      </c>
      <c r="M272" t="s">
        <v>446</v>
      </c>
      <c r="N272" t="s">
        <v>764</v>
      </c>
    </row>
    <row r="273" spans="1:14" x14ac:dyDescent="0.35">
      <c r="A273">
        <v>800234</v>
      </c>
      <c r="B273" s="3">
        <v>39967</v>
      </c>
      <c r="C273" t="s">
        <v>454</v>
      </c>
      <c r="D273">
        <v>2009</v>
      </c>
      <c r="E273" s="3">
        <v>39965</v>
      </c>
      <c r="F273" t="s">
        <v>68</v>
      </c>
      <c r="G273" t="s">
        <v>304</v>
      </c>
      <c r="H273">
        <v>82250</v>
      </c>
      <c r="I273">
        <v>112500</v>
      </c>
      <c r="J273">
        <v>0.73111111100000004</v>
      </c>
      <c r="K273">
        <v>1.3677811550151975</v>
      </c>
      <c r="L273" t="s">
        <v>16</v>
      </c>
      <c r="M273" t="s">
        <v>446</v>
      </c>
      <c r="N273" t="s">
        <v>769</v>
      </c>
    </row>
    <row r="274" spans="1:14" x14ac:dyDescent="0.35">
      <c r="A274">
        <v>160444</v>
      </c>
      <c r="B274" s="3">
        <v>42926</v>
      </c>
      <c r="C274" t="s">
        <v>458</v>
      </c>
      <c r="D274">
        <v>2017</v>
      </c>
      <c r="E274" s="3">
        <v>42917</v>
      </c>
      <c r="F274" t="s">
        <v>216</v>
      </c>
      <c r="G274" t="s">
        <v>386</v>
      </c>
      <c r="H274">
        <v>58510</v>
      </c>
      <c r="I274">
        <v>110000</v>
      </c>
      <c r="J274">
        <v>0.53190909099999995</v>
      </c>
      <c r="K274">
        <v>1.8800205093146471</v>
      </c>
      <c r="L274" t="s">
        <v>16</v>
      </c>
      <c r="M274" t="s">
        <v>446</v>
      </c>
      <c r="N274" t="s">
        <v>762</v>
      </c>
    </row>
    <row r="275" spans="1:14" x14ac:dyDescent="0.35">
      <c r="A275">
        <v>180650</v>
      </c>
      <c r="B275" s="3">
        <v>43489</v>
      </c>
      <c r="C275" t="s">
        <v>464</v>
      </c>
      <c r="D275">
        <v>2019</v>
      </c>
      <c r="E275" s="3">
        <v>43466</v>
      </c>
      <c r="F275" t="s">
        <v>282</v>
      </c>
      <c r="G275" t="s">
        <v>408</v>
      </c>
      <c r="H275">
        <v>64720</v>
      </c>
      <c r="I275">
        <v>108000</v>
      </c>
      <c r="J275">
        <v>0.59919999999999995</v>
      </c>
      <c r="K275">
        <v>1.6687268232385661</v>
      </c>
      <c r="L275" t="s">
        <v>16</v>
      </c>
      <c r="M275" t="s">
        <v>446</v>
      </c>
      <c r="N275" t="s">
        <v>766</v>
      </c>
    </row>
    <row r="276" spans="1:14" x14ac:dyDescent="0.35">
      <c r="A276">
        <v>908206</v>
      </c>
      <c r="B276" s="3">
        <v>40431</v>
      </c>
      <c r="C276" t="s">
        <v>473</v>
      </c>
      <c r="D276">
        <v>2010</v>
      </c>
      <c r="E276" s="3">
        <v>40422</v>
      </c>
      <c r="F276" t="s">
        <v>174</v>
      </c>
      <c r="G276" t="s">
        <v>350</v>
      </c>
      <c r="H276">
        <v>69020</v>
      </c>
      <c r="I276">
        <v>107500</v>
      </c>
      <c r="J276">
        <v>0.64204651199999996</v>
      </c>
      <c r="K276">
        <v>1.5575195595479572</v>
      </c>
      <c r="L276" t="s">
        <v>16</v>
      </c>
      <c r="M276" t="s">
        <v>446</v>
      </c>
      <c r="N276" t="s">
        <v>759</v>
      </c>
    </row>
    <row r="277" spans="1:14" x14ac:dyDescent="0.35">
      <c r="A277">
        <v>171321</v>
      </c>
      <c r="B277" s="3">
        <v>43234</v>
      </c>
      <c r="C277" t="s">
        <v>456</v>
      </c>
      <c r="D277">
        <v>2018</v>
      </c>
      <c r="E277" s="3">
        <v>43221</v>
      </c>
      <c r="F277" t="s">
        <v>282</v>
      </c>
      <c r="G277" t="s">
        <v>385</v>
      </c>
      <c r="H277">
        <v>59750</v>
      </c>
      <c r="I277">
        <v>107000</v>
      </c>
      <c r="J277">
        <v>0.55840000000000001</v>
      </c>
      <c r="K277">
        <v>1.7907949790794979</v>
      </c>
      <c r="L277" t="s">
        <v>16</v>
      </c>
      <c r="M277" t="s">
        <v>446</v>
      </c>
      <c r="N277" t="s">
        <v>766</v>
      </c>
    </row>
    <row r="278" spans="1:14" x14ac:dyDescent="0.35">
      <c r="A278">
        <v>200953</v>
      </c>
      <c r="B278" s="3">
        <v>44344</v>
      </c>
      <c r="C278" t="s">
        <v>456</v>
      </c>
      <c r="D278">
        <v>2021</v>
      </c>
      <c r="E278" s="3">
        <v>44317</v>
      </c>
      <c r="F278" t="s">
        <v>159</v>
      </c>
      <c r="G278" t="s">
        <v>161</v>
      </c>
      <c r="H278">
        <v>64470</v>
      </c>
      <c r="I278">
        <v>105000</v>
      </c>
      <c r="J278">
        <v>0.61399999999999999</v>
      </c>
      <c r="K278">
        <v>1.6286644951140066</v>
      </c>
      <c r="L278" t="s">
        <v>13</v>
      </c>
      <c r="M278" t="s">
        <v>446</v>
      </c>
      <c r="N278" t="s">
        <v>757</v>
      </c>
    </row>
    <row r="279" spans="1:14" x14ac:dyDescent="0.35">
      <c r="A279">
        <v>200007</v>
      </c>
      <c r="B279" s="3">
        <v>44106</v>
      </c>
      <c r="C279" t="s">
        <v>469</v>
      </c>
      <c r="D279">
        <v>2020</v>
      </c>
      <c r="E279" s="3">
        <v>44105</v>
      </c>
      <c r="F279" t="s">
        <v>219</v>
      </c>
      <c r="G279" t="s">
        <v>220</v>
      </c>
      <c r="H279">
        <v>68300</v>
      </c>
      <c r="I279">
        <v>105000</v>
      </c>
      <c r="J279">
        <v>0.65039999999999998</v>
      </c>
      <c r="K279">
        <v>1.5373352855051245</v>
      </c>
      <c r="L279" t="s">
        <v>13</v>
      </c>
      <c r="M279" t="s">
        <v>446</v>
      </c>
      <c r="N279" t="s">
        <v>762</v>
      </c>
    </row>
    <row r="280" spans="1:14" x14ac:dyDescent="0.35">
      <c r="A280">
        <v>120151</v>
      </c>
      <c r="B280" s="3">
        <v>41530</v>
      </c>
      <c r="C280" t="s">
        <v>473</v>
      </c>
      <c r="D280">
        <v>2013</v>
      </c>
      <c r="E280" s="3">
        <v>41518</v>
      </c>
      <c r="F280" t="s">
        <v>193</v>
      </c>
      <c r="G280" t="s">
        <v>352</v>
      </c>
      <c r="H280">
        <v>76270</v>
      </c>
      <c r="I280">
        <v>105000</v>
      </c>
      <c r="J280">
        <v>0.72638095199999997</v>
      </c>
      <c r="K280">
        <v>1.3766880818146061</v>
      </c>
      <c r="L280" t="s">
        <v>16</v>
      </c>
      <c r="M280" t="s">
        <v>446</v>
      </c>
      <c r="N280" t="s">
        <v>764</v>
      </c>
    </row>
    <row r="281" spans="1:14" x14ac:dyDescent="0.35">
      <c r="A281">
        <v>160052</v>
      </c>
      <c r="B281" s="3">
        <v>42767</v>
      </c>
      <c r="C281" t="s">
        <v>460</v>
      </c>
      <c r="D281">
        <v>2017</v>
      </c>
      <c r="E281" s="3">
        <v>42767</v>
      </c>
      <c r="F281" t="s">
        <v>205</v>
      </c>
      <c r="G281" t="s">
        <v>371</v>
      </c>
      <c r="H281">
        <v>79310</v>
      </c>
      <c r="I281">
        <v>100000</v>
      </c>
      <c r="J281">
        <v>0.79310000000000003</v>
      </c>
      <c r="K281">
        <v>1.2608750472828143</v>
      </c>
      <c r="L281" t="s">
        <v>16</v>
      </c>
      <c r="M281" t="s">
        <v>446</v>
      </c>
      <c r="N281" t="s">
        <v>759</v>
      </c>
    </row>
    <row r="282" spans="1:14" x14ac:dyDescent="0.35">
      <c r="A282">
        <v>160606</v>
      </c>
      <c r="B282" s="3">
        <v>42934</v>
      </c>
      <c r="C282" t="s">
        <v>458</v>
      </c>
      <c r="D282">
        <v>2017</v>
      </c>
      <c r="E282" s="3">
        <v>42917</v>
      </c>
      <c r="F282" t="s">
        <v>280</v>
      </c>
      <c r="G282" t="s">
        <v>388</v>
      </c>
      <c r="H282">
        <v>68800</v>
      </c>
      <c r="I282">
        <v>95000</v>
      </c>
      <c r="J282">
        <v>0.72421052600000002</v>
      </c>
      <c r="K282">
        <v>1.3808139534883721</v>
      </c>
      <c r="L282" t="s">
        <v>16</v>
      </c>
      <c r="M282" t="s">
        <v>446</v>
      </c>
      <c r="N282" t="s">
        <v>762</v>
      </c>
    </row>
    <row r="283" spans="1:14" x14ac:dyDescent="0.35">
      <c r="A283">
        <v>201212</v>
      </c>
      <c r="B283" s="3">
        <v>44431</v>
      </c>
      <c r="C283" t="s">
        <v>462</v>
      </c>
      <c r="D283">
        <v>2021</v>
      </c>
      <c r="E283" s="3">
        <v>44409</v>
      </c>
      <c r="F283" t="s">
        <v>32</v>
      </c>
      <c r="G283" t="s">
        <v>36</v>
      </c>
      <c r="H283">
        <v>88060</v>
      </c>
      <c r="I283">
        <v>91000</v>
      </c>
      <c r="J283">
        <v>0.96760000000000002</v>
      </c>
      <c r="K283">
        <v>1.0333863275039745</v>
      </c>
      <c r="L283" t="s">
        <v>13</v>
      </c>
      <c r="M283" t="s">
        <v>446</v>
      </c>
      <c r="N283" t="s">
        <v>766</v>
      </c>
    </row>
    <row r="284" spans="1:14" x14ac:dyDescent="0.35">
      <c r="A284">
        <v>2020065</v>
      </c>
      <c r="B284" s="3">
        <v>44185</v>
      </c>
      <c r="C284" t="s">
        <v>450</v>
      </c>
      <c r="D284">
        <v>2020</v>
      </c>
      <c r="E284" s="3">
        <v>44166</v>
      </c>
      <c r="F284" t="s">
        <v>138</v>
      </c>
      <c r="G284" t="s">
        <v>248</v>
      </c>
      <c r="H284">
        <v>55200</v>
      </c>
      <c r="I284">
        <v>90000</v>
      </c>
      <c r="J284">
        <v>0.61329999999999996</v>
      </c>
      <c r="K284">
        <v>1.6304347826086956</v>
      </c>
      <c r="L284" t="s">
        <v>13</v>
      </c>
      <c r="M284" t="s">
        <v>446</v>
      </c>
      <c r="N284" t="s">
        <v>763</v>
      </c>
    </row>
    <row r="285" spans="1:14" x14ac:dyDescent="0.35">
      <c r="A285">
        <v>200377</v>
      </c>
      <c r="B285" s="3">
        <v>44424</v>
      </c>
      <c r="C285" t="s">
        <v>462</v>
      </c>
      <c r="D285">
        <v>2021</v>
      </c>
      <c r="E285" s="3">
        <v>44409</v>
      </c>
      <c r="F285" t="s">
        <v>189</v>
      </c>
      <c r="G285" t="s">
        <v>190</v>
      </c>
      <c r="H285">
        <v>41090</v>
      </c>
      <c r="I285">
        <v>89900</v>
      </c>
      <c r="J285">
        <v>0.45700000000000002</v>
      </c>
      <c r="K285">
        <v>2.1878802628376732</v>
      </c>
      <c r="L285" t="s">
        <v>13</v>
      </c>
      <c r="M285" t="s">
        <v>445</v>
      </c>
      <c r="N285" t="s">
        <v>764</v>
      </c>
    </row>
    <row r="286" spans="1:14" x14ac:dyDescent="0.35">
      <c r="A286">
        <v>2020256</v>
      </c>
      <c r="B286" s="3">
        <v>44370</v>
      </c>
      <c r="C286" t="s">
        <v>454</v>
      </c>
      <c r="D286">
        <v>2021</v>
      </c>
      <c r="E286" s="3">
        <v>44348</v>
      </c>
      <c r="F286" t="s">
        <v>138</v>
      </c>
      <c r="G286" t="s">
        <v>247</v>
      </c>
      <c r="H286">
        <v>55200</v>
      </c>
      <c r="I286">
        <v>89900</v>
      </c>
      <c r="J286">
        <v>0.61401557299999998</v>
      </c>
      <c r="K286">
        <v>1.6286231884057971</v>
      </c>
      <c r="L286" t="s">
        <v>13</v>
      </c>
      <c r="M286" t="s">
        <v>446</v>
      </c>
      <c r="N286" t="s">
        <v>763</v>
      </c>
    </row>
    <row r="287" spans="1:14" x14ac:dyDescent="0.35">
      <c r="A287">
        <v>90706</v>
      </c>
      <c r="B287" s="3">
        <v>40360</v>
      </c>
      <c r="C287" t="s">
        <v>458</v>
      </c>
      <c r="D287">
        <v>2010</v>
      </c>
      <c r="E287" s="3">
        <v>40360</v>
      </c>
      <c r="F287" t="s">
        <v>192</v>
      </c>
      <c r="G287" t="s">
        <v>345</v>
      </c>
      <c r="H287">
        <v>76500</v>
      </c>
      <c r="I287">
        <v>86000</v>
      </c>
      <c r="J287">
        <v>0.88953488400000003</v>
      </c>
      <c r="K287">
        <v>1.1241830065359477</v>
      </c>
      <c r="L287" t="s">
        <v>16</v>
      </c>
      <c r="M287" t="s">
        <v>446</v>
      </c>
      <c r="N287" t="s">
        <v>759</v>
      </c>
    </row>
    <row r="288" spans="1:14" x14ac:dyDescent="0.35">
      <c r="A288">
        <v>160697</v>
      </c>
      <c r="B288" s="3">
        <v>42782</v>
      </c>
      <c r="C288" t="s">
        <v>460</v>
      </c>
      <c r="D288">
        <v>2017</v>
      </c>
      <c r="E288" s="3">
        <v>42767</v>
      </c>
      <c r="F288" t="s">
        <v>181</v>
      </c>
      <c r="G288" t="s">
        <v>366</v>
      </c>
      <c r="H288">
        <v>47960</v>
      </c>
      <c r="I288">
        <v>85000</v>
      </c>
      <c r="J288">
        <v>0.56423529400000005</v>
      </c>
      <c r="K288">
        <v>1.7723102585487907</v>
      </c>
      <c r="L288" t="s">
        <v>16</v>
      </c>
      <c r="M288" t="s">
        <v>446</v>
      </c>
      <c r="N288" t="s">
        <v>762</v>
      </c>
    </row>
    <row r="289" spans="1:14" x14ac:dyDescent="0.35">
      <c r="A289">
        <v>160400</v>
      </c>
      <c r="B289" s="3">
        <v>42907</v>
      </c>
      <c r="C289" t="s">
        <v>454</v>
      </c>
      <c r="D289">
        <v>2017</v>
      </c>
      <c r="E289" s="3">
        <v>42887</v>
      </c>
      <c r="F289" t="s">
        <v>216</v>
      </c>
      <c r="G289" t="s">
        <v>364</v>
      </c>
      <c r="H289">
        <v>57720</v>
      </c>
      <c r="I289">
        <v>85000</v>
      </c>
      <c r="J289">
        <v>0.67905882399999995</v>
      </c>
      <c r="K289">
        <v>1.4726264726264726</v>
      </c>
      <c r="L289" t="s">
        <v>16</v>
      </c>
      <c r="M289" t="s">
        <v>446</v>
      </c>
      <c r="N289" t="s">
        <v>762</v>
      </c>
    </row>
    <row r="290" spans="1:14" x14ac:dyDescent="0.35">
      <c r="A290">
        <v>200821</v>
      </c>
      <c r="B290" s="3">
        <v>44343</v>
      </c>
      <c r="C290" t="s">
        <v>456</v>
      </c>
      <c r="D290">
        <v>2021</v>
      </c>
      <c r="E290" s="3">
        <v>44317</v>
      </c>
      <c r="F290" t="s">
        <v>125</v>
      </c>
      <c r="G290" t="s">
        <v>127</v>
      </c>
      <c r="H290">
        <v>67270</v>
      </c>
      <c r="I290">
        <v>82000</v>
      </c>
      <c r="J290">
        <v>0.82030000000000003</v>
      </c>
      <c r="K290">
        <v>1.2189683365541846</v>
      </c>
      <c r="L290" t="s">
        <v>13</v>
      </c>
      <c r="M290" t="s">
        <v>446</v>
      </c>
      <c r="N290" t="s">
        <v>765</v>
      </c>
    </row>
    <row r="291" spans="1:14" x14ac:dyDescent="0.35">
      <c r="A291">
        <v>90111</v>
      </c>
      <c r="B291" s="3">
        <v>40149</v>
      </c>
      <c r="C291" t="s">
        <v>450</v>
      </c>
      <c r="D291">
        <v>2009</v>
      </c>
      <c r="E291" s="3">
        <v>40148</v>
      </c>
      <c r="F291" t="s">
        <v>187</v>
      </c>
      <c r="G291" t="s">
        <v>346</v>
      </c>
      <c r="H291">
        <v>62630</v>
      </c>
      <c r="I291">
        <v>74000</v>
      </c>
      <c r="J291">
        <v>0.84635135100000003</v>
      </c>
      <c r="K291">
        <v>1.1815423918250041</v>
      </c>
      <c r="L291" t="s">
        <v>16</v>
      </c>
      <c r="M291" t="s">
        <v>446</v>
      </c>
      <c r="N291" t="s">
        <v>771</v>
      </c>
    </row>
    <row r="292" spans="1:14" x14ac:dyDescent="0.35">
      <c r="A292">
        <v>200242</v>
      </c>
      <c r="B292" s="3">
        <v>44223</v>
      </c>
      <c r="C292" t="s">
        <v>464</v>
      </c>
      <c r="D292">
        <v>2021</v>
      </c>
      <c r="E292" s="3">
        <v>44197</v>
      </c>
      <c r="F292" t="s">
        <v>66</v>
      </c>
      <c r="G292" t="s">
        <v>67</v>
      </c>
      <c r="H292">
        <v>28240</v>
      </c>
      <c r="I292">
        <v>73000</v>
      </c>
      <c r="J292">
        <v>0.38684931500000003</v>
      </c>
      <c r="K292">
        <v>2.5849858356940509</v>
      </c>
      <c r="L292" t="s">
        <v>13</v>
      </c>
      <c r="M292" t="s">
        <v>445</v>
      </c>
      <c r="N292" t="s">
        <v>760</v>
      </c>
    </row>
    <row r="293" spans="1:14" x14ac:dyDescent="0.35">
      <c r="A293">
        <v>91123</v>
      </c>
      <c r="B293" s="3">
        <v>40371</v>
      </c>
      <c r="C293" t="s">
        <v>458</v>
      </c>
      <c r="D293">
        <v>2010</v>
      </c>
      <c r="E293" s="3">
        <v>40360</v>
      </c>
      <c r="F293" t="s">
        <v>264</v>
      </c>
      <c r="G293" t="s">
        <v>339</v>
      </c>
      <c r="H293">
        <v>52580</v>
      </c>
      <c r="I293">
        <v>65000</v>
      </c>
      <c r="J293">
        <v>0.80892307699999999</v>
      </c>
      <c r="K293">
        <v>1.2362114872575123</v>
      </c>
      <c r="L293" t="s">
        <v>16</v>
      </c>
      <c r="M293" t="s">
        <v>446</v>
      </c>
      <c r="N293" t="s">
        <v>759</v>
      </c>
    </row>
    <row r="294" spans="1:14" x14ac:dyDescent="0.35">
      <c r="A294">
        <v>190767</v>
      </c>
      <c r="B294" s="3">
        <v>43892</v>
      </c>
      <c r="C294" t="s">
        <v>471</v>
      </c>
      <c r="D294">
        <v>2020</v>
      </c>
      <c r="E294" s="3">
        <v>43891</v>
      </c>
      <c r="F294" t="s">
        <v>264</v>
      </c>
      <c r="G294" t="s">
        <v>402</v>
      </c>
      <c r="H294">
        <v>28490</v>
      </c>
      <c r="I294">
        <v>61000</v>
      </c>
      <c r="J294">
        <v>0.46700000000000003</v>
      </c>
      <c r="K294">
        <v>2.1411021411021411</v>
      </c>
      <c r="L294" t="s">
        <v>16</v>
      </c>
      <c r="M294" t="s">
        <v>445</v>
      </c>
      <c r="N294" t="s">
        <v>759</v>
      </c>
    </row>
    <row r="295" spans="1:14" x14ac:dyDescent="0.35">
      <c r="A295">
        <v>170668</v>
      </c>
      <c r="B295" s="3">
        <v>43131</v>
      </c>
      <c r="C295" t="s">
        <v>464</v>
      </c>
      <c r="D295">
        <v>2018</v>
      </c>
      <c r="E295" s="3">
        <v>43101</v>
      </c>
      <c r="F295" t="s">
        <v>282</v>
      </c>
      <c r="G295" t="s">
        <v>373</v>
      </c>
      <c r="H295">
        <v>27570</v>
      </c>
      <c r="I295">
        <v>59000</v>
      </c>
      <c r="J295">
        <v>0.4672</v>
      </c>
      <c r="K295">
        <v>2.1400072542618789</v>
      </c>
      <c r="L295" t="s">
        <v>16</v>
      </c>
      <c r="M295" t="s">
        <v>445</v>
      </c>
      <c r="N295" t="s">
        <v>766</v>
      </c>
    </row>
    <row r="296" spans="1:14" x14ac:dyDescent="0.35">
      <c r="A296">
        <v>160606</v>
      </c>
      <c r="B296" s="3">
        <v>42957</v>
      </c>
      <c r="C296" t="s">
        <v>462</v>
      </c>
      <c r="D296">
        <v>2017</v>
      </c>
      <c r="E296" s="3">
        <v>42948</v>
      </c>
      <c r="F296" t="s">
        <v>133</v>
      </c>
      <c r="G296" t="s">
        <v>379</v>
      </c>
      <c r="H296">
        <v>41000</v>
      </c>
      <c r="I296">
        <v>55000</v>
      </c>
      <c r="J296">
        <v>0.74545454499999997</v>
      </c>
      <c r="K296">
        <v>1.3414634146341464</v>
      </c>
      <c r="L296" t="s">
        <v>16</v>
      </c>
      <c r="M296" t="s">
        <v>446</v>
      </c>
      <c r="N296" t="s">
        <v>757</v>
      </c>
    </row>
    <row r="297" spans="1:14" x14ac:dyDescent="0.35">
      <c r="A297">
        <v>181369</v>
      </c>
      <c r="B297" s="3">
        <v>43623</v>
      </c>
      <c r="C297" t="s">
        <v>454</v>
      </c>
      <c r="D297">
        <v>2019</v>
      </c>
      <c r="E297" s="3">
        <v>43617</v>
      </c>
      <c r="F297" t="s">
        <v>282</v>
      </c>
      <c r="G297" t="s">
        <v>406</v>
      </c>
      <c r="H297">
        <v>36950</v>
      </c>
      <c r="I297">
        <v>52000</v>
      </c>
      <c r="J297">
        <v>0.71050000000000002</v>
      </c>
      <c r="K297">
        <v>1.4073071718538566</v>
      </c>
      <c r="L297" t="s">
        <v>16</v>
      </c>
      <c r="M297" t="s">
        <v>446</v>
      </c>
      <c r="N297" t="s">
        <v>766</v>
      </c>
    </row>
    <row r="298" spans="1:14" x14ac:dyDescent="0.35">
      <c r="A298">
        <v>100418</v>
      </c>
      <c r="B298" s="3">
        <v>40765</v>
      </c>
      <c r="C298" t="s">
        <v>462</v>
      </c>
      <c r="D298">
        <v>2011</v>
      </c>
      <c r="E298" s="3">
        <v>40756</v>
      </c>
      <c r="F298" t="s">
        <v>249</v>
      </c>
      <c r="G298" t="s">
        <v>334</v>
      </c>
      <c r="H298">
        <v>38500</v>
      </c>
      <c r="I298">
        <v>50000</v>
      </c>
      <c r="J298">
        <v>0.77</v>
      </c>
      <c r="K298">
        <v>1.2987012987012987</v>
      </c>
      <c r="L298" t="s">
        <v>16</v>
      </c>
      <c r="M298" t="s">
        <v>446</v>
      </c>
      <c r="N298" t="s">
        <v>760</v>
      </c>
    </row>
    <row r="299" spans="1:14" x14ac:dyDescent="0.35">
      <c r="A299">
        <v>10470</v>
      </c>
      <c r="B299" s="3">
        <v>40700</v>
      </c>
      <c r="C299" t="s">
        <v>454</v>
      </c>
      <c r="D299">
        <v>2011</v>
      </c>
      <c r="E299" s="3">
        <v>40695</v>
      </c>
      <c r="F299" t="s">
        <v>98</v>
      </c>
      <c r="G299" t="s">
        <v>329</v>
      </c>
      <c r="H299">
        <v>27874</v>
      </c>
      <c r="I299">
        <v>42000</v>
      </c>
      <c r="J299">
        <v>0.66366666699999999</v>
      </c>
      <c r="K299">
        <v>1.5067805123053741</v>
      </c>
      <c r="L299" t="s">
        <v>16</v>
      </c>
      <c r="M299" t="s">
        <v>446</v>
      </c>
      <c r="N299" t="s">
        <v>770</v>
      </c>
    </row>
    <row r="300" spans="1:14" x14ac:dyDescent="0.35">
      <c r="A300">
        <v>17568</v>
      </c>
      <c r="B300" s="3">
        <v>43244</v>
      </c>
      <c r="C300" t="s">
        <v>456</v>
      </c>
      <c r="D300">
        <v>2018</v>
      </c>
      <c r="E300" s="3">
        <v>43221</v>
      </c>
      <c r="F300" t="s">
        <v>98</v>
      </c>
      <c r="G300" t="s">
        <v>380</v>
      </c>
      <c r="H300">
        <v>11620</v>
      </c>
      <c r="I300">
        <v>38500</v>
      </c>
      <c r="J300">
        <v>0.30180000000000001</v>
      </c>
      <c r="K300">
        <v>3.3132530120481927</v>
      </c>
      <c r="L300" t="s">
        <v>16</v>
      </c>
      <c r="M300" t="s">
        <v>445</v>
      </c>
      <c r="N300" t="s">
        <v>770</v>
      </c>
    </row>
    <row r="301" spans="1:14" x14ac:dyDescent="0.35">
      <c r="A301">
        <v>61464</v>
      </c>
      <c r="B301" s="3">
        <v>39227</v>
      </c>
      <c r="C301" t="s">
        <v>456</v>
      </c>
      <c r="D301">
        <v>2007</v>
      </c>
      <c r="E301" s="3">
        <v>39203</v>
      </c>
      <c r="F301" t="s">
        <v>264</v>
      </c>
      <c r="G301" t="s">
        <v>291</v>
      </c>
      <c r="H301">
        <v>14770</v>
      </c>
      <c r="I301">
        <v>33000</v>
      </c>
      <c r="J301">
        <v>0.44757575799999999</v>
      </c>
      <c r="K301">
        <v>2.2342586323628977</v>
      </c>
      <c r="L301" t="s">
        <v>16</v>
      </c>
      <c r="M301" t="s">
        <v>445</v>
      </c>
      <c r="N301" t="s">
        <v>759</v>
      </c>
    </row>
    <row r="302" spans="1:14" x14ac:dyDescent="0.35">
      <c r="A302">
        <v>180558</v>
      </c>
      <c r="B302" s="3">
        <v>43606</v>
      </c>
      <c r="C302" t="s">
        <v>456</v>
      </c>
      <c r="D302">
        <v>2019</v>
      </c>
      <c r="E302" s="3">
        <v>43586</v>
      </c>
      <c r="F302" t="s">
        <v>159</v>
      </c>
      <c r="G302" t="s">
        <v>404</v>
      </c>
      <c r="H302">
        <v>28910</v>
      </c>
      <c r="I302">
        <v>30000</v>
      </c>
      <c r="J302">
        <v>0.96360000000000001</v>
      </c>
      <c r="K302">
        <v>1.0377032168799722</v>
      </c>
      <c r="L302" t="s">
        <v>16</v>
      </c>
      <c r="M302" t="s">
        <v>446</v>
      </c>
      <c r="N302" t="s">
        <v>757</v>
      </c>
    </row>
    <row r="303" spans="1:14" x14ac:dyDescent="0.35">
      <c r="A303">
        <v>2000720</v>
      </c>
      <c r="B303" s="3">
        <v>44201</v>
      </c>
      <c r="C303" t="s">
        <v>464</v>
      </c>
      <c r="D303">
        <v>2021</v>
      </c>
      <c r="E303" s="3">
        <v>44197</v>
      </c>
      <c r="F303" t="s">
        <v>181</v>
      </c>
      <c r="G303" t="s">
        <v>221</v>
      </c>
      <c r="H303">
        <v>19110</v>
      </c>
      <c r="I303">
        <v>27500</v>
      </c>
      <c r="J303">
        <v>0.69489999999999996</v>
      </c>
      <c r="K303">
        <v>1.4390371533228676</v>
      </c>
      <c r="L303" t="s">
        <v>13</v>
      </c>
      <c r="M303" t="s">
        <v>446</v>
      </c>
      <c r="N303" t="s">
        <v>762</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8CF41-689F-4257-81C0-2B5FE830B545}">
  <dimension ref="A1:O303"/>
  <sheetViews>
    <sheetView topLeftCell="C1" workbookViewId="0">
      <selection activeCell="A2" sqref="A2"/>
    </sheetView>
  </sheetViews>
  <sheetFormatPr defaultRowHeight="14.5" x14ac:dyDescent="0.35"/>
  <cols>
    <col min="1" max="1" width="16.1796875" bestFit="1" customWidth="1"/>
    <col min="2" max="2" width="16.453125" bestFit="1" customWidth="1"/>
    <col min="3" max="3" width="15" bestFit="1" customWidth="1"/>
    <col min="4" max="4" width="7.26953125" bestFit="1" customWidth="1"/>
    <col min="5" max="5" width="15.54296875" bestFit="1" customWidth="1"/>
    <col min="6" max="6" width="14.453125" bestFit="1" customWidth="1"/>
    <col min="7" max="7" width="14.453125" customWidth="1"/>
    <col min="8" max="8" width="32" bestFit="1" customWidth="1"/>
    <col min="9" max="9" width="17.1796875" bestFit="1" customWidth="1"/>
    <col min="10" max="10" width="15.26953125" style="9" bestFit="1" customWidth="1"/>
    <col min="11" max="11" width="12.81640625" bestFit="1" customWidth="1"/>
    <col min="12" max="12" width="14.26953125" customWidth="1"/>
    <col min="13" max="13" width="15.81640625" bestFit="1" customWidth="1"/>
    <col min="14" max="14" width="14.26953125" customWidth="1"/>
  </cols>
  <sheetData>
    <row r="1" spans="1:15" x14ac:dyDescent="0.35">
      <c r="A1" t="s">
        <v>0</v>
      </c>
      <c r="B1" t="s">
        <v>1</v>
      </c>
      <c r="C1" t="s">
        <v>447</v>
      </c>
      <c r="D1" t="s">
        <v>448</v>
      </c>
      <c r="E1" t="s">
        <v>449</v>
      </c>
      <c r="F1" t="s">
        <v>2</v>
      </c>
      <c r="G1" t="s">
        <v>588</v>
      </c>
      <c r="H1" t="s">
        <v>3</v>
      </c>
      <c r="I1" t="s">
        <v>4</v>
      </c>
      <c r="J1" s="9" t="s">
        <v>5</v>
      </c>
      <c r="K1" t="s">
        <v>6</v>
      </c>
      <c r="L1" t="s">
        <v>438</v>
      </c>
      <c r="M1" t="s">
        <v>7</v>
      </c>
      <c r="N1" t="s">
        <v>444</v>
      </c>
      <c r="O1" t="s">
        <v>547</v>
      </c>
    </row>
    <row r="2" spans="1:15" x14ac:dyDescent="0.35">
      <c r="A2">
        <v>160092</v>
      </c>
      <c r="B2" s="3">
        <v>42724</v>
      </c>
      <c r="C2" t="s">
        <v>450</v>
      </c>
      <c r="D2">
        <v>2016</v>
      </c>
      <c r="E2" t="s">
        <v>451</v>
      </c>
      <c r="F2" t="s">
        <v>200</v>
      </c>
      <c r="G2" t="s">
        <v>754</v>
      </c>
      <c r="H2" t="s">
        <v>365</v>
      </c>
      <c r="I2">
        <v>45150</v>
      </c>
      <c r="J2" s="9">
        <v>13650000</v>
      </c>
      <c r="K2" s="10">
        <v>3.3076920000000001E-3</v>
      </c>
      <c r="L2" s="11">
        <v>302.32558139534882</v>
      </c>
      <c r="M2" t="s">
        <v>16</v>
      </c>
      <c r="N2" t="s">
        <v>445</v>
      </c>
    </row>
    <row r="3" spans="1:15" x14ac:dyDescent="0.35">
      <c r="A3">
        <v>200195</v>
      </c>
      <c r="B3" s="3">
        <v>44312</v>
      </c>
      <c r="C3" t="s">
        <v>452</v>
      </c>
      <c r="D3">
        <v>2021</v>
      </c>
      <c r="E3" t="s">
        <v>453</v>
      </c>
      <c r="F3" t="s">
        <v>54</v>
      </c>
      <c r="G3" t="s">
        <v>755</v>
      </c>
      <c r="H3" t="s">
        <v>415</v>
      </c>
      <c r="I3">
        <v>3360000</v>
      </c>
      <c r="J3" s="9">
        <v>5214750</v>
      </c>
      <c r="K3">
        <v>0.64429999999999998</v>
      </c>
      <c r="L3">
        <v>1.5520089285714285</v>
      </c>
      <c r="M3" t="s">
        <v>10</v>
      </c>
      <c r="N3" t="s">
        <v>446</v>
      </c>
    </row>
    <row r="4" spans="1:15" x14ac:dyDescent="0.35">
      <c r="A4">
        <v>201233</v>
      </c>
      <c r="B4" s="3">
        <v>44369</v>
      </c>
      <c r="C4" t="s">
        <v>454</v>
      </c>
      <c r="D4">
        <v>2021</v>
      </c>
      <c r="E4" t="s">
        <v>455</v>
      </c>
      <c r="F4" t="s">
        <v>85</v>
      </c>
      <c r="G4" t="s">
        <v>756</v>
      </c>
      <c r="H4" t="s">
        <v>86</v>
      </c>
      <c r="I4">
        <v>4259500</v>
      </c>
      <c r="J4" s="9">
        <v>4300000</v>
      </c>
      <c r="K4">
        <v>0.99050000000000005</v>
      </c>
      <c r="L4">
        <v>1.0095081582345347</v>
      </c>
      <c r="M4" t="s">
        <v>13</v>
      </c>
      <c r="N4" t="s">
        <v>446</v>
      </c>
    </row>
    <row r="5" spans="1:15" x14ac:dyDescent="0.35">
      <c r="A5">
        <v>170261</v>
      </c>
      <c r="B5" s="3">
        <v>43221</v>
      </c>
      <c r="C5" t="s">
        <v>456</v>
      </c>
      <c r="D5">
        <v>2018</v>
      </c>
      <c r="E5" t="s">
        <v>457</v>
      </c>
      <c r="F5" t="s">
        <v>144</v>
      </c>
      <c r="G5" t="s">
        <v>757</v>
      </c>
      <c r="H5" t="s">
        <v>384</v>
      </c>
      <c r="I5">
        <v>30660</v>
      </c>
      <c r="J5" s="9">
        <v>3266250</v>
      </c>
      <c r="K5" s="10">
        <v>9.3869120000000007E-3</v>
      </c>
      <c r="L5" s="11">
        <v>106.53131115459882</v>
      </c>
      <c r="M5" t="s">
        <v>16</v>
      </c>
      <c r="N5" t="s">
        <v>445</v>
      </c>
    </row>
    <row r="6" spans="1:15" x14ac:dyDescent="0.35">
      <c r="A6">
        <v>170255</v>
      </c>
      <c r="B6" s="3">
        <v>43221</v>
      </c>
      <c r="C6" t="s">
        <v>456</v>
      </c>
      <c r="D6">
        <v>2018</v>
      </c>
      <c r="E6" t="s">
        <v>457</v>
      </c>
      <c r="F6" t="s">
        <v>144</v>
      </c>
      <c r="G6" t="s">
        <v>757</v>
      </c>
      <c r="H6" t="s">
        <v>390</v>
      </c>
      <c r="I6">
        <v>30660</v>
      </c>
      <c r="J6" s="9">
        <v>3266250</v>
      </c>
      <c r="K6" s="10">
        <v>9.3869120000000007E-3</v>
      </c>
      <c r="L6" s="11">
        <v>106.53131115459882</v>
      </c>
      <c r="M6" t="s">
        <v>16</v>
      </c>
      <c r="N6" t="s">
        <v>445</v>
      </c>
    </row>
    <row r="7" spans="1:15" x14ac:dyDescent="0.35">
      <c r="A7">
        <v>201186</v>
      </c>
      <c r="B7" s="3">
        <v>44389</v>
      </c>
      <c r="C7" t="s">
        <v>458</v>
      </c>
      <c r="D7">
        <v>2021</v>
      </c>
      <c r="E7" t="s">
        <v>459</v>
      </c>
      <c r="F7" t="s">
        <v>56</v>
      </c>
      <c r="G7" t="s">
        <v>758</v>
      </c>
      <c r="H7" t="s">
        <v>60</v>
      </c>
      <c r="I7">
        <v>695500</v>
      </c>
      <c r="J7" s="9">
        <v>3200000</v>
      </c>
      <c r="K7" s="10">
        <v>0.21734375</v>
      </c>
      <c r="L7" s="11">
        <v>4.6010064701653484</v>
      </c>
      <c r="M7" t="s">
        <v>10</v>
      </c>
      <c r="N7" t="s">
        <v>445</v>
      </c>
    </row>
    <row r="8" spans="1:15" x14ac:dyDescent="0.35">
      <c r="A8">
        <v>200645</v>
      </c>
      <c r="B8" s="3">
        <v>44244</v>
      </c>
      <c r="C8" t="s">
        <v>460</v>
      </c>
      <c r="D8">
        <v>2021</v>
      </c>
      <c r="E8" t="s">
        <v>461</v>
      </c>
      <c r="F8" t="s">
        <v>85</v>
      </c>
      <c r="G8" t="s">
        <v>756</v>
      </c>
      <c r="H8" t="s">
        <v>423</v>
      </c>
      <c r="I8">
        <v>2661200</v>
      </c>
      <c r="J8" s="9">
        <v>3000000</v>
      </c>
      <c r="K8">
        <v>0.88700000000000001</v>
      </c>
      <c r="L8">
        <v>1.1273109875244252</v>
      </c>
      <c r="M8" t="s">
        <v>13</v>
      </c>
      <c r="N8" t="s">
        <v>446</v>
      </c>
    </row>
    <row r="9" spans="1:15" x14ac:dyDescent="0.35">
      <c r="A9">
        <v>200661</v>
      </c>
      <c r="B9" s="3">
        <v>44438</v>
      </c>
      <c r="C9" t="s">
        <v>462</v>
      </c>
      <c r="D9">
        <v>2021</v>
      </c>
      <c r="E9" t="s">
        <v>463</v>
      </c>
      <c r="F9" t="s">
        <v>152</v>
      </c>
      <c r="G9" t="s">
        <v>757</v>
      </c>
      <c r="H9" t="s">
        <v>154</v>
      </c>
      <c r="I9">
        <v>1279460</v>
      </c>
      <c r="J9" s="9">
        <v>2400000</v>
      </c>
      <c r="K9">
        <v>0.53310000000000002</v>
      </c>
      <c r="L9">
        <v>1.87579134947556</v>
      </c>
      <c r="M9" t="s">
        <v>13</v>
      </c>
      <c r="N9" t="s">
        <v>446</v>
      </c>
    </row>
    <row r="10" spans="1:15" x14ac:dyDescent="0.35">
      <c r="A10">
        <v>201437</v>
      </c>
      <c r="B10" s="3">
        <v>44397</v>
      </c>
      <c r="C10" t="s">
        <v>458</v>
      </c>
      <c r="D10">
        <v>2021</v>
      </c>
      <c r="E10" t="s">
        <v>459</v>
      </c>
      <c r="F10" t="s">
        <v>85</v>
      </c>
      <c r="G10" t="s">
        <v>756</v>
      </c>
      <c r="H10" t="s">
        <v>87</v>
      </c>
      <c r="I10">
        <v>1337630</v>
      </c>
      <c r="J10" s="9">
        <v>2300000</v>
      </c>
      <c r="K10">
        <v>0.58150000000000002</v>
      </c>
      <c r="L10">
        <v>1.7194590432331811</v>
      </c>
      <c r="M10" t="s">
        <v>13</v>
      </c>
      <c r="N10" t="s">
        <v>446</v>
      </c>
    </row>
    <row r="11" spans="1:15" x14ac:dyDescent="0.35">
      <c r="A11">
        <v>200055</v>
      </c>
      <c r="B11" s="3">
        <v>44221</v>
      </c>
      <c r="C11" t="s">
        <v>464</v>
      </c>
      <c r="D11">
        <v>2021</v>
      </c>
      <c r="E11" t="s">
        <v>465</v>
      </c>
      <c r="F11" t="s">
        <v>262</v>
      </c>
      <c r="G11" t="s">
        <v>759</v>
      </c>
      <c r="H11" t="s">
        <v>263</v>
      </c>
      <c r="I11">
        <v>1030330</v>
      </c>
      <c r="J11" s="9">
        <v>2285000</v>
      </c>
      <c r="K11" s="10">
        <v>0.45090000000000002</v>
      </c>
      <c r="L11" s="11">
        <v>2.2177360651441771</v>
      </c>
      <c r="M11" t="s">
        <v>13</v>
      </c>
      <c r="N11" t="s">
        <v>445</v>
      </c>
    </row>
    <row r="12" spans="1:15" x14ac:dyDescent="0.35">
      <c r="A12">
        <v>2016743</v>
      </c>
      <c r="B12" s="3">
        <v>44396</v>
      </c>
      <c r="C12" t="s">
        <v>458</v>
      </c>
      <c r="D12">
        <v>2021</v>
      </c>
      <c r="E12" t="s">
        <v>459</v>
      </c>
      <c r="F12" t="s">
        <v>197</v>
      </c>
      <c r="G12" t="s">
        <v>754</v>
      </c>
      <c r="H12" t="s">
        <v>198</v>
      </c>
      <c r="I12">
        <v>1769800</v>
      </c>
      <c r="J12" s="9">
        <v>1800000</v>
      </c>
      <c r="K12">
        <v>0.98319999999999996</v>
      </c>
      <c r="L12">
        <v>1.0170640750367272</v>
      </c>
      <c r="M12" t="s">
        <v>10</v>
      </c>
      <c r="N12" t="s">
        <v>446</v>
      </c>
    </row>
    <row r="13" spans="1:15" x14ac:dyDescent="0.35">
      <c r="A13">
        <v>200320</v>
      </c>
      <c r="B13" s="3">
        <v>44326</v>
      </c>
      <c r="C13" t="s">
        <v>456</v>
      </c>
      <c r="D13">
        <v>2021</v>
      </c>
      <c r="E13" t="s">
        <v>466</v>
      </c>
      <c r="F13" t="s">
        <v>69</v>
      </c>
      <c r="G13" t="s">
        <v>760</v>
      </c>
      <c r="H13" t="s">
        <v>71</v>
      </c>
      <c r="I13">
        <v>776230</v>
      </c>
      <c r="J13" s="9">
        <v>1525000</v>
      </c>
      <c r="K13">
        <v>0.50900000000000001</v>
      </c>
      <c r="L13">
        <v>1.9646238872499131</v>
      </c>
      <c r="M13" t="s">
        <v>10</v>
      </c>
      <c r="N13" t="s">
        <v>446</v>
      </c>
    </row>
    <row r="14" spans="1:15" x14ac:dyDescent="0.35">
      <c r="A14">
        <v>200377</v>
      </c>
      <c r="B14" s="3">
        <v>44379</v>
      </c>
      <c r="C14" t="s">
        <v>458</v>
      </c>
      <c r="D14">
        <v>2021</v>
      </c>
      <c r="E14" t="s">
        <v>459</v>
      </c>
      <c r="F14" t="s">
        <v>14</v>
      </c>
      <c r="G14" t="s">
        <v>761</v>
      </c>
      <c r="H14" t="s">
        <v>17</v>
      </c>
      <c r="I14">
        <v>862330</v>
      </c>
      <c r="J14" s="9">
        <v>1447500</v>
      </c>
      <c r="K14">
        <v>0.59570000000000001</v>
      </c>
      <c r="L14">
        <v>1.6785917224264493</v>
      </c>
      <c r="M14" t="s">
        <v>13</v>
      </c>
      <c r="N14" t="s">
        <v>446</v>
      </c>
    </row>
    <row r="15" spans="1:15" x14ac:dyDescent="0.35">
      <c r="A15">
        <v>161304</v>
      </c>
      <c r="B15" s="3">
        <v>42901</v>
      </c>
      <c r="C15" t="s">
        <v>454</v>
      </c>
      <c r="D15">
        <v>2017</v>
      </c>
      <c r="E15" t="s">
        <v>467</v>
      </c>
      <c r="F15" t="s">
        <v>181</v>
      </c>
      <c r="G15" t="s">
        <v>762</v>
      </c>
      <c r="H15" t="s">
        <v>382</v>
      </c>
      <c r="I15">
        <v>91980</v>
      </c>
      <c r="J15" s="9">
        <v>1323338</v>
      </c>
      <c r="K15" s="10">
        <v>6.9506051999999999E-2</v>
      </c>
      <c r="L15" s="11">
        <v>14.387236355729506</v>
      </c>
      <c r="M15" t="s">
        <v>16</v>
      </c>
      <c r="N15" t="s">
        <v>445</v>
      </c>
    </row>
    <row r="16" spans="1:15" x14ac:dyDescent="0.35">
      <c r="A16">
        <v>201494</v>
      </c>
      <c r="B16" s="3">
        <v>44405</v>
      </c>
      <c r="C16" t="s">
        <v>458</v>
      </c>
      <c r="D16">
        <v>2021</v>
      </c>
      <c r="E16" t="s">
        <v>459</v>
      </c>
      <c r="F16" t="s">
        <v>85</v>
      </c>
      <c r="G16" t="s">
        <v>756</v>
      </c>
      <c r="H16" t="s">
        <v>88</v>
      </c>
      <c r="I16">
        <v>632170</v>
      </c>
      <c r="J16" s="9">
        <v>1250000</v>
      </c>
      <c r="K16">
        <v>0.50570000000000004</v>
      </c>
      <c r="L16">
        <v>1.9773162282297483</v>
      </c>
      <c r="M16" t="s">
        <v>13</v>
      </c>
      <c r="N16" t="s">
        <v>446</v>
      </c>
    </row>
    <row r="17" spans="1:14" x14ac:dyDescent="0.35">
      <c r="A17">
        <v>200109</v>
      </c>
      <c r="B17" s="3">
        <v>44174</v>
      </c>
      <c r="C17" t="s">
        <v>450</v>
      </c>
      <c r="D17">
        <v>2020</v>
      </c>
      <c r="E17" t="s">
        <v>468</v>
      </c>
      <c r="F17" t="s">
        <v>14</v>
      </c>
      <c r="G17" t="s">
        <v>761</v>
      </c>
      <c r="H17" t="s">
        <v>18</v>
      </c>
      <c r="I17">
        <v>847520</v>
      </c>
      <c r="J17" s="9">
        <v>1250000</v>
      </c>
      <c r="K17">
        <v>0.67800000000000005</v>
      </c>
      <c r="L17">
        <v>1.474891447989428</v>
      </c>
      <c r="M17" t="s">
        <v>13</v>
      </c>
      <c r="N17" t="s">
        <v>446</v>
      </c>
    </row>
    <row r="18" spans="1:14" x14ac:dyDescent="0.35">
      <c r="A18">
        <v>200020</v>
      </c>
      <c r="B18" s="3">
        <v>44110</v>
      </c>
      <c r="C18" t="s">
        <v>469</v>
      </c>
      <c r="D18">
        <v>2020</v>
      </c>
      <c r="E18" t="s">
        <v>470</v>
      </c>
      <c r="F18" t="s">
        <v>92</v>
      </c>
      <c r="G18" t="s">
        <v>756</v>
      </c>
      <c r="H18" t="s">
        <v>95</v>
      </c>
      <c r="I18">
        <v>654570</v>
      </c>
      <c r="J18" s="9">
        <v>990000</v>
      </c>
      <c r="K18">
        <v>0.66118181799999998</v>
      </c>
      <c r="L18">
        <v>1.5124432833768733</v>
      </c>
      <c r="M18" t="s">
        <v>13</v>
      </c>
      <c r="N18" t="s">
        <v>446</v>
      </c>
    </row>
    <row r="19" spans="1:14" x14ac:dyDescent="0.35">
      <c r="A19">
        <v>2001101</v>
      </c>
      <c r="B19" s="3">
        <v>44259</v>
      </c>
      <c r="C19" t="s">
        <v>471</v>
      </c>
      <c r="D19">
        <v>2021</v>
      </c>
      <c r="E19" t="s">
        <v>472</v>
      </c>
      <c r="F19" t="s">
        <v>181</v>
      </c>
      <c r="G19" t="s">
        <v>762</v>
      </c>
      <c r="H19" t="s">
        <v>223</v>
      </c>
      <c r="I19">
        <v>599810</v>
      </c>
      <c r="J19" s="9">
        <v>950000</v>
      </c>
      <c r="K19">
        <v>0.63129999999999997</v>
      </c>
      <c r="L19">
        <v>1.5838348810456644</v>
      </c>
      <c r="M19" t="s">
        <v>13</v>
      </c>
      <c r="N19" t="s">
        <v>446</v>
      </c>
    </row>
    <row r="20" spans="1:14" x14ac:dyDescent="0.35">
      <c r="A20">
        <v>200427</v>
      </c>
      <c r="B20" s="3">
        <v>44232</v>
      </c>
      <c r="C20" t="s">
        <v>460</v>
      </c>
      <c r="D20">
        <v>2021</v>
      </c>
      <c r="E20" t="s">
        <v>461</v>
      </c>
      <c r="F20" t="s">
        <v>133</v>
      </c>
      <c r="G20" t="s">
        <v>757</v>
      </c>
      <c r="H20" t="s">
        <v>177</v>
      </c>
      <c r="I20">
        <v>587600</v>
      </c>
      <c r="J20" s="9">
        <v>939000</v>
      </c>
      <c r="K20">
        <v>0.62570000000000003</v>
      </c>
      <c r="L20">
        <v>1.5980258679373724</v>
      </c>
      <c r="M20" t="s">
        <v>10</v>
      </c>
      <c r="N20" t="s">
        <v>446</v>
      </c>
    </row>
    <row r="21" spans="1:14" x14ac:dyDescent="0.35">
      <c r="A21">
        <v>2001570</v>
      </c>
      <c r="B21" s="3">
        <v>44330</v>
      </c>
      <c r="C21" t="s">
        <v>456</v>
      </c>
      <c r="D21">
        <v>2021</v>
      </c>
      <c r="E21" t="s">
        <v>466</v>
      </c>
      <c r="F21" t="s">
        <v>181</v>
      </c>
      <c r="G21" t="s">
        <v>762</v>
      </c>
      <c r="H21" t="s">
        <v>227</v>
      </c>
      <c r="I21">
        <v>486230</v>
      </c>
      <c r="J21" s="9">
        <v>930000</v>
      </c>
      <c r="K21">
        <v>0.52280000000000004</v>
      </c>
      <c r="L21">
        <v>1.9126750714682352</v>
      </c>
      <c r="M21" t="s">
        <v>10</v>
      </c>
      <c r="N21" t="s">
        <v>446</v>
      </c>
    </row>
    <row r="22" spans="1:14" x14ac:dyDescent="0.35">
      <c r="A22">
        <v>20771</v>
      </c>
      <c r="B22" s="3">
        <v>44455</v>
      </c>
      <c r="C22" t="s">
        <v>473</v>
      </c>
      <c r="D22">
        <v>2021</v>
      </c>
      <c r="E22" t="s">
        <v>474</v>
      </c>
      <c r="F22" t="s">
        <v>166</v>
      </c>
      <c r="G22" t="s">
        <v>757</v>
      </c>
      <c r="H22" t="s">
        <v>169</v>
      </c>
      <c r="I22">
        <v>451770</v>
      </c>
      <c r="J22" s="9">
        <v>910000</v>
      </c>
      <c r="K22" s="10">
        <v>0.49645054900000002</v>
      </c>
      <c r="L22" s="11">
        <v>2.0142993115966088</v>
      </c>
      <c r="M22" t="s">
        <v>13</v>
      </c>
      <c r="N22" t="s">
        <v>445</v>
      </c>
    </row>
    <row r="23" spans="1:14" x14ac:dyDescent="0.35">
      <c r="A23">
        <v>200627</v>
      </c>
      <c r="B23" s="3">
        <v>44397</v>
      </c>
      <c r="C23" t="s">
        <v>458</v>
      </c>
      <c r="D23">
        <v>2021</v>
      </c>
      <c r="E23" t="s">
        <v>459</v>
      </c>
      <c r="F23" t="s">
        <v>252</v>
      </c>
      <c r="G23" t="s">
        <v>763</v>
      </c>
      <c r="H23" t="s">
        <v>255</v>
      </c>
      <c r="I23">
        <v>475160</v>
      </c>
      <c r="J23" s="9">
        <v>905000</v>
      </c>
      <c r="K23">
        <v>0.52500000000000002</v>
      </c>
      <c r="L23">
        <v>1.9046216011448776</v>
      </c>
      <c r="M23" t="s">
        <v>13</v>
      </c>
      <c r="N23" t="s">
        <v>446</v>
      </c>
    </row>
    <row r="24" spans="1:14" x14ac:dyDescent="0.35">
      <c r="A24">
        <v>200243</v>
      </c>
      <c r="B24" s="3">
        <v>44299</v>
      </c>
      <c r="C24" t="s">
        <v>452</v>
      </c>
      <c r="D24">
        <v>2021</v>
      </c>
      <c r="E24" t="s">
        <v>453</v>
      </c>
      <c r="F24" t="s">
        <v>14</v>
      </c>
      <c r="G24" t="s">
        <v>761</v>
      </c>
      <c r="H24" t="s">
        <v>410</v>
      </c>
      <c r="I24">
        <v>619290</v>
      </c>
      <c r="J24" s="9">
        <v>890000</v>
      </c>
      <c r="K24">
        <v>0.69579999999999997</v>
      </c>
      <c r="L24">
        <v>1.4371296161733598</v>
      </c>
      <c r="M24" t="s">
        <v>13</v>
      </c>
      <c r="N24" t="s">
        <v>446</v>
      </c>
    </row>
    <row r="25" spans="1:14" x14ac:dyDescent="0.35">
      <c r="A25">
        <v>20129</v>
      </c>
      <c r="B25" s="3">
        <v>44285</v>
      </c>
      <c r="C25" t="s">
        <v>471</v>
      </c>
      <c r="D25">
        <v>2021</v>
      </c>
      <c r="E25" t="s">
        <v>472</v>
      </c>
      <c r="F25" t="s">
        <v>64</v>
      </c>
      <c r="G25" t="s">
        <v>758</v>
      </c>
      <c r="H25" t="s">
        <v>65</v>
      </c>
      <c r="I25">
        <v>351260</v>
      </c>
      <c r="J25" s="9">
        <v>873000</v>
      </c>
      <c r="K25" s="10">
        <v>0.40229999999999999</v>
      </c>
      <c r="L25" s="11">
        <v>2.4853384957011899</v>
      </c>
      <c r="M25" t="s">
        <v>10</v>
      </c>
      <c r="N25" t="s">
        <v>445</v>
      </c>
    </row>
    <row r="26" spans="1:14" x14ac:dyDescent="0.35">
      <c r="A26">
        <v>201207</v>
      </c>
      <c r="B26" s="3">
        <v>44398</v>
      </c>
      <c r="C26" t="s">
        <v>458</v>
      </c>
      <c r="D26">
        <v>2021</v>
      </c>
      <c r="E26" t="s">
        <v>459</v>
      </c>
      <c r="F26" t="s">
        <v>159</v>
      </c>
      <c r="G26" t="s">
        <v>757</v>
      </c>
      <c r="H26" t="s">
        <v>162</v>
      </c>
      <c r="I26">
        <v>368130</v>
      </c>
      <c r="J26" s="9">
        <v>850000</v>
      </c>
      <c r="K26" s="10">
        <v>0.433</v>
      </c>
      <c r="L26" s="11">
        <v>2.3089669410262679</v>
      </c>
      <c r="M26" t="s">
        <v>13</v>
      </c>
      <c r="N26" t="s">
        <v>445</v>
      </c>
    </row>
    <row r="27" spans="1:14" x14ac:dyDescent="0.35">
      <c r="A27">
        <v>2000344</v>
      </c>
      <c r="B27" s="3">
        <v>44145</v>
      </c>
      <c r="C27" t="s">
        <v>475</v>
      </c>
      <c r="D27">
        <v>2020</v>
      </c>
      <c r="E27" t="s">
        <v>476</v>
      </c>
      <c r="F27" t="s">
        <v>181</v>
      </c>
      <c r="G27" t="s">
        <v>762</v>
      </c>
      <c r="H27" t="s">
        <v>232</v>
      </c>
      <c r="I27">
        <v>539700</v>
      </c>
      <c r="J27" s="9">
        <v>850000</v>
      </c>
      <c r="K27">
        <v>0.63490000000000002</v>
      </c>
      <c r="L27">
        <v>1.5749490457661663</v>
      </c>
      <c r="M27" t="s">
        <v>13</v>
      </c>
      <c r="N27" t="s">
        <v>446</v>
      </c>
    </row>
    <row r="28" spans="1:14" x14ac:dyDescent="0.35">
      <c r="A28">
        <v>200338</v>
      </c>
      <c r="B28" s="3">
        <v>44309</v>
      </c>
      <c r="C28" t="s">
        <v>452</v>
      </c>
      <c r="D28">
        <v>2021</v>
      </c>
      <c r="E28" t="s">
        <v>453</v>
      </c>
      <c r="F28" t="s">
        <v>152</v>
      </c>
      <c r="G28" t="s">
        <v>757</v>
      </c>
      <c r="H28" t="s">
        <v>153</v>
      </c>
      <c r="I28">
        <v>620760</v>
      </c>
      <c r="J28" s="9">
        <v>850000</v>
      </c>
      <c r="K28">
        <v>0.73029999999999995</v>
      </c>
      <c r="L28">
        <v>1.3692892583285006</v>
      </c>
      <c r="M28" t="s">
        <v>13</v>
      </c>
      <c r="N28" t="s">
        <v>446</v>
      </c>
    </row>
    <row r="29" spans="1:14" x14ac:dyDescent="0.35">
      <c r="A29">
        <v>202000106</v>
      </c>
      <c r="B29" s="3">
        <v>44224</v>
      </c>
      <c r="C29" t="s">
        <v>464</v>
      </c>
      <c r="D29">
        <v>2021</v>
      </c>
      <c r="E29" t="s">
        <v>465</v>
      </c>
      <c r="F29" t="s">
        <v>193</v>
      </c>
      <c r="G29" t="s">
        <v>764</v>
      </c>
      <c r="H29" t="s">
        <v>194</v>
      </c>
      <c r="I29">
        <v>596470</v>
      </c>
      <c r="J29" s="9">
        <v>833111</v>
      </c>
      <c r="K29">
        <v>0.71589999999999998</v>
      </c>
      <c r="L29">
        <v>1.3967357955974316</v>
      </c>
      <c r="M29" t="s">
        <v>10</v>
      </c>
      <c r="N29" t="s">
        <v>446</v>
      </c>
    </row>
    <row r="30" spans="1:14" x14ac:dyDescent="0.35">
      <c r="A30">
        <v>2001250</v>
      </c>
      <c r="B30" s="3">
        <v>44280</v>
      </c>
      <c r="C30" t="s">
        <v>471</v>
      </c>
      <c r="D30">
        <v>2021</v>
      </c>
      <c r="E30" t="s">
        <v>472</v>
      </c>
      <c r="F30" t="s">
        <v>181</v>
      </c>
      <c r="G30" t="s">
        <v>762</v>
      </c>
      <c r="H30" t="s">
        <v>224</v>
      </c>
      <c r="I30">
        <v>403190</v>
      </c>
      <c r="J30" s="9">
        <v>810000</v>
      </c>
      <c r="K30" s="10">
        <v>0.49769999999999998</v>
      </c>
      <c r="L30" s="11">
        <v>2.0089783972816786</v>
      </c>
      <c r="M30" t="s">
        <v>13</v>
      </c>
      <c r="N30" t="s">
        <v>445</v>
      </c>
    </row>
    <row r="31" spans="1:14" x14ac:dyDescent="0.35">
      <c r="A31">
        <v>201027</v>
      </c>
      <c r="B31" s="3">
        <v>44396</v>
      </c>
      <c r="C31" t="s">
        <v>458</v>
      </c>
      <c r="D31">
        <v>2021</v>
      </c>
      <c r="E31" t="s">
        <v>459</v>
      </c>
      <c r="F31" t="s">
        <v>117</v>
      </c>
      <c r="G31" t="s">
        <v>765</v>
      </c>
      <c r="H31" t="s">
        <v>121</v>
      </c>
      <c r="I31">
        <v>517700</v>
      </c>
      <c r="J31" s="9">
        <v>800000</v>
      </c>
      <c r="K31">
        <v>0.64710000000000001</v>
      </c>
      <c r="L31">
        <v>1.5452965037666602</v>
      </c>
      <c r="M31" t="s">
        <v>10</v>
      </c>
      <c r="N31" t="s">
        <v>446</v>
      </c>
    </row>
    <row r="32" spans="1:14" x14ac:dyDescent="0.35">
      <c r="A32">
        <v>2002453</v>
      </c>
      <c r="B32" s="3">
        <v>44435</v>
      </c>
      <c r="C32" t="s">
        <v>462</v>
      </c>
      <c r="D32">
        <v>2021</v>
      </c>
      <c r="E32" t="s">
        <v>463</v>
      </c>
      <c r="F32" t="s">
        <v>181</v>
      </c>
      <c r="G32" t="s">
        <v>762</v>
      </c>
      <c r="H32" t="s">
        <v>233</v>
      </c>
      <c r="I32">
        <v>596290</v>
      </c>
      <c r="J32" s="9">
        <v>800000</v>
      </c>
      <c r="K32">
        <v>0.74529999999999996</v>
      </c>
      <c r="L32">
        <v>1.3416290731020142</v>
      </c>
      <c r="M32" t="s">
        <v>10</v>
      </c>
      <c r="N32" t="s">
        <v>446</v>
      </c>
    </row>
    <row r="33" spans="1:14" x14ac:dyDescent="0.35">
      <c r="A33">
        <v>200097</v>
      </c>
      <c r="B33" s="3">
        <v>44351</v>
      </c>
      <c r="C33" t="s">
        <v>454</v>
      </c>
      <c r="D33">
        <v>2021</v>
      </c>
      <c r="E33" t="s">
        <v>455</v>
      </c>
      <c r="F33" t="s">
        <v>21</v>
      </c>
      <c r="G33" t="s">
        <v>766</v>
      </c>
      <c r="H33" t="s">
        <v>22</v>
      </c>
      <c r="I33">
        <v>511000</v>
      </c>
      <c r="J33" s="9">
        <v>795000</v>
      </c>
      <c r="K33">
        <v>0.64270000000000005</v>
      </c>
      <c r="L33">
        <v>1.5557729941291585</v>
      </c>
      <c r="M33" t="s">
        <v>10</v>
      </c>
      <c r="N33" t="s">
        <v>446</v>
      </c>
    </row>
    <row r="34" spans="1:14" x14ac:dyDescent="0.35">
      <c r="A34">
        <v>2002537</v>
      </c>
      <c r="B34" s="3">
        <v>44446</v>
      </c>
      <c r="C34" t="s">
        <v>473</v>
      </c>
      <c r="D34">
        <v>2021</v>
      </c>
      <c r="E34" t="s">
        <v>474</v>
      </c>
      <c r="F34" t="s">
        <v>181</v>
      </c>
      <c r="G34" t="s">
        <v>762</v>
      </c>
      <c r="H34" t="s">
        <v>229</v>
      </c>
      <c r="I34">
        <v>441560</v>
      </c>
      <c r="J34" s="9">
        <v>785000</v>
      </c>
      <c r="K34">
        <v>0.56240000000000001</v>
      </c>
      <c r="L34">
        <v>1.7777878431017302</v>
      </c>
      <c r="M34" t="s">
        <v>13</v>
      </c>
      <c r="N34" t="s">
        <v>446</v>
      </c>
    </row>
    <row r="35" spans="1:14" x14ac:dyDescent="0.35">
      <c r="A35">
        <v>20274</v>
      </c>
      <c r="B35" s="3">
        <v>44204</v>
      </c>
      <c r="C35" t="s">
        <v>464</v>
      </c>
      <c r="D35">
        <v>2021</v>
      </c>
      <c r="E35" t="s">
        <v>465</v>
      </c>
      <c r="F35" t="s">
        <v>166</v>
      </c>
      <c r="G35" t="s">
        <v>757</v>
      </c>
      <c r="H35" t="s">
        <v>167</v>
      </c>
      <c r="I35">
        <v>419590</v>
      </c>
      <c r="J35" s="9">
        <v>779000</v>
      </c>
      <c r="K35">
        <v>0.53859999999999997</v>
      </c>
      <c r="L35">
        <v>1.8565742748873901</v>
      </c>
      <c r="M35" t="s">
        <v>13</v>
      </c>
      <c r="N35" t="s">
        <v>446</v>
      </c>
    </row>
    <row r="36" spans="1:14" x14ac:dyDescent="0.35">
      <c r="A36">
        <v>2000120</v>
      </c>
      <c r="B36" s="3">
        <v>44120</v>
      </c>
      <c r="C36" t="s">
        <v>469</v>
      </c>
      <c r="D36">
        <v>2020</v>
      </c>
      <c r="E36" t="s">
        <v>470</v>
      </c>
      <c r="F36" t="s">
        <v>181</v>
      </c>
      <c r="G36" t="s">
        <v>762</v>
      </c>
      <c r="H36" t="s">
        <v>230</v>
      </c>
      <c r="I36">
        <v>497000</v>
      </c>
      <c r="J36" s="9">
        <v>755000</v>
      </c>
      <c r="K36">
        <v>0.65820000000000001</v>
      </c>
      <c r="L36">
        <v>1.5191146881287727</v>
      </c>
      <c r="M36" t="s">
        <v>13</v>
      </c>
      <c r="N36" t="s">
        <v>446</v>
      </c>
    </row>
    <row r="37" spans="1:14" x14ac:dyDescent="0.35">
      <c r="A37">
        <v>200098</v>
      </c>
      <c r="B37" s="3">
        <v>44141</v>
      </c>
      <c r="C37" t="s">
        <v>475</v>
      </c>
      <c r="D37">
        <v>2020</v>
      </c>
      <c r="E37" t="s">
        <v>476</v>
      </c>
      <c r="F37" t="s">
        <v>92</v>
      </c>
      <c r="G37" t="s">
        <v>756</v>
      </c>
      <c r="H37" t="s">
        <v>424</v>
      </c>
      <c r="I37">
        <v>354550</v>
      </c>
      <c r="J37" s="9">
        <v>742500</v>
      </c>
      <c r="K37" s="10">
        <v>0.47749999999999998</v>
      </c>
      <c r="L37" s="11">
        <v>2.094203920462558</v>
      </c>
      <c r="M37" t="s">
        <v>13</v>
      </c>
      <c r="N37" t="s">
        <v>445</v>
      </c>
    </row>
    <row r="38" spans="1:14" x14ac:dyDescent="0.35">
      <c r="A38">
        <v>201328</v>
      </c>
      <c r="B38" s="3">
        <v>44414</v>
      </c>
      <c r="C38" t="s">
        <v>462</v>
      </c>
      <c r="D38">
        <v>2021</v>
      </c>
      <c r="E38" t="s">
        <v>463</v>
      </c>
      <c r="F38" t="s">
        <v>54</v>
      </c>
      <c r="G38" t="s">
        <v>755</v>
      </c>
      <c r="H38" t="s">
        <v>55</v>
      </c>
      <c r="I38">
        <v>410670</v>
      </c>
      <c r="J38" s="9">
        <v>740000</v>
      </c>
      <c r="K38">
        <v>0.55489999999999995</v>
      </c>
      <c r="L38">
        <v>1.8019334258650499</v>
      </c>
      <c r="M38" t="s">
        <v>13</v>
      </c>
      <c r="N38" t="s">
        <v>446</v>
      </c>
    </row>
    <row r="39" spans="1:14" x14ac:dyDescent="0.35">
      <c r="A39">
        <v>200170</v>
      </c>
      <c r="B39" s="3">
        <v>44361</v>
      </c>
      <c r="C39" t="s">
        <v>454</v>
      </c>
      <c r="D39">
        <v>2021</v>
      </c>
      <c r="E39" t="s">
        <v>455</v>
      </c>
      <c r="F39" t="s">
        <v>271</v>
      </c>
      <c r="G39" t="s">
        <v>759</v>
      </c>
      <c r="H39" t="s">
        <v>272</v>
      </c>
      <c r="I39">
        <v>271120</v>
      </c>
      <c r="J39" s="9">
        <v>725000</v>
      </c>
      <c r="K39" s="10">
        <v>0.37390000000000001</v>
      </c>
      <c r="L39" s="11">
        <v>2.6740926526999114</v>
      </c>
      <c r="M39" t="s">
        <v>13</v>
      </c>
      <c r="N39" t="s">
        <v>445</v>
      </c>
    </row>
    <row r="40" spans="1:14" x14ac:dyDescent="0.35">
      <c r="A40">
        <v>20458</v>
      </c>
      <c r="B40" s="3">
        <v>44365</v>
      </c>
      <c r="C40" t="s">
        <v>454</v>
      </c>
      <c r="D40">
        <v>2021</v>
      </c>
      <c r="E40" t="s">
        <v>455</v>
      </c>
      <c r="F40" t="s">
        <v>268</v>
      </c>
      <c r="G40" t="s">
        <v>759</v>
      </c>
      <c r="H40" t="s">
        <v>269</v>
      </c>
      <c r="I40">
        <v>271240</v>
      </c>
      <c r="J40" s="9">
        <v>710000</v>
      </c>
      <c r="K40" s="10">
        <v>0.38200000000000001</v>
      </c>
      <c r="L40" s="11">
        <v>2.6176080224155731</v>
      </c>
      <c r="M40" t="s">
        <v>13</v>
      </c>
      <c r="N40" t="s">
        <v>445</v>
      </c>
    </row>
    <row r="41" spans="1:14" x14ac:dyDescent="0.35">
      <c r="A41">
        <v>200421</v>
      </c>
      <c r="B41" s="3">
        <v>44189</v>
      </c>
      <c r="C41" t="s">
        <v>450</v>
      </c>
      <c r="D41">
        <v>2020</v>
      </c>
      <c r="E41" t="s">
        <v>468</v>
      </c>
      <c r="F41" t="s">
        <v>85</v>
      </c>
      <c r="G41" t="s">
        <v>756</v>
      </c>
      <c r="H41" t="s">
        <v>89</v>
      </c>
      <c r="I41">
        <v>288190</v>
      </c>
      <c r="J41" s="9">
        <v>705000</v>
      </c>
      <c r="K41" s="10">
        <v>0.40870000000000001</v>
      </c>
      <c r="L41" s="11">
        <v>2.4463027863562234</v>
      </c>
      <c r="M41" t="s">
        <v>13</v>
      </c>
      <c r="N41" t="s">
        <v>445</v>
      </c>
    </row>
    <row r="42" spans="1:14" x14ac:dyDescent="0.35">
      <c r="A42">
        <v>200258</v>
      </c>
      <c r="B42" s="3">
        <v>44218</v>
      </c>
      <c r="C42" t="s">
        <v>464</v>
      </c>
      <c r="D42">
        <v>2021</v>
      </c>
      <c r="E42" t="s">
        <v>465</v>
      </c>
      <c r="F42" t="s">
        <v>29</v>
      </c>
      <c r="G42" t="s">
        <v>766</v>
      </c>
      <c r="H42" t="s">
        <v>30</v>
      </c>
      <c r="I42">
        <v>530500</v>
      </c>
      <c r="J42" s="9">
        <v>700000</v>
      </c>
      <c r="K42">
        <v>0.75780000000000003</v>
      </c>
      <c r="L42">
        <v>1.3195098963242224</v>
      </c>
      <c r="M42" t="s">
        <v>13</v>
      </c>
      <c r="N42" t="s">
        <v>446</v>
      </c>
    </row>
    <row r="43" spans="1:14" x14ac:dyDescent="0.35">
      <c r="A43">
        <v>2020313</v>
      </c>
      <c r="B43" s="3">
        <v>44378</v>
      </c>
      <c r="C43" t="s">
        <v>458</v>
      </c>
      <c r="D43">
        <v>2021</v>
      </c>
      <c r="E43" t="s">
        <v>459</v>
      </c>
      <c r="F43" t="s">
        <v>19</v>
      </c>
      <c r="G43" t="s">
        <v>766</v>
      </c>
      <c r="H43" t="s">
        <v>411</v>
      </c>
      <c r="I43">
        <v>412000</v>
      </c>
      <c r="J43" s="9">
        <v>677500</v>
      </c>
      <c r="K43">
        <v>0.60809999999999997</v>
      </c>
      <c r="L43">
        <v>1.6444174757281553</v>
      </c>
      <c r="M43" t="s">
        <v>13</v>
      </c>
      <c r="N43" t="s">
        <v>446</v>
      </c>
    </row>
    <row r="44" spans="1:14" x14ac:dyDescent="0.35">
      <c r="A44">
        <v>2001286</v>
      </c>
      <c r="B44" s="3">
        <v>44285</v>
      </c>
      <c r="C44" t="s">
        <v>471</v>
      </c>
      <c r="D44">
        <v>2021</v>
      </c>
      <c r="E44" t="s">
        <v>472</v>
      </c>
      <c r="F44" t="s">
        <v>181</v>
      </c>
      <c r="G44" t="s">
        <v>762</v>
      </c>
      <c r="H44" t="s">
        <v>225</v>
      </c>
      <c r="I44">
        <v>438860</v>
      </c>
      <c r="J44" s="9">
        <v>652000</v>
      </c>
      <c r="K44">
        <v>0.67300000000000004</v>
      </c>
      <c r="L44">
        <v>1.4856674110194594</v>
      </c>
      <c r="M44" t="s">
        <v>13</v>
      </c>
      <c r="N44" t="s">
        <v>446</v>
      </c>
    </row>
    <row r="45" spans="1:14" x14ac:dyDescent="0.35">
      <c r="A45">
        <v>200639</v>
      </c>
      <c r="B45" s="3">
        <v>44405</v>
      </c>
      <c r="C45" t="s">
        <v>458</v>
      </c>
      <c r="D45">
        <v>2021</v>
      </c>
      <c r="E45" t="s">
        <v>459</v>
      </c>
      <c r="F45" t="s">
        <v>92</v>
      </c>
      <c r="G45" t="s">
        <v>756</v>
      </c>
      <c r="H45" t="s">
        <v>94</v>
      </c>
      <c r="I45">
        <v>259770</v>
      </c>
      <c r="J45" s="9">
        <v>650000</v>
      </c>
      <c r="K45" s="10">
        <v>0.39964615399999998</v>
      </c>
      <c r="L45" s="11">
        <v>2.5022134965546443</v>
      </c>
      <c r="M45" t="s">
        <v>13</v>
      </c>
      <c r="N45" t="s">
        <v>445</v>
      </c>
    </row>
    <row r="46" spans="1:14" x14ac:dyDescent="0.35">
      <c r="A46">
        <v>20200578</v>
      </c>
      <c r="B46" s="3">
        <v>44244</v>
      </c>
      <c r="C46" t="s">
        <v>460</v>
      </c>
      <c r="D46">
        <v>2021</v>
      </c>
      <c r="E46" t="s">
        <v>461</v>
      </c>
      <c r="F46" t="s">
        <v>129</v>
      </c>
      <c r="G46" t="s">
        <v>762</v>
      </c>
      <c r="H46" t="s">
        <v>238</v>
      </c>
      <c r="I46">
        <v>429800</v>
      </c>
      <c r="J46" s="9">
        <v>650000</v>
      </c>
      <c r="K46">
        <v>0.66120000000000001</v>
      </c>
      <c r="L46">
        <v>1.5123313168915775</v>
      </c>
      <c r="M46" t="s">
        <v>10</v>
      </c>
      <c r="N46" t="s">
        <v>446</v>
      </c>
    </row>
    <row r="47" spans="1:14" x14ac:dyDescent="0.35">
      <c r="A47">
        <v>200804</v>
      </c>
      <c r="B47" s="3">
        <v>44467</v>
      </c>
      <c r="C47" t="s">
        <v>473</v>
      </c>
      <c r="D47">
        <v>2021</v>
      </c>
      <c r="E47" t="s">
        <v>474</v>
      </c>
      <c r="F47" t="s">
        <v>29</v>
      </c>
      <c r="G47" t="s">
        <v>766</v>
      </c>
      <c r="H47" t="s">
        <v>31</v>
      </c>
      <c r="I47">
        <v>455100</v>
      </c>
      <c r="J47" s="9">
        <v>650000</v>
      </c>
      <c r="K47">
        <v>0.70009999999999994</v>
      </c>
      <c r="L47">
        <v>1.4282575258185015</v>
      </c>
      <c r="M47" t="s">
        <v>10</v>
      </c>
      <c r="N47" t="s">
        <v>446</v>
      </c>
    </row>
    <row r="48" spans="1:14" x14ac:dyDescent="0.35">
      <c r="A48">
        <v>200043</v>
      </c>
      <c r="B48" s="3">
        <v>44174</v>
      </c>
      <c r="C48" t="s">
        <v>450</v>
      </c>
      <c r="D48">
        <v>2020</v>
      </c>
      <c r="E48" t="s">
        <v>468</v>
      </c>
      <c r="F48" t="s">
        <v>111</v>
      </c>
      <c r="G48" t="s">
        <v>767</v>
      </c>
      <c r="H48" t="s">
        <v>112</v>
      </c>
      <c r="I48">
        <v>354040</v>
      </c>
      <c r="J48" s="9">
        <v>645000</v>
      </c>
      <c r="K48">
        <v>0.54879999999999995</v>
      </c>
      <c r="L48">
        <v>1.8218280420291493</v>
      </c>
      <c r="M48" t="s">
        <v>13</v>
      </c>
      <c r="N48" t="s">
        <v>446</v>
      </c>
    </row>
    <row r="49" spans="1:14" x14ac:dyDescent="0.35">
      <c r="A49">
        <v>200042</v>
      </c>
      <c r="B49" s="3">
        <v>44335</v>
      </c>
      <c r="C49" t="s">
        <v>456</v>
      </c>
      <c r="D49">
        <v>2021</v>
      </c>
      <c r="E49" t="s">
        <v>466</v>
      </c>
      <c r="F49" t="s">
        <v>413</v>
      </c>
      <c r="G49" t="s">
        <v>755</v>
      </c>
      <c r="H49" t="s">
        <v>40</v>
      </c>
      <c r="I49">
        <v>355800</v>
      </c>
      <c r="J49" s="9">
        <v>599000</v>
      </c>
      <c r="K49">
        <v>0.59389999999999998</v>
      </c>
      <c r="L49">
        <v>1.6835300730747611</v>
      </c>
      <c r="M49" t="s">
        <v>13</v>
      </c>
      <c r="N49" t="s">
        <v>446</v>
      </c>
    </row>
    <row r="50" spans="1:14" x14ac:dyDescent="0.35">
      <c r="A50">
        <v>70101</v>
      </c>
      <c r="B50" s="3">
        <v>39510</v>
      </c>
      <c r="C50" t="s">
        <v>471</v>
      </c>
      <c r="D50">
        <v>2008</v>
      </c>
      <c r="E50" t="s">
        <v>477</v>
      </c>
      <c r="F50" t="s">
        <v>136</v>
      </c>
      <c r="G50" t="s">
        <v>765</v>
      </c>
      <c r="H50" t="s">
        <v>300</v>
      </c>
      <c r="I50">
        <v>342230</v>
      </c>
      <c r="J50" s="9">
        <v>575000</v>
      </c>
      <c r="K50">
        <v>0.59518260899999997</v>
      </c>
      <c r="L50">
        <v>1.6801566198170821</v>
      </c>
      <c r="M50" t="s">
        <v>16</v>
      </c>
      <c r="N50" t="s">
        <v>446</v>
      </c>
    </row>
    <row r="51" spans="1:14" x14ac:dyDescent="0.35">
      <c r="A51">
        <v>200002</v>
      </c>
      <c r="B51" s="3">
        <v>44105</v>
      </c>
      <c r="C51" t="s">
        <v>469</v>
      </c>
      <c r="D51">
        <v>2020</v>
      </c>
      <c r="E51" t="s">
        <v>470</v>
      </c>
      <c r="F51" t="s">
        <v>130</v>
      </c>
      <c r="G51" t="s">
        <v>754</v>
      </c>
      <c r="H51" t="s">
        <v>203</v>
      </c>
      <c r="I51">
        <v>439290</v>
      </c>
      <c r="J51" s="9">
        <v>575000</v>
      </c>
      <c r="K51">
        <v>0.76398260900000003</v>
      </c>
      <c r="L51">
        <v>1.3089303193789978</v>
      </c>
      <c r="M51" t="s">
        <v>13</v>
      </c>
      <c r="N51" t="s">
        <v>446</v>
      </c>
    </row>
    <row r="52" spans="1:14" x14ac:dyDescent="0.35">
      <c r="A52">
        <v>160178</v>
      </c>
      <c r="B52" s="3">
        <v>42900</v>
      </c>
      <c r="C52" t="s">
        <v>454</v>
      </c>
      <c r="D52">
        <v>2017</v>
      </c>
      <c r="E52" t="s">
        <v>467</v>
      </c>
      <c r="F52" t="s">
        <v>341</v>
      </c>
      <c r="G52" t="s">
        <v>768</v>
      </c>
      <c r="H52" t="s">
        <v>398</v>
      </c>
      <c r="I52">
        <v>363600</v>
      </c>
      <c r="J52" s="9">
        <v>572500</v>
      </c>
      <c r="K52">
        <v>0.63510917</v>
      </c>
      <c r="L52">
        <v>1.5745324532453244</v>
      </c>
      <c r="M52" t="s">
        <v>16</v>
      </c>
      <c r="N52" t="s">
        <v>446</v>
      </c>
    </row>
    <row r="53" spans="1:14" x14ac:dyDescent="0.35">
      <c r="A53">
        <v>20249</v>
      </c>
      <c r="B53" s="3">
        <v>44469</v>
      </c>
      <c r="C53" t="s">
        <v>473</v>
      </c>
      <c r="D53">
        <v>2021</v>
      </c>
      <c r="E53" t="s">
        <v>474</v>
      </c>
      <c r="F53" t="s">
        <v>151</v>
      </c>
      <c r="G53" t="s">
        <v>768</v>
      </c>
      <c r="H53" t="s">
        <v>183</v>
      </c>
      <c r="I53">
        <v>297700</v>
      </c>
      <c r="J53" s="9">
        <v>550000</v>
      </c>
      <c r="K53">
        <v>0.54120000000000001</v>
      </c>
      <c r="L53">
        <v>1.8474974806852535</v>
      </c>
      <c r="M53" t="s">
        <v>13</v>
      </c>
      <c r="N53" t="s">
        <v>446</v>
      </c>
    </row>
    <row r="54" spans="1:14" x14ac:dyDescent="0.35">
      <c r="A54">
        <v>200742</v>
      </c>
      <c r="B54" s="3">
        <v>44284</v>
      </c>
      <c r="C54" t="s">
        <v>471</v>
      </c>
      <c r="D54">
        <v>2021</v>
      </c>
      <c r="E54" t="s">
        <v>472</v>
      </c>
      <c r="F54" t="s">
        <v>56</v>
      </c>
      <c r="G54" t="s">
        <v>758</v>
      </c>
      <c r="H54" t="s">
        <v>57</v>
      </c>
      <c r="I54">
        <v>339100</v>
      </c>
      <c r="J54" s="9">
        <v>550000</v>
      </c>
      <c r="K54">
        <v>0.61650000000000005</v>
      </c>
      <c r="L54">
        <v>1.6219404305514598</v>
      </c>
      <c r="M54" t="s">
        <v>13</v>
      </c>
      <c r="N54" t="s">
        <v>446</v>
      </c>
    </row>
    <row r="55" spans="1:14" x14ac:dyDescent="0.35">
      <c r="A55">
        <v>200151</v>
      </c>
      <c r="B55" s="3">
        <v>44179</v>
      </c>
      <c r="C55" t="s">
        <v>450</v>
      </c>
      <c r="D55">
        <v>2020</v>
      </c>
      <c r="E55" t="s">
        <v>468</v>
      </c>
      <c r="F55" t="s">
        <v>68</v>
      </c>
      <c r="G55" t="s">
        <v>769</v>
      </c>
      <c r="H55" t="s">
        <v>79</v>
      </c>
      <c r="I55">
        <v>356410</v>
      </c>
      <c r="J55" s="9">
        <v>550000</v>
      </c>
      <c r="K55">
        <v>0.64800000000000002</v>
      </c>
      <c r="L55">
        <v>1.543166577817682</v>
      </c>
      <c r="M55" t="s">
        <v>13</v>
      </c>
      <c r="N55" t="s">
        <v>446</v>
      </c>
    </row>
    <row r="56" spans="1:14" x14ac:dyDescent="0.35">
      <c r="A56">
        <v>70561</v>
      </c>
      <c r="B56" s="3">
        <v>39702</v>
      </c>
      <c r="C56" t="s">
        <v>473</v>
      </c>
      <c r="D56">
        <v>2008</v>
      </c>
      <c r="E56" t="s">
        <v>479</v>
      </c>
      <c r="F56" t="s">
        <v>206</v>
      </c>
      <c r="G56" t="s">
        <v>762</v>
      </c>
      <c r="H56" t="s">
        <v>303</v>
      </c>
      <c r="I56">
        <v>342650</v>
      </c>
      <c r="J56" s="9">
        <v>542500</v>
      </c>
      <c r="K56">
        <v>0.63161290299999995</v>
      </c>
      <c r="L56">
        <v>1.5832482124616956</v>
      </c>
      <c r="M56" t="s">
        <v>16</v>
      </c>
      <c r="N56" t="s">
        <v>446</v>
      </c>
    </row>
    <row r="57" spans="1:14" x14ac:dyDescent="0.35">
      <c r="A57">
        <v>2001590</v>
      </c>
      <c r="B57" s="3">
        <v>44333</v>
      </c>
      <c r="C57" t="s">
        <v>456</v>
      </c>
      <c r="D57">
        <v>2021</v>
      </c>
      <c r="E57" t="s">
        <v>466</v>
      </c>
      <c r="F57" t="s">
        <v>181</v>
      </c>
      <c r="G57" t="s">
        <v>762</v>
      </c>
      <c r="H57" t="s">
        <v>228</v>
      </c>
      <c r="I57">
        <v>423700</v>
      </c>
      <c r="J57" s="9">
        <v>533350</v>
      </c>
      <c r="K57">
        <v>0.7944</v>
      </c>
      <c r="L57">
        <v>1.2587915978286524</v>
      </c>
      <c r="M57" t="s">
        <v>13</v>
      </c>
      <c r="N57" t="s">
        <v>446</v>
      </c>
    </row>
    <row r="58" spans="1:14" x14ac:dyDescent="0.35">
      <c r="A58">
        <v>141056</v>
      </c>
      <c r="B58" s="3">
        <v>42157</v>
      </c>
      <c r="C58" t="s">
        <v>454</v>
      </c>
      <c r="D58">
        <v>2015</v>
      </c>
      <c r="E58" t="s">
        <v>480</v>
      </c>
      <c r="F58" t="s">
        <v>181</v>
      </c>
      <c r="G58" t="s">
        <v>762</v>
      </c>
      <c r="H58" t="s">
        <v>359</v>
      </c>
      <c r="I58">
        <v>314280</v>
      </c>
      <c r="J58" s="9">
        <v>526000</v>
      </c>
      <c r="K58">
        <v>0.59749049399999998</v>
      </c>
      <c r="L58">
        <v>1.673666793941708</v>
      </c>
      <c r="M58" t="s">
        <v>16</v>
      </c>
      <c r="N58" t="s">
        <v>446</v>
      </c>
    </row>
    <row r="59" spans="1:14" x14ac:dyDescent="0.35">
      <c r="A59">
        <v>201580</v>
      </c>
      <c r="B59" s="3">
        <v>44466</v>
      </c>
      <c r="C59" t="s">
        <v>473</v>
      </c>
      <c r="D59">
        <v>2021</v>
      </c>
      <c r="E59" t="s">
        <v>474</v>
      </c>
      <c r="F59" t="s">
        <v>56</v>
      </c>
      <c r="G59" t="s">
        <v>758</v>
      </c>
      <c r="H59" t="s">
        <v>62</v>
      </c>
      <c r="I59">
        <v>192300</v>
      </c>
      <c r="J59" s="9">
        <v>525000</v>
      </c>
      <c r="K59" s="10">
        <v>0.36628571399999998</v>
      </c>
      <c r="L59" s="11">
        <v>2.7301092043681749</v>
      </c>
      <c r="M59" t="s">
        <v>13</v>
      </c>
      <c r="N59" t="s">
        <v>445</v>
      </c>
    </row>
    <row r="60" spans="1:14" x14ac:dyDescent="0.35">
      <c r="A60">
        <v>200374</v>
      </c>
      <c r="B60" s="3">
        <v>44256</v>
      </c>
      <c r="C60" t="s">
        <v>471</v>
      </c>
      <c r="D60">
        <v>2021</v>
      </c>
      <c r="E60" t="s">
        <v>472</v>
      </c>
      <c r="F60" t="s">
        <v>206</v>
      </c>
      <c r="G60" t="s">
        <v>762</v>
      </c>
      <c r="H60" t="s">
        <v>209</v>
      </c>
      <c r="I60">
        <v>227500</v>
      </c>
      <c r="J60" s="9">
        <v>525000</v>
      </c>
      <c r="K60" s="10">
        <v>0.43330000000000002</v>
      </c>
      <c r="L60" s="11">
        <v>2.3076923076923075</v>
      </c>
      <c r="M60" t="s">
        <v>13</v>
      </c>
      <c r="N60" t="s">
        <v>445</v>
      </c>
    </row>
    <row r="61" spans="1:14" x14ac:dyDescent="0.35">
      <c r="A61">
        <v>201023</v>
      </c>
      <c r="B61" s="3">
        <v>44403</v>
      </c>
      <c r="C61" t="s">
        <v>458</v>
      </c>
      <c r="D61">
        <v>2021</v>
      </c>
      <c r="E61" t="s">
        <v>459</v>
      </c>
      <c r="F61" t="s">
        <v>98</v>
      </c>
      <c r="G61" t="s">
        <v>770</v>
      </c>
      <c r="H61" t="s">
        <v>104</v>
      </c>
      <c r="I61">
        <v>435610</v>
      </c>
      <c r="J61" s="9">
        <v>525000</v>
      </c>
      <c r="K61">
        <v>0.82969999999999999</v>
      </c>
      <c r="L61">
        <v>1.2052064920456371</v>
      </c>
      <c r="M61" t="s">
        <v>10</v>
      </c>
      <c r="N61" t="s">
        <v>446</v>
      </c>
    </row>
    <row r="62" spans="1:14" x14ac:dyDescent="0.35">
      <c r="A62">
        <v>200827</v>
      </c>
      <c r="B62" s="3">
        <v>44446</v>
      </c>
      <c r="C62" t="s">
        <v>473</v>
      </c>
      <c r="D62">
        <v>2021</v>
      </c>
      <c r="E62" t="s">
        <v>474</v>
      </c>
      <c r="F62" t="s">
        <v>83</v>
      </c>
      <c r="G62" t="s">
        <v>756</v>
      </c>
      <c r="H62" t="s">
        <v>422</v>
      </c>
      <c r="I62">
        <v>332000</v>
      </c>
      <c r="J62" s="9">
        <v>520000</v>
      </c>
      <c r="K62">
        <v>0.63839999999999997</v>
      </c>
      <c r="L62">
        <v>1.5662650602409638</v>
      </c>
      <c r="M62" t="s">
        <v>13</v>
      </c>
      <c r="N62" t="s">
        <v>446</v>
      </c>
    </row>
    <row r="63" spans="1:14" x14ac:dyDescent="0.35">
      <c r="A63">
        <v>200140</v>
      </c>
      <c r="B63" s="3">
        <v>44314</v>
      </c>
      <c r="C63" t="s">
        <v>452</v>
      </c>
      <c r="D63">
        <v>2021</v>
      </c>
      <c r="E63" t="s">
        <v>453</v>
      </c>
      <c r="F63" t="s">
        <v>77</v>
      </c>
      <c r="G63" t="s">
        <v>760</v>
      </c>
      <c r="H63" t="s">
        <v>421</v>
      </c>
      <c r="I63">
        <v>335800</v>
      </c>
      <c r="J63" s="9">
        <v>520000</v>
      </c>
      <c r="K63">
        <v>0.64570000000000005</v>
      </c>
      <c r="L63">
        <v>1.5485407980941037</v>
      </c>
      <c r="M63" t="s">
        <v>13</v>
      </c>
      <c r="N63" t="s">
        <v>446</v>
      </c>
    </row>
    <row r="64" spans="1:14" x14ac:dyDescent="0.35">
      <c r="A64">
        <v>200499</v>
      </c>
      <c r="B64" s="3">
        <v>44449</v>
      </c>
      <c r="C64" t="s">
        <v>473</v>
      </c>
      <c r="D64">
        <v>2021</v>
      </c>
      <c r="E64" t="s">
        <v>474</v>
      </c>
      <c r="F64" t="s">
        <v>69</v>
      </c>
      <c r="G64" t="s">
        <v>760</v>
      </c>
      <c r="H64" t="s">
        <v>418</v>
      </c>
      <c r="I64">
        <v>233660</v>
      </c>
      <c r="J64" s="9">
        <v>517000</v>
      </c>
      <c r="K64" s="10">
        <v>0.45190000000000002</v>
      </c>
      <c r="L64" s="11">
        <v>2.2126166224428658</v>
      </c>
      <c r="M64" t="s">
        <v>13</v>
      </c>
      <c r="N64" t="s">
        <v>445</v>
      </c>
    </row>
    <row r="65" spans="1:14" x14ac:dyDescent="0.35">
      <c r="A65">
        <v>130962</v>
      </c>
      <c r="B65" s="3">
        <v>41890</v>
      </c>
      <c r="C65" t="s">
        <v>473</v>
      </c>
      <c r="D65">
        <v>2014</v>
      </c>
      <c r="E65" t="s">
        <v>481</v>
      </c>
      <c r="F65" t="s">
        <v>260</v>
      </c>
      <c r="G65" t="s">
        <v>769</v>
      </c>
      <c r="H65" t="s">
        <v>356</v>
      </c>
      <c r="I65">
        <v>301070</v>
      </c>
      <c r="J65" s="9">
        <v>515000</v>
      </c>
      <c r="K65">
        <v>0.58460194200000004</v>
      </c>
      <c r="L65">
        <v>1.7105656491845751</v>
      </c>
      <c r="M65" t="s">
        <v>16</v>
      </c>
      <c r="N65" t="s">
        <v>446</v>
      </c>
    </row>
    <row r="66" spans="1:14" x14ac:dyDescent="0.35">
      <c r="A66">
        <v>20588</v>
      </c>
      <c r="B66" s="3">
        <v>44406</v>
      </c>
      <c r="C66" t="s">
        <v>458</v>
      </c>
      <c r="D66">
        <v>2021</v>
      </c>
      <c r="E66" t="s">
        <v>459</v>
      </c>
      <c r="F66" t="s">
        <v>216</v>
      </c>
      <c r="G66" t="s">
        <v>762</v>
      </c>
      <c r="H66" t="s">
        <v>218</v>
      </c>
      <c r="I66">
        <v>235950</v>
      </c>
      <c r="J66" s="9">
        <v>510000</v>
      </c>
      <c r="K66" s="10">
        <v>0.46260000000000001</v>
      </c>
      <c r="L66" s="11">
        <v>2.1614748887476161</v>
      </c>
      <c r="M66" t="s">
        <v>13</v>
      </c>
      <c r="N66" t="s">
        <v>445</v>
      </c>
    </row>
    <row r="67" spans="1:14" x14ac:dyDescent="0.35">
      <c r="A67">
        <v>20742</v>
      </c>
      <c r="B67" s="3">
        <v>44438</v>
      </c>
      <c r="C67" t="s">
        <v>462</v>
      </c>
      <c r="D67">
        <v>2021</v>
      </c>
      <c r="E67" t="s">
        <v>463</v>
      </c>
      <c r="F67" t="s">
        <v>166</v>
      </c>
      <c r="G67" t="s">
        <v>757</v>
      </c>
      <c r="H67" t="s">
        <v>168</v>
      </c>
      <c r="I67">
        <v>325640</v>
      </c>
      <c r="J67" s="9">
        <v>508000</v>
      </c>
      <c r="K67">
        <v>0.64100000000000001</v>
      </c>
      <c r="L67">
        <v>1.5600049134013021</v>
      </c>
      <c r="M67" t="s">
        <v>13</v>
      </c>
      <c r="N67" t="s">
        <v>446</v>
      </c>
    </row>
    <row r="68" spans="1:14" x14ac:dyDescent="0.35">
      <c r="A68">
        <v>150034</v>
      </c>
      <c r="B68" s="3">
        <v>42494</v>
      </c>
      <c r="C68" t="s">
        <v>456</v>
      </c>
      <c r="D68">
        <v>2016</v>
      </c>
      <c r="E68" t="s">
        <v>482</v>
      </c>
      <c r="F68" t="s">
        <v>135</v>
      </c>
      <c r="G68" t="s">
        <v>762</v>
      </c>
      <c r="H68" t="s">
        <v>431</v>
      </c>
      <c r="I68">
        <v>309800</v>
      </c>
      <c r="J68" s="9">
        <v>505000</v>
      </c>
      <c r="K68">
        <v>0.61346534699999999</v>
      </c>
      <c r="L68">
        <v>1.6300839251129762</v>
      </c>
      <c r="M68" t="s">
        <v>16</v>
      </c>
      <c r="N68" t="s">
        <v>446</v>
      </c>
    </row>
    <row r="69" spans="1:14" x14ac:dyDescent="0.35">
      <c r="A69">
        <v>70535</v>
      </c>
      <c r="B69" s="3">
        <v>39570</v>
      </c>
      <c r="C69" t="s">
        <v>456</v>
      </c>
      <c r="D69">
        <v>2008</v>
      </c>
      <c r="E69" t="s">
        <v>483</v>
      </c>
      <c r="F69" t="s">
        <v>192</v>
      </c>
      <c r="G69" t="s">
        <v>759</v>
      </c>
      <c r="H69" t="s">
        <v>305</v>
      </c>
      <c r="I69">
        <v>235800</v>
      </c>
      <c r="J69" s="9">
        <v>487710</v>
      </c>
      <c r="K69" s="10">
        <v>0.483484038</v>
      </c>
      <c r="L69" s="11">
        <v>2.0683206106870231</v>
      </c>
      <c r="M69" t="s">
        <v>16</v>
      </c>
      <c r="N69" t="s">
        <v>445</v>
      </c>
    </row>
    <row r="70" spans="1:14" x14ac:dyDescent="0.35">
      <c r="A70">
        <v>200080</v>
      </c>
      <c r="B70" s="3">
        <v>44140</v>
      </c>
      <c r="C70" t="s">
        <v>475</v>
      </c>
      <c r="D70">
        <v>2020</v>
      </c>
      <c r="E70" t="s">
        <v>476</v>
      </c>
      <c r="F70" t="s">
        <v>96</v>
      </c>
      <c r="G70" t="s">
        <v>756</v>
      </c>
      <c r="H70" t="s">
        <v>425</v>
      </c>
      <c r="I70">
        <v>239550</v>
      </c>
      <c r="J70" s="9">
        <v>480000</v>
      </c>
      <c r="K70" s="10">
        <v>0.499</v>
      </c>
      <c r="L70" s="11">
        <v>2.0037570444583594</v>
      </c>
      <c r="M70" t="s">
        <v>13</v>
      </c>
      <c r="N70" t="s">
        <v>445</v>
      </c>
    </row>
    <row r="71" spans="1:14" x14ac:dyDescent="0.35">
      <c r="A71">
        <v>200282</v>
      </c>
      <c r="B71" s="3">
        <v>44392</v>
      </c>
      <c r="C71" t="s">
        <v>458</v>
      </c>
      <c r="D71">
        <v>2021</v>
      </c>
      <c r="E71" t="s">
        <v>459</v>
      </c>
      <c r="F71" t="s">
        <v>52</v>
      </c>
      <c r="G71" t="s">
        <v>755</v>
      </c>
      <c r="H71" t="s">
        <v>414</v>
      </c>
      <c r="I71">
        <v>359800</v>
      </c>
      <c r="J71" s="9">
        <v>480000</v>
      </c>
      <c r="K71">
        <v>0.74950000000000006</v>
      </c>
      <c r="L71">
        <v>1.3340744858254585</v>
      </c>
      <c r="M71" t="s">
        <v>10</v>
      </c>
      <c r="N71" t="s">
        <v>446</v>
      </c>
    </row>
    <row r="72" spans="1:14" x14ac:dyDescent="0.35">
      <c r="A72">
        <v>162511</v>
      </c>
      <c r="B72" s="3">
        <v>42985</v>
      </c>
      <c r="C72" t="s">
        <v>473</v>
      </c>
      <c r="D72">
        <v>2017</v>
      </c>
      <c r="E72" t="s">
        <v>484</v>
      </c>
      <c r="F72" t="s">
        <v>206</v>
      </c>
      <c r="G72" t="s">
        <v>762</v>
      </c>
      <c r="H72" t="s">
        <v>393</v>
      </c>
      <c r="I72">
        <v>306950</v>
      </c>
      <c r="J72" s="9">
        <v>476549</v>
      </c>
      <c r="K72">
        <v>0.64411004999999999</v>
      </c>
      <c r="L72">
        <v>1.5525297279687245</v>
      </c>
      <c r="M72" t="s">
        <v>16</v>
      </c>
      <c r="N72" t="s">
        <v>446</v>
      </c>
    </row>
    <row r="73" spans="1:14" x14ac:dyDescent="0.35">
      <c r="A73">
        <v>200145</v>
      </c>
      <c r="B73" s="3">
        <v>44417</v>
      </c>
      <c r="C73" t="s">
        <v>462</v>
      </c>
      <c r="D73">
        <v>2021</v>
      </c>
      <c r="E73" t="s">
        <v>463</v>
      </c>
      <c r="F73" t="s">
        <v>157</v>
      </c>
      <c r="G73" t="s">
        <v>757</v>
      </c>
      <c r="H73" t="s">
        <v>158</v>
      </c>
      <c r="I73">
        <v>238980</v>
      </c>
      <c r="J73" s="9">
        <v>460000</v>
      </c>
      <c r="K73">
        <v>0.51949999999999996</v>
      </c>
      <c r="L73">
        <v>1.9248472675537702</v>
      </c>
      <c r="M73" t="s">
        <v>13</v>
      </c>
      <c r="N73" t="s">
        <v>446</v>
      </c>
    </row>
    <row r="74" spans="1:14" x14ac:dyDescent="0.35">
      <c r="A74">
        <v>200359</v>
      </c>
      <c r="B74" s="3">
        <v>44263</v>
      </c>
      <c r="C74" t="s">
        <v>471</v>
      </c>
      <c r="D74">
        <v>2021</v>
      </c>
      <c r="E74" t="s">
        <v>472</v>
      </c>
      <c r="F74" t="s">
        <v>252</v>
      </c>
      <c r="G74" t="s">
        <v>763</v>
      </c>
      <c r="H74" t="s">
        <v>253</v>
      </c>
      <c r="I74">
        <v>256550</v>
      </c>
      <c r="J74" s="9">
        <v>451000</v>
      </c>
      <c r="K74">
        <v>0.56879999999999997</v>
      </c>
      <c r="L74">
        <v>1.7579419216526992</v>
      </c>
      <c r="M74" t="s">
        <v>13</v>
      </c>
      <c r="N74" t="s">
        <v>446</v>
      </c>
    </row>
    <row r="75" spans="1:14" x14ac:dyDescent="0.35">
      <c r="A75">
        <v>20761</v>
      </c>
      <c r="B75" s="3">
        <v>44344</v>
      </c>
      <c r="C75" t="s">
        <v>456</v>
      </c>
      <c r="D75">
        <v>2021</v>
      </c>
      <c r="E75" t="s">
        <v>466</v>
      </c>
      <c r="F75" t="s">
        <v>146</v>
      </c>
      <c r="G75" t="s">
        <v>757</v>
      </c>
      <c r="H75" t="s">
        <v>148</v>
      </c>
      <c r="I75">
        <v>212310</v>
      </c>
      <c r="J75" s="9">
        <v>450000</v>
      </c>
      <c r="K75" s="10">
        <v>0.4718</v>
      </c>
      <c r="L75" s="11">
        <v>2.1195421788893598</v>
      </c>
      <c r="M75" t="s">
        <v>103</v>
      </c>
      <c r="N75" t="s">
        <v>445</v>
      </c>
    </row>
    <row r="76" spans="1:14" x14ac:dyDescent="0.35">
      <c r="A76">
        <v>201007</v>
      </c>
      <c r="B76" s="3">
        <v>44277</v>
      </c>
      <c r="C76" t="s">
        <v>471</v>
      </c>
      <c r="D76">
        <v>2021</v>
      </c>
      <c r="E76" t="s">
        <v>472</v>
      </c>
      <c r="F76" t="s">
        <v>122</v>
      </c>
      <c r="G76" t="s">
        <v>757</v>
      </c>
      <c r="H76" t="s">
        <v>172</v>
      </c>
      <c r="I76">
        <v>261800</v>
      </c>
      <c r="J76" s="9">
        <v>450000</v>
      </c>
      <c r="K76">
        <v>0.58169999999999999</v>
      </c>
      <c r="L76">
        <v>1.7188693659281895</v>
      </c>
      <c r="M76" t="s">
        <v>13</v>
      </c>
      <c r="N76" t="s">
        <v>446</v>
      </c>
    </row>
    <row r="77" spans="1:14" x14ac:dyDescent="0.35">
      <c r="A77">
        <v>202281</v>
      </c>
      <c r="B77" s="3">
        <v>44446</v>
      </c>
      <c r="C77" t="s">
        <v>473</v>
      </c>
      <c r="D77">
        <v>2021</v>
      </c>
      <c r="E77" t="s">
        <v>474</v>
      </c>
      <c r="F77" t="s">
        <v>170</v>
      </c>
      <c r="G77" t="s">
        <v>757</v>
      </c>
      <c r="H77" t="s">
        <v>171</v>
      </c>
      <c r="I77">
        <v>276010</v>
      </c>
      <c r="J77" s="9">
        <v>443165</v>
      </c>
      <c r="K77">
        <v>0.62280000000000002</v>
      </c>
      <c r="L77">
        <v>1.6056121155030614</v>
      </c>
      <c r="M77" t="s">
        <v>13</v>
      </c>
      <c r="N77" t="s">
        <v>446</v>
      </c>
    </row>
    <row r="78" spans="1:14" x14ac:dyDescent="0.35">
      <c r="A78">
        <v>20360</v>
      </c>
      <c r="B78" s="3">
        <v>44218</v>
      </c>
      <c r="C78" t="s">
        <v>464</v>
      </c>
      <c r="D78">
        <v>2021</v>
      </c>
      <c r="E78" t="s">
        <v>465</v>
      </c>
      <c r="F78" t="s">
        <v>98</v>
      </c>
      <c r="G78" t="s">
        <v>770</v>
      </c>
      <c r="H78" t="s">
        <v>99</v>
      </c>
      <c r="I78">
        <v>173670</v>
      </c>
      <c r="J78" s="9">
        <v>439900</v>
      </c>
      <c r="K78" s="10">
        <v>0.3947</v>
      </c>
      <c r="L78" s="11">
        <v>2.5329648183336211</v>
      </c>
      <c r="M78" t="s">
        <v>10</v>
      </c>
      <c r="N78" t="s">
        <v>445</v>
      </c>
    </row>
    <row r="79" spans="1:14" x14ac:dyDescent="0.35">
      <c r="A79">
        <v>200552</v>
      </c>
      <c r="B79" s="3">
        <v>44462</v>
      </c>
      <c r="C79" t="s">
        <v>473</v>
      </c>
      <c r="D79">
        <v>2021</v>
      </c>
      <c r="E79" t="s">
        <v>474</v>
      </c>
      <c r="F79" t="s">
        <v>180</v>
      </c>
      <c r="G79" t="s">
        <v>762</v>
      </c>
      <c r="H79" t="s">
        <v>237</v>
      </c>
      <c r="I79">
        <v>213100</v>
      </c>
      <c r="J79" s="9">
        <v>435000</v>
      </c>
      <c r="K79" s="10">
        <v>0.48980000000000001</v>
      </c>
      <c r="L79" s="11">
        <v>2.0412951665884562</v>
      </c>
      <c r="M79" t="s">
        <v>13</v>
      </c>
      <c r="N79" t="s">
        <v>445</v>
      </c>
    </row>
    <row r="80" spans="1:14" x14ac:dyDescent="0.35">
      <c r="A80">
        <v>20002</v>
      </c>
      <c r="B80" s="3">
        <v>44106</v>
      </c>
      <c r="C80" t="s">
        <v>469</v>
      </c>
      <c r="D80">
        <v>2020</v>
      </c>
      <c r="E80" t="s">
        <v>470</v>
      </c>
      <c r="F80" t="s">
        <v>11</v>
      </c>
      <c r="G80" t="s">
        <v>761</v>
      </c>
      <c r="H80" t="s">
        <v>12</v>
      </c>
      <c r="I80">
        <v>253000</v>
      </c>
      <c r="J80" s="9">
        <v>430000</v>
      </c>
      <c r="K80">
        <v>0.58830000000000005</v>
      </c>
      <c r="L80">
        <v>1.6996047430830039</v>
      </c>
      <c r="M80" t="s">
        <v>13</v>
      </c>
      <c r="N80" t="s">
        <v>446</v>
      </c>
    </row>
    <row r="81" spans="1:14" x14ac:dyDescent="0.35">
      <c r="A81">
        <v>60890</v>
      </c>
      <c r="B81" s="3">
        <v>39190</v>
      </c>
      <c r="C81" t="s">
        <v>452</v>
      </c>
      <c r="D81">
        <v>2007</v>
      </c>
      <c r="E81" t="s">
        <v>485</v>
      </c>
      <c r="F81" t="s">
        <v>122</v>
      </c>
      <c r="G81" t="s">
        <v>757</v>
      </c>
      <c r="H81" t="s">
        <v>287</v>
      </c>
      <c r="I81">
        <v>44653</v>
      </c>
      <c r="J81" s="9">
        <v>429000</v>
      </c>
      <c r="K81" s="10">
        <v>0.10408624700000001</v>
      </c>
      <c r="L81" s="11">
        <v>9.6074171948133387</v>
      </c>
      <c r="M81" t="s">
        <v>16</v>
      </c>
      <c r="N81" t="s">
        <v>445</v>
      </c>
    </row>
    <row r="82" spans="1:14" x14ac:dyDescent="0.35">
      <c r="A82">
        <v>162063</v>
      </c>
      <c r="B82" s="3">
        <v>43005</v>
      </c>
      <c r="C82" t="s">
        <v>473</v>
      </c>
      <c r="D82">
        <v>2017</v>
      </c>
      <c r="E82" t="s">
        <v>484</v>
      </c>
      <c r="F82" t="s">
        <v>181</v>
      </c>
      <c r="G82" t="s">
        <v>762</v>
      </c>
      <c r="H82" t="s">
        <v>395</v>
      </c>
      <c r="I82">
        <v>8190</v>
      </c>
      <c r="J82" s="9">
        <v>427500</v>
      </c>
      <c r="K82" s="10">
        <v>1.9157895000000001E-2</v>
      </c>
      <c r="L82" s="11">
        <v>52.197802197802197</v>
      </c>
      <c r="M82" t="s">
        <v>16</v>
      </c>
      <c r="N82" t="s">
        <v>445</v>
      </c>
    </row>
    <row r="83" spans="1:14" x14ac:dyDescent="0.35">
      <c r="A83">
        <v>200125</v>
      </c>
      <c r="B83" s="3">
        <v>44286</v>
      </c>
      <c r="C83" t="s">
        <v>471</v>
      </c>
      <c r="D83">
        <v>2021</v>
      </c>
      <c r="E83" t="s">
        <v>472</v>
      </c>
      <c r="F83" t="s">
        <v>77</v>
      </c>
      <c r="G83" t="s">
        <v>760</v>
      </c>
      <c r="H83" t="s">
        <v>78</v>
      </c>
      <c r="I83">
        <v>220500</v>
      </c>
      <c r="J83" s="9">
        <v>425000</v>
      </c>
      <c r="K83">
        <v>0.51880000000000004</v>
      </c>
      <c r="L83">
        <v>1.9274376417233561</v>
      </c>
      <c r="M83" t="s">
        <v>13</v>
      </c>
      <c r="N83" t="s">
        <v>446</v>
      </c>
    </row>
    <row r="84" spans="1:14" x14ac:dyDescent="0.35">
      <c r="A84">
        <v>200236</v>
      </c>
      <c r="B84" s="3">
        <v>44273</v>
      </c>
      <c r="C84" t="s">
        <v>471</v>
      </c>
      <c r="D84">
        <v>2021</v>
      </c>
      <c r="E84" t="s">
        <v>472</v>
      </c>
      <c r="F84" t="s">
        <v>69</v>
      </c>
      <c r="G84" t="s">
        <v>760</v>
      </c>
      <c r="H84" t="s">
        <v>70</v>
      </c>
      <c r="I84">
        <v>238140</v>
      </c>
      <c r="J84" s="9">
        <v>421000</v>
      </c>
      <c r="K84">
        <v>0.56559999999999999</v>
      </c>
      <c r="L84">
        <v>1.7678676408835139</v>
      </c>
      <c r="M84" t="s">
        <v>13</v>
      </c>
      <c r="N84" t="s">
        <v>446</v>
      </c>
    </row>
    <row r="85" spans="1:14" x14ac:dyDescent="0.35">
      <c r="A85">
        <v>200599</v>
      </c>
      <c r="B85" s="3">
        <v>44379</v>
      </c>
      <c r="C85" t="s">
        <v>458</v>
      </c>
      <c r="D85">
        <v>2021</v>
      </c>
      <c r="E85" t="s">
        <v>459</v>
      </c>
      <c r="F85" t="s">
        <v>252</v>
      </c>
      <c r="G85" t="s">
        <v>763</v>
      </c>
      <c r="H85" t="s">
        <v>254</v>
      </c>
      <c r="I85">
        <v>237440</v>
      </c>
      <c r="J85" s="9">
        <v>420000</v>
      </c>
      <c r="K85">
        <v>0.56530000000000002</v>
      </c>
      <c r="L85">
        <v>1.7688679245283019</v>
      </c>
      <c r="M85" t="s">
        <v>13</v>
      </c>
      <c r="N85" t="s">
        <v>446</v>
      </c>
    </row>
    <row r="86" spans="1:14" x14ac:dyDescent="0.35">
      <c r="A86">
        <v>200078</v>
      </c>
      <c r="B86" s="3">
        <v>44459</v>
      </c>
      <c r="C86" t="s">
        <v>473</v>
      </c>
      <c r="D86">
        <v>2021</v>
      </c>
      <c r="E86" t="s">
        <v>474</v>
      </c>
      <c r="F86" t="s">
        <v>46</v>
      </c>
      <c r="G86" t="s">
        <v>755</v>
      </c>
      <c r="H86" t="s">
        <v>47</v>
      </c>
      <c r="I86">
        <v>250100</v>
      </c>
      <c r="J86" s="9">
        <v>418800</v>
      </c>
      <c r="K86">
        <v>0.59709999999999996</v>
      </c>
      <c r="L86">
        <v>1.67453018792483</v>
      </c>
      <c r="M86" t="s">
        <v>13</v>
      </c>
      <c r="N86" t="s">
        <v>446</v>
      </c>
    </row>
    <row r="87" spans="1:14" x14ac:dyDescent="0.35">
      <c r="A87">
        <v>200305</v>
      </c>
      <c r="B87" s="3">
        <v>44222</v>
      </c>
      <c r="C87" t="s">
        <v>464</v>
      </c>
      <c r="D87">
        <v>2021</v>
      </c>
      <c r="E87" t="s">
        <v>465</v>
      </c>
      <c r="F87" t="s">
        <v>73</v>
      </c>
      <c r="G87" t="s">
        <v>760</v>
      </c>
      <c r="H87" t="s">
        <v>419</v>
      </c>
      <c r="I87">
        <v>233660</v>
      </c>
      <c r="J87" s="9">
        <v>410000</v>
      </c>
      <c r="K87">
        <v>0.56989999999999996</v>
      </c>
      <c r="L87">
        <v>1.7546862963279979</v>
      </c>
      <c r="M87" t="s">
        <v>13</v>
      </c>
      <c r="N87" t="s">
        <v>446</v>
      </c>
    </row>
    <row r="88" spans="1:14" x14ac:dyDescent="0.35">
      <c r="A88">
        <v>2001493</v>
      </c>
      <c r="B88" s="3">
        <v>44319</v>
      </c>
      <c r="C88" t="s">
        <v>456</v>
      </c>
      <c r="D88">
        <v>2021</v>
      </c>
      <c r="E88" t="s">
        <v>466</v>
      </c>
      <c r="F88" t="s">
        <v>181</v>
      </c>
      <c r="G88" t="s">
        <v>762</v>
      </c>
      <c r="H88" t="s">
        <v>226</v>
      </c>
      <c r="I88">
        <v>238890</v>
      </c>
      <c r="J88" s="9">
        <v>400000</v>
      </c>
      <c r="K88">
        <v>0.59719999999999995</v>
      </c>
      <c r="L88">
        <v>1.6744108166938758</v>
      </c>
      <c r="M88" t="s">
        <v>13</v>
      </c>
      <c r="N88" t="s">
        <v>446</v>
      </c>
    </row>
    <row r="89" spans="1:14" x14ac:dyDescent="0.35">
      <c r="A89">
        <v>201057</v>
      </c>
      <c r="B89" s="3">
        <v>44420</v>
      </c>
      <c r="C89" t="s">
        <v>462</v>
      </c>
      <c r="D89">
        <v>2021</v>
      </c>
      <c r="E89" t="s">
        <v>463</v>
      </c>
      <c r="F89" t="s">
        <v>146</v>
      </c>
      <c r="G89" t="s">
        <v>757</v>
      </c>
      <c r="H89" t="s">
        <v>149</v>
      </c>
      <c r="I89">
        <v>264390</v>
      </c>
      <c r="J89" s="9">
        <v>400000</v>
      </c>
      <c r="K89">
        <v>0.66090000000000004</v>
      </c>
      <c r="L89">
        <v>1.5129165248307426</v>
      </c>
      <c r="M89" t="s">
        <v>10</v>
      </c>
      <c r="N89" t="s">
        <v>446</v>
      </c>
    </row>
    <row r="90" spans="1:14" x14ac:dyDescent="0.35">
      <c r="A90">
        <v>20200824</v>
      </c>
      <c r="B90" s="3">
        <v>44319</v>
      </c>
      <c r="C90" t="s">
        <v>456</v>
      </c>
      <c r="D90">
        <v>2021</v>
      </c>
      <c r="E90" t="s">
        <v>466</v>
      </c>
      <c r="F90" t="s">
        <v>129</v>
      </c>
      <c r="G90" t="s">
        <v>762</v>
      </c>
      <c r="H90" t="s">
        <v>239</v>
      </c>
      <c r="I90">
        <v>193340</v>
      </c>
      <c r="J90" s="9">
        <v>395000</v>
      </c>
      <c r="K90" s="10">
        <v>0.4894</v>
      </c>
      <c r="L90" s="11">
        <v>2.0430329988621083</v>
      </c>
      <c r="M90" t="s">
        <v>13</v>
      </c>
      <c r="N90" t="s">
        <v>445</v>
      </c>
    </row>
    <row r="91" spans="1:14" x14ac:dyDescent="0.35">
      <c r="A91">
        <v>200035</v>
      </c>
      <c r="B91" s="3">
        <v>44133</v>
      </c>
      <c r="C91" t="s">
        <v>469</v>
      </c>
      <c r="D91">
        <v>2020</v>
      </c>
      <c r="E91" t="s">
        <v>470</v>
      </c>
      <c r="F91" t="s">
        <v>48</v>
      </c>
      <c r="G91" t="s">
        <v>755</v>
      </c>
      <c r="H91" t="s">
        <v>49</v>
      </c>
      <c r="I91">
        <v>223900</v>
      </c>
      <c r="J91" s="9">
        <v>392000</v>
      </c>
      <c r="K91">
        <v>0.57110000000000005</v>
      </c>
      <c r="L91">
        <v>1.7507815989280928</v>
      </c>
      <c r="M91" t="s">
        <v>13</v>
      </c>
      <c r="N91" t="s">
        <v>446</v>
      </c>
    </row>
    <row r="92" spans="1:14" x14ac:dyDescent="0.35">
      <c r="A92">
        <v>200510</v>
      </c>
      <c r="B92" s="3">
        <v>44454</v>
      </c>
      <c r="C92" t="s">
        <v>473</v>
      </c>
      <c r="D92">
        <v>2021</v>
      </c>
      <c r="E92" t="s">
        <v>474</v>
      </c>
      <c r="F92" t="s">
        <v>69</v>
      </c>
      <c r="G92" t="s">
        <v>760</v>
      </c>
      <c r="H92" t="s">
        <v>72</v>
      </c>
      <c r="I92">
        <v>212100</v>
      </c>
      <c r="J92" s="9">
        <v>390500</v>
      </c>
      <c r="K92">
        <v>0.54310000000000003</v>
      </c>
      <c r="L92">
        <v>1.8411126826968411</v>
      </c>
      <c r="M92" t="s">
        <v>13</v>
      </c>
      <c r="N92" t="s">
        <v>446</v>
      </c>
    </row>
    <row r="93" spans="1:14" x14ac:dyDescent="0.35">
      <c r="A93">
        <v>200074</v>
      </c>
      <c r="B93" s="3">
        <v>44440</v>
      </c>
      <c r="C93" t="s">
        <v>473</v>
      </c>
      <c r="D93">
        <v>2021</v>
      </c>
      <c r="E93" t="s">
        <v>474</v>
      </c>
      <c r="F93" t="s">
        <v>50</v>
      </c>
      <c r="G93" t="s">
        <v>755</v>
      </c>
      <c r="H93" t="s">
        <v>51</v>
      </c>
      <c r="I93">
        <v>246100</v>
      </c>
      <c r="J93" s="9">
        <v>385000</v>
      </c>
      <c r="K93">
        <v>0.63919999999999999</v>
      </c>
      <c r="L93">
        <v>1.564404713531085</v>
      </c>
      <c r="M93" t="s">
        <v>10</v>
      </c>
      <c r="N93" t="s">
        <v>446</v>
      </c>
    </row>
    <row r="94" spans="1:14" x14ac:dyDescent="0.35">
      <c r="A94">
        <v>200014</v>
      </c>
      <c r="B94" s="3">
        <v>44117</v>
      </c>
      <c r="C94" t="s">
        <v>469</v>
      </c>
      <c r="D94">
        <v>2020</v>
      </c>
      <c r="E94" t="s">
        <v>470</v>
      </c>
      <c r="F94" t="s">
        <v>271</v>
      </c>
      <c r="G94" t="s">
        <v>759</v>
      </c>
      <c r="H94" t="s">
        <v>273</v>
      </c>
      <c r="I94">
        <v>245790</v>
      </c>
      <c r="J94" s="9">
        <v>382000</v>
      </c>
      <c r="K94">
        <v>0.64339999999999997</v>
      </c>
      <c r="L94">
        <v>1.554172260873103</v>
      </c>
      <c r="M94" t="s">
        <v>13</v>
      </c>
      <c r="N94" t="s">
        <v>446</v>
      </c>
    </row>
    <row r="95" spans="1:14" x14ac:dyDescent="0.35">
      <c r="A95">
        <v>200245</v>
      </c>
      <c r="B95" s="3">
        <v>44202</v>
      </c>
      <c r="C95" t="s">
        <v>464</v>
      </c>
      <c r="D95">
        <v>2021</v>
      </c>
      <c r="E95" t="s">
        <v>465</v>
      </c>
      <c r="F95" t="s">
        <v>206</v>
      </c>
      <c r="G95" t="s">
        <v>762</v>
      </c>
      <c r="H95" t="s">
        <v>208</v>
      </c>
      <c r="I95">
        <v>310660</v>
      </c>
      <c r="J95" s="9">
        <v>375000</v>
      </c>
      <c r="K95">
        <v>0.82840000000000003</v>
      </c>
      <c r="L95">
        <v>1.2071074486576965</v>
      </c>
      <c r="M95" t="s">
        <v>10</v>
      </c>
      <c r="N95" t="s">
        <v>446</v>
      </c>
    </row>
    <row r="96" spans="1:14" x14ac:dyDescent="0.35">
      <c r="A96">
        <v>162000</v>
      </c>
      <c r="B96" s="3">
        <v>42992</v>
      </c>
      <c r="C96" t="s">
        <v>473</v>
      </c>
      <c r="D96">
        <v>2017</v>
      </c>
      <c r="E96" t="s">
        <v>484</v>
      </c>
      <c r="F96" t="s">
        <v>181</v>
      </c>
      <c r="G96" t="s">
        <v>762</v>
      </c>
      <c r="H96" t="s">
        <v>376</v>
      </c>
      <c r="I96">
        <v>264700</v>
      </c>
      <c r="J96" s="9">
        <v>373000</v>
      </c>
      <c r="K96">
        <v>0.70965147500000003</v>
      </c>
      <c r="L96">
        <v>1.4091424253872309</v>
      </c>
      <c r="M96" t="s">
        <v>16</v>
      </c>
      <c r="N96" t="s">
        <v>446</v>
      </c>
    </row>
    <row r="97" spans="1:14" x14ac:dyDescent="0.35">
      <c r="A97">
        <v>200081</v>
      </c>
      <c r="B97" s="3">
        <v>44144</v>
      </c>
      <c r="C97" t="s">
        <v>475</v>
      </c>
      <c r="D97">
        <v>2020</v>
      </c>
      <c r="E97" t="s">
        <v>476</v>
      </c>
      <c r="F97" t="s">
        <v>210</v>
      </c>
      <c r="G97" t="s">
        <v>762</v>
      </c>
      <c r="H97" t="s">
        <v>214</v>
      </c>
      <c r="I97">
        <v>270440</v>
      </c>
      <c r="J97" s="9">
        <v>372000</v>
      </c>
      <c r="K97">
        <v>0.72689999999999999</v>
      </c>
      <c r="L97">
        <v>1.3755361632894543</v>
      </c>
      <c r="M97" t="s">
        <v>13</v>
      </c>
      <c r="N97" t="s">
        <v>446</v>
      </c>
    </row>
    <row r="98" spans="1:14" x14ac:dyDescent="0.35">
      <c r="A98">
        <v>200011</v>
      </c>
      <c r="B98" s="3">
        <v>44117</v>
      </c>
      <c r="C98" t="s">
        <v>469</v>
      </c>
      <c r="D98">
        <v>2020</v>
      </c>
      <c r="E98" t="s">
        <v>470</v>
      </c>
      <c r="F98" t="s">
        <v>252</v>
      </c>
      <c r="G98" t="s">
        <v>763</v>
      </c>
      <c r="H98" t="s">
        <v>256</v>
      </c>
      <c r="I98">
        <v>183190</v>
      </c>
      <c r="J98" s="9">
        <v>370000</v>
      </c>
      <c r="K98" s="10">
        <v>0.49509999999999998</v>
      </c>
      <c r="L98" s="11">
        <v>2.0197609039794751</v>
      </c>
      <c r="M98" t="s">
        <v>13</v>
      </c>
      <c r="N98" t="s">
        <v>445</v>
      </c>
    </row>
    <row r="99" spans="1:14" x14ac:dyDescent="0.35">
      <c r="A99">
        <v>900420</v>
      </c>
      <c r="B99" s="3">
        <v>40428</v>
      </c>
      <c r="C99" t="s">
        <v>473</v>
      </c>
      <c r="D99">
        <v>2010</v>
      </c>
      <c r="E99" t="s">
        <v>486</v>
      </c>
      <c r="F99" t="s">
        <v>68</v>
      </c>
      <c r="G99" t="s">
        <v>769</v>
      </c>
      <c r="H99" t="s">
        <v>315</v>
      </c>
      <c r="I99">
        <v>265580</v>
      </c>
      <c r="J99" s="9">
        <v>369900</v>
      </c>
      <c r="K99">
        <v>0.71797783199999998</v>
      </c>
      <c r="L99">
        <v>1.3928006627005045</v>
      </c>
      <c r="M99" t="s">
        <v>16</v>
      </c>
      <c r="N99" t="s">
        <v>446</v>
      </c>
    </row>
    <row r="100" spans="1:14" x14ac:dyDescent="0.35">
      <c r="A100">
        <v>200233</v>
      </c>
      <c r="B100" s="3">
        <v>44196</v>
      </c>
      <c r="C100" t="s">
        <v>450</v>
      </c>
      <c r="D100">
        <v>2020</v>
      </c>
      <c r="E100" t="s">
        <v>468</v>
      </c>
      <c r="F100" t="s">
        <v>252</v>
      </c>
      <c r="G100" t="s">
        <v>763</v>
      </c>
      <c r="H100" t="s">
        <v>257</v>
      </c>
      <c r="I100">
        <v>202160</v>
      </c>
      <c r="J100" s="9">
        <v>365000</v>
      </c>
      <c r="K100">
        <v>0.55379999999999996</v>
      </c>
      <c r="L100">
        <v>1.8055005935892363</v>
      </c>
      <c r="M100" t="s">
        <v>13</v>
      </c>
      <c r="N100" t="s">
        <v>446</v>
      </c>
    </row>
    <row r="101" spans="1:14" x14ac:dyDescent="0.35">
      <c r="A101">
        <v>2000230</v>
      </c>
      <c r="B101" s="3">
        <v>44271</v>
      </c>
      <c r="C101" t="s">
        <v>471</v>
      </c>
      <c r="D101">
        <v>2021</v>
      </c>
      <c r="E101" t="s">
        <v>472</v>
      </c>
      <c r="F101" t="s">
        <v>43</v>
      </c>
      <c r="G101" t="s">
        <v>755</v>
      </c>
      <c r="H101" t="s">
        <v>44</v>
      </c>
      <c r="I101">
        <v>210940</v>
      </c>
      <c r="J101" s="9">
        <v>365000</v>
      </c>
      <c r="K101">
        <v>0.57789999999999997</v>
      </c>
      <c r="L101">
        <v>1.7303498625201479</v>
      </c>
      <c r="M101" t="s">
        <v>13</v>
      </c>
      <c r="N101" t="s">
        <v>446</v>
      </c>
    </row>
    <row r="102" spans="1:14" x14ac:dyDescent="0.35">
      <c r="A102">
        <v>201129</v>
      </c>
      <c r="B102" s="3">
        <v>44427</v>
      </c>
      <c r="C102" t="s">
        <v>462</v>
      </c>
      <c r="D102">
        <v>2021</v>
      </c>
      <c r="E102" t="s">
        <v>463</v>
      </c>
      <c r="F102" t="s">
        <v>98</v>
      </c>
      <c r="G102" t="s">
        <v>770</v>
      </c>
      <c r="H102" t="s">
        <v>105</v>
      </c>
      <c r="I102">
        <v>114954</v>
      </c>
      <c r="J102" s="9">
        <v>360000</v>
      </c>
      <c r="K102" s="10">
        <v>0.31929999999999997</v>
      </c>
      <c r="L102" s="11">
        <v>3.1316874575917324</v>
      </c>
      <c r="M102" t="s">
        <v>13</v>
      </c>
      <c r="N102" t="s">
        <v>445</v>
      </c>
    </row>
    <row r="103" spans="1:14" x14ac:dyDescent="0.35">
      <c r="A103">
        <v>20293</v>
      </c>
      <c r="B103" s="3">
        <v>44354</v>
      </c>
      <c r="C103" t="s">
        <v>454</v>
      </c>
      <c r="D103">
        <v>2021</v>
      </c>
      <c r="E103" t="s">
        <v>455</v>
      </c>
      <c r="F103" t="s">
        <v>184</v>
      </c>
      <c r="G103" t="s">
        <v>764</v>
      </c>
      <c r="H103" t="s">
        <v>186</v>
      </c>
      <c r="I103">
        <v>193560</v>
      </c>
      <c r="J103" s="9">
        <v>360000</v>
      </c>
      <c r="K103">
        <v>0.53759999999999997</v>
      </c>
      <c r="L103">
        <v>1.8598884066955983</v>
      </c>
      <c r="M103" t="s">
        <v>13</v>
      </c>
      <c r="N103" t="s">
        <v>446</v>
      </c>
    </row>
    <row r="104" spans="1:14" x14ac:dyDescent="0.35">
      <c r="A104">
        <v>200125</v>
      </c>
      <c r="B104" s="3">
        <v>44446</v>
      </c>
      <c r="C104" t="s">
        <v>473</v>
      </c>
      <c r="D104">
        <v>2021</v>
      </c>
      <c r="E104" t="s">
        <v>474</v>
      </c>
      <c r="F104" t="s">
        <v>106</v>
      </c>
      <c r="G104" t="s">
        <v>770</v>
      </c>
      <c r="H104" t="s">
        <v>107</v>
      </c>
      <c r="I104">
        <v>194790</v>
      </c>
      <c r="J104" s="9">
        <v>360000</v>
      </c>
      <c r="K104">
        <v>0.54100000000000004</v>
      </c>
      <c r="L104">
        <v>1.8481441552441091</v>
      </c>
      <c r="M104" t="s">
        <v>13</v>
      </c>
      <c r="N104" t="s">
        <v>446</v>
      </c>
    </row>
    <row r="105" spans="1:14" x14ac:dyDescent="0.35">
      <c r="A105">
        <v>200652</v>
      </c>
      <c r="B105" s="3">
        <v>44376</v>
      </c>
      <c r="C105" t="s">
        <v>454</v>
      </c>
      <c r="D105">
        <v>2021</v>
      </c>
      <c r="E105" t="s">
        <v>455</v>
      </c>
      <c r="F105" t="s">
        <v>73</v>
      </c>
      <c r="G105" t="s">
        <v>760</v>
      </c>
      <c r="H105" t="s">
        <v>75</v>
      </c>
      <c r="I105">
        <v>203470</v>
      </c>
      <c r="J105" s="9">
        <v>360000</v>
      </c>
      <c r="K105">
        <v>0.56510000000000005</v>
      </c>
      <c r="L105">
        <v>1.7693025998918759</v>
      </c>
      <c r="M105" t="s">
        <v>13</v>
      </c>
      <c r="N105" t="s">
        <v>446</v>
      </c>
    </row>
    <row r="106" spans="1:14" x14ac:dyDescent="0.35">
      <c r="A106">
        <v>2002299</v>
      </c>
      <c r="B106" s="3">
        <v>44412</v>
      </c>
      <c r="C106" t="s">
        <v>462</v>
      </c>
      <c r="D106">
        <v>2021</v>
      </c>
      <c r="E106" t="s">
        <v>463</v>
      </c>
      <c r="F106" t="s">
        <v>181</v>
      </c>
      <c r="G106" t="s">
        <v>762</v>
      </c>
      <c r="H106" t="s">
        <v>234</v>
      </c>
      <c r="I106">
        <v>169050</v>
      </c>
      <c r="J106" s="9">
        <v>355000</v>
      </c>
      <c r="K106" s="10">
        <v>0.47610000000000002</v>
      </c>
      <c r="L106" s="11">
        <v>2.0999704229517895</v>
      </c>
      <c r="M106" t="s">
        <v>13</v>
      </c>
      <c r="N106" t="s">
        <v>445</v>
      </c>
    </row>
    <row r="107" spans="1:14" x14ac:dyDescent="0.35">
      <c r="A107">
        <v>202876</v>
      </c>
      <c r="B107" s="3">
        <v>44426</v>
      </c>
      <c r="C107" t="s">
        <v>462</v>
      </c>
      <c r="D107">
        <v>2021</v>
      </c>
      <c r="E107" t="s">
        <v>463</v>
      </c>
      <c r="F107" t="s">
        <v>122</v>
      </c>
      <c r="G107" t="s">
        <v>757</v>
      </c>
      <c r="H107" t="s">
        <v>175</v>
      </c>
      <c r="I107">
        <v>256270</v>
      </c>
      <c r="J107" s="9">
        <v>355000</v>
      </c>
      <c r="K107">
        <v>0.7218</v>
      </c>
      <c r="L107">
        <v>1.3852577359815819</v>
      </c>
      <c r="M107" t="s">
        <v>13</v>
      </c>
      <c r="N107" t="s">
        <v>446</v>
      </c>
    </row>
    <row r="108" spans="1:14" x14ac:dyDescent="0.35">
      <c r="A108">
        <v>200086</v>
      </c>
      <c r="B108" s="3">
        <v>44418</v>
      </c>
      <c r="C108" t="s">
        <v>462</v>
      </c>
      <c r="D108">
        <v>2021</v>
      </c>
      <c r="E108" t="s">
        <v>463</v>
      </c>
      <c r="F108" t="s">
        <v>25</v>
      </c>
      <c r="G108" t="s">
        <v>766</v>
      </c>
      <c r="H108" t="s">
        <v>26</v>
      </c>
      <c r="I108">
        <v>168900</v>
      </c>
      <c r="J108" s="9">
        <v>352000</v>
      </c>
      <c r="K108" s="10">
        <v>0.4798</v>
      </c>
      <c r="L108" s="11">
        <v>2.0840734162226169</v>
      </c>
      <c r="M108" t="s">
        <v>13</v>
      </c>
      <c r="N108" t="s">
        <v>445</v>
      </c>
    </row>
    <row r="109" spans="1:14" x14ac:dyDescent="0.35">
      <c r="A109">
        <v>200656</v>
      </c>
      <c r="B109" s="3">
        <v>44316</v>
      </c>
      <c r="C109" t="s">
        <v>452</v>
      </c>
      <c r="D109">
        <v>2021</v>
      </c>
      <c r="E109" t="s">
        <v>453</v>
      </c>
      <c r="F109" t="s">
        <v>133</v>
      </c>
      <c r="G109" t="s">
        <v>757</v>
      </c>
      <c r="H109" t="s">
        <v>179</v>
      </c>
      <c r="I109">
        <v>262300</v>
      </c>
      <c r="J109" s="9">
        <v>352000</v>
      </c>
      <c r="K109">
        <v>0.74509999999999998</v>
      </c>
      <c r="L109">
        <v>1.341974837971788</v>
      </c>
      <c r="M109" t="s">
        <v>10</v>
      </c>
      <c r="N109" t="s">
        <v>446</v>
      </c>
    </row>
    <row r="110" spans="1:14" x14ac:dyDescent="0.35">
      <c r="A110">
        <v>200210</v>
      </c>
      <c r="B110" s="3">
        <v>44389</v>
      </c>
      <c r="C110" t="s">
        <v>458</v>
      </c>
      <c r="D110">
        <v>2021</v>
      </c>
      <c r="E110" t="s">
        <v>459</v>
      </c>
      <c r="F110" t="s">
        <v>123</v>
      </c>
      <c r="G110" t="s">
        <v>765</v>
      </c>
      <c r="H110" t="s">
        <v>124</v>
      </c>
      <c r="I110">
        <v>169400</v>
      </c>
      <c r="J110" s="9">
        <v>345000</v>
      </c>
      <c r="K110" s="10">
        <v>0.49099999999999999</v>
      </c>
      <c r="L110" s="11">
        <v>2.0365997638724913</v>
      </c>
      <c r="M110" t="s">
        <v>13</v>
      </c>
      <c r="N110" t="s">
        <v>445</v>
      </c>
    </row>
    <row r="111" spans="1:14" x14ac:dyDescent="0.35">
      <c r="A111">
        <v>2000212</v>
      </c>
      <c r="B111" s="3">
        <v>44132</v>
      </c>
      <c r="C111" t="s">
        <v>469</v>
      </c>
      <c r="D111">
        <v>2020</v>
      </c>
      <c r="E111" t="s">
        <v>470</v>
      </c>
      <c r="F111" t="s">
        <v>181</v>
      </c>
      <c r="G111" t="s">
        <v>762</v>
      </c>
      <c r="H111" t="s">
        <v>231</v>
      </c>
      <c r="I111">
        <v>199330</v>
      </c>
      <c r="J111" s="9">
        <v>342500</v>
      </c>
      <c r="K111">
        <v>0.58189999999999997</v>
      </c>
      <c r="L111">
        <v>1.7182561581297346</v>
      </c>
      <c r="M111" t="s">
        <v>13</v>
      </c>
      <c r="N111" t="s">
        <v>446</v>
      </c>
    </row>
    <row r="112" spans="1:14" x14ac:dyDescent="0.35">
      <c r="A112">
        <v>200149</v>
      </c>
      <c r="B112" s="3">
        <v>44389</v>
      </c>
      <c r="C112" t="s">
        <v>458</v>
      </c>
      <c r="D112">
        <v>2021</v>
      </c>
      <c r="E112" t="s">
        <v>459</v>
      </c>
      <c r="F112" t="s">
        <v>244</v>
      </c>
      <c r="G112" t="s">
        <v>763</v>
      </c>
      <c r="H112" t="s">
        <v>245</v>
      </c>
      <c r="I112">
        <v>204000</v>
      </c>
      <c r="J112" s="9">
        <v>337500</v>
      </c>
      <c r="K112">
        <v>0.60440000000000005</v>
      </c>
      <c r="L112">
        <v>1.6544117647058822</v>
      </c>
      <c r="M112" t="s">
        <v>13</v>
      </c>
      <c r="N112" t="s">
        <v>446</v>
      </c>
    </row>
    <row r="113" spans="1:14" x14ac:dyDescent="0.35">
      <c r="A113">
        <v>20139</v>
      </c>
      <c r="B113" s="3">
        <v>44181</v>
      </c>
      <c r="C113" t="s">
        <v>450</v>
      </c>
      <c r="D113">
        <v>2020</v>
      </c>
      <c r="E113" t="s">
        <v>468</v>
      </c>
      <c r="F113" t="s">
        <v>23</v>
      </c>
      <c r="G113" t="s">
        <v>766</v>
      </c>
      <c r="H113" t="s">
        <v>24</v>
      </c>
      <c r="I113">
        <v>171360</v>
      </c>
      <c r="J113" s="9">
        <v>335000</v>
      </c>
      <c r="K113">
        <v>0.51149999999999995</v>
      </c>
      <c r="L113">
        <v>1.9549486461251167</v>
      </c>
      <c r="M113" t="s">
        <v>13</v>
      </c>
      <c r="N113" t="s">
        <v>446</v>
      </c>
    </row>
    <row r="114" spans="1:14" x14ac:dyDescent="0.35">
      <c r="A114">
        <v>200522</v>
      </c>
      <c r="B114" s="3">
        <v>44259</v>
      </c>
      <c r="C114" t="s">
        <v>471</v>
      </c>
      <c r="D114">
        <v>2021</v>
      </c>
      <c r="E114" t="s">
        <v>472</v>
      </c>
      <c r="F114" t="s">
        <v>133</v>
      </c>
      <c r="G114" t="s">
        <v>757</v>
      </c>
      <c r="H114" t="s">
        <v>178</v>
      </c>
      <c r="I114">
        <v>174400</v>
      </c>
      <c r="J114" s="9">
        <v>335000</v>
      </c>
      <c r="K114">
        <v>0.52049999999999996</v>
      </c>
      <c r="L114">
        <v>1.9208715596330275</v>
      </c>
      <c r="M114" t="s">
        <v>13</v>
      </c>
      <c r="N114" t="s">
        <v>446</v>
      </c>
    </row>
    <row r="115" spans="1:14" x14ac:dyDescent="0.35">
      <c r="A115">
        <v>200289</v>
      </c>
      <c r="B115" s="3">
        <v>44158</v>
      </c>
      <c r="C115" t="s">
        <v>475</v>
      </c>
      <c r="D115">
        <v>2020</v>
      </c>
      <c r="E115" t="s">
        <v>476</v>
      </c>
      <c r="F115" t="s">
        <v>122</v>
      </c>
      <c r="G115" t="s">
        <v>757</v>
      </c>
      <c r="H115" t="s">
        <v>176</v>
      </c>
      <c r="I115">
        <v>173040</v>
      </c>
      <c r="J115" s="9">
        <v>330000</v>
      </c>
      <c r="K115">
        <v>0.52429999999999999</v>
      </c>
      <c r="L115">
        <v>1.9070735090152566</v>
      </c>
      <c r="M115" t="s">
        <v>13</v>
      </c>
      <c r="N115" t="s">
        <v>446</v>
      </c>
    </row>
    <row r="116" spans="1:14" x14ac:dyDescent="0.35">
      <c r="A116">
        <v>100035</v>
      </c>
      <c r="B116" s="3">
        <v>40512</v>
      </c>
      <c r="C116" t="s">
        <v>475</v>
      </c>
      <c r="D116">
        <v>2010</v>
      </c>
      <c r="E116" t="s">
        <v>487</v>
      </c>
      <c r="F116" t="s">
        <v>96</v>
      </c>
      <c r="G116" t="s">
        <v>756</v>
      </c>
      <c r="H116" t="s">
        <v>318</v>
      </c>
      <c r="I116">
        <v>257040</v>
      </c>
      <c r="J116" s="9">
        <v>330000</v>
      </c>
      <c r="K116">
        <v>0.77890909100000005</v>
      </c>
      <c r="L116">
        <v>1.2838468720821663</v>
      </c>
      <c r="M116" t="s">
        <v>16</v>
      </c>
      <c r="N116" t="s">
        <v>446</v>
      </c>
    </row>
    <row r="117" spans="1:14" x14ac:dyDescent="0.35">
      <c r="A117">
        <v>200494</v>
      </c>
      <c r="B117" s="3">
        <v>44246</v>
      </c>
      <c r="C117" t="s">
        <v>460</v>
      </c>
      <c r="D117">
        <v>2021</v>
      </c>
      <c r="E117" t="s">
        <v>461</v>
      </c>
      <c r="F117" t="s">
        <v>192</v>
      </c>
      <c r="G117" t="s">
        <v>759</v>
      </c>
      <c r="H117" t="s">
        <v>275</v>
      </c>
      <c r="I117">
        <v>181720</v>
      </c>
      <c r="J117" s="9">
        <v>327900</v>
      </c>
      <c r="K117">
        <v>0.55410000000000004</v>
      </c>
      <c r="L117">
        <v>1.8044243891701519</v>
      </c>
      <c r="M117" t="s">
        <v>13</v>
      </c>
      <c r="N117" t="s">
        <v>446</v>
      </c>
    </row>
    <row r="118" spans="1:14" x14ac:dyDescent="0.35">
      <c r="A118">
        <v>2020348</v>
      </c>
      <c r="B118" s="3">
        <v>44452</v>
      </c>
      <c r="C118" t="s">
        <v>473</v>
      </c>
      <c r="D118">
        <v>2021</v>
      </c>
      <c r="E118" t="s">
        <v>474</v>
      </c>
      <c r="F118" t="s">
        <v>8</v>
      </c>
      <c r="G118" t="s">
        <v>761</v>
      </c>
      <c r="H118" t="s">
        <v>9</v>
      </c>
      <c r="I118">
        <v>150500</v>
      </c>
      <c r="J118" s="9">
        <v>325000</v>
      </c>
      <c r="K118" s="10">
        <v>0.46300000000000002</v>
      </c>
      <c r="L118" s="11">
        <v>2.1594684385382061</v>
      </c>
      <c r="M118" t="s">
        <v>10</v>
      </c>
      <c r="N118" t="s">
        <v>445</v>
      </c>
    </row>
    <row r="119" spans="1:14" x14ac:dyDescent="0.35">
      <c r="A119">
        <v>201443</v>
      </c>
      <c r="B119" s="3">
        <v>44440</v>
      </c>
      <c r="C119" t="s">
        <v>473</v>
      </c>
      <c r="D119">
        <v>2021</v>
      </c>
      <c r="E119" t="s">
        <v>474</v>
      </c>
      <c r="F119" t="s">
        <v>56</v>
      </c>
      <c r="G119" t="s">
        <v>758</v>
      </c>
      <c r="H119" t="s">
        <v>61</v>
      </c>
      <c r="I119">
        <v>158700</v>
      </c>
      <c r="J119" s="9">
        <v>325000</v>
      </c>
      <c r="K119" s="10">
        <v>0.48830000000000001</v>
      </c>
      <c r="L119" s="11">
        <v>2.0478890989287963</v>
      </c>
      <c r="M119" t="s">
        <v>13</v>
      </c>
      <c r="N119" t="s">
        <v>445</v>
      </c>
    </row>
    <row r="120" spans="1:14" x14ac:dyDescent="0.35">
      <c r="A120">
        <v>200175</v>
      </c>
      <c r="B120" s="3">
        <v>44133</v>
      </c>
      <c r="C120" t="s">
        <v>469</v>
      </c>
      <c r="D120">
        <v>2020</v>
      </c>
      <c r="E120" t="s">
        <v>470</v>
      </c>
      <c r="F120" t="s">
        <v>108</v>
      </c>
      <c r="G120" t="s">
        <v>765</v>
      </c>
      <c r="H120" t="s">
        <v>134</v>
      </c>
      <c r="I120">
        <v>180950</v>
      </c>
      <c r="J120" s="9">
        <v>325000</v>
      </c>
      <c r="K120">
        <v>0.55669999999999997</v>
      </c>
      <c r="L120">
        <v>1.7960762641613706</v>
      </c>
      <c r="M120" t="s">
        <v>13</v>
      </c>
      <c r="N120" t="s">
        <v>446</v>
      </c>
    </row>
    <row r="121" spans="1:14" x14ac:dyDescent="0.35">
      <c r="A121">
        <v>160717</v>
      </c>
      <c r="B121" s="3">
        <v>42979</v>
      </c>
      <c r="C121" t="s">
        <v>473</v>
      </c>
      <c r="D121">
        <v>2017</v>
      </c>
      <c r="E121" t="s">
        <v>484</v>
      </c>
      <c r="F121" t="s">
        <v>283</v>
      </c>
      <c r="G121" t="s">
        <v>759</v>
      </c>
      <c r="H121" t="s">
        <v>391</v>
      </c>
      <c r="I121">
        <v>199400</v>
      </c>
      <c r="J121" s="9">
        <v>320000</v>
      </c>
      <c r="K121">
        <v>0.62312500000000004</v>
      </c>
      <c r="L121">
        <v>1.60481444332999</v>
      </c>
      <c r="M121" t="s">
        <v>16</v>
      </c>
      <c r="N121" t="s">
        <v>446</v>
      </c>
    </row>
    <row r="122" spans="1:14" x14ac:dyDescent="0.35">
      <c r="A122">
        <v>2000448</v>
      </c>
      <c r="B122" s="3">
        <v>44364</v>
      </c>
      <c r="C122" t="s">
        <v>454</v>
      </c>
      <c r="D122">
        <v>2021</v>
      </c>
      <c r="E122" t="s">
        <v>455</v>
      </c>
      <c r="F122" t="s">
        <v>277</v>
      </c>
      <c r="G122" t="s">
        <v>759</v>
      </c>
      <c r="H122" t="s">
        <v>278</v>
      </c>
      <c r="I122">
        <v>158870</v>
      </c>
      <c r="J122" s="9">
        <v>315000</v>
      </c>
      <c r="K122">
        <v>0.50429999999999997</v>
      </c>
      <c r="L122">
        <v>1.9827531944357022</v>
      </c>
      <c r="M122" t="s">
        <v>13</v>
      </c>
      <c r="N122" t="s">
        <v>446</v>
      </c>
    </row>
    <row r="123" spans="1:14" x14ac:dyDescent="0.35">
      <c r="A123">
        <v>160943</v>
      </c>
      <c r="B123" s="3">
        <v>42874</v>
      </c>
      <c r="C123" t="s">
        <v>456</v>
      </c>
      <c r="D123">
        <v>2017</v>
      </c>
      <c r="E123" t="s">
        <v>488</v>
      </c>
      <c r="F123" t="s">
        <v>122</v>
      </c>
      <c r="G123" t="s">
        <v>757</v>
      </c>
      <c r="H123" t="s">
        <v>375</v>
      </c>
      <c r="I123">
        <v>189500</v>
      </c>
      <c r="J123" s="9">
        <v>313000</v>
      </c>
      <c r="K123">
        <v>0.60543130999999994</v>
      </c>
      <c r="L123">
        <v>1.6517150395778364</v>
      </c>
      <c r="M123" t="s">
        <v>16</v>
      </c>
      <c r="N123" t="s">
        <v>446</v>
      </c>
    </row>
    <row r="124" spans="1:14" x14ac:dyDescent="0.35">
      <c r="A124">
        <v>20492</v>
      </c>
      <c r="B124" s="3">
        <v>44427</v>
      </c>
      <c r="C124" t="s">
        <v>462</v>
      </c>
      <c r="D124">
        <v>2021</v>
      </c>
      <c r="E124" t="s">
        <v>463</v>
      </c>
      <c r="F124" t="s">
        <v>184</v>
      </c>
      <c r="G124" t="s">
        <v>764</v>
      </c>
      <c r="H124" t="s">
        <v>188</v>
      </c>
      <c r="I124">
        <v>142910</v>
      </c>
      <c r="J124" s="9">
        <v>310000</v>
      </c>
      <c r="K124" s="10">
        <v>0.46100000000000002</v>
      </c>
      <c r="L124" s="11">
        <v>2.1691973969631237</v>
      </c>
      <c r="M124" t="s">
        <v>13</v>
      </c>
      <c r="N124" t="s">
        <v>445</v>
      </c>
    </row>
    <row r="125" spans="1:14" x14ac:dyDescent="0.35">
      <c r="A125">
        <v>200700</v>
      </c>
      <c r="B125" s="3">
        <v>44390</v>
      </c>
      <c r="C125" t="s">
        <v>458</v>
      </c>
      <c r="D125">
        <v>2021</v>
      </c>
      <c r="E125" t="s">
        <v>459</v>
      </c>
      <c r="F125" t="s">
        <v>73</v>
      </c>
      <c r="G125" t="s">
        <v>760</v>
      </c>
      <c r="H125" t="s">
        <v>420</v>
      </c>
      <c r="I125">
        <v>161590</v>
      </c>
      <c r="J125" s="9">
        <v>310000</v>
      </c>
      <c r="K125">
        <v>0.5212</v>
      </c>
      <c r="L125">
        <v>1.9184355467541307</v>
      </c>
      <c r="M125" t="s">
        <v>13</v>
      </c>
      <c r="N125" t="s">
        <v>446</v>
      </c>
    </row>
    <row r="126" spans="1:14" x14ac:dyDescent="0.35">
      <c r="A126">
        <v>200038</v>
      </c>
      <c r="B126" s="3">
        <v>44113</v>
      </c>
      <c r="C126" t="s">
        <v>469</v>
      </c>
      <c r="D126">
        <v>2020</v>
      </c>
      <c r="E126" t="s">
        <v>470</v>
      </c>
      <c r="F126" t="s">
        <v>125</v>
      </c>
      <c r="G126" t="s">
        <v>765</v>
      </c>
      <c r="H126" t="s">
        <v>132</v>
      </c>
      <c r="I126">
        <v>209440</v>
      </c>
      <c r="J126" s="9">
        <v>307000</v>
      </c>
      <c r="K126">
        <v>0.68220000000000003</v>
      </c>
      <c r="L126">
        <v>1.4658135981665394</v>
      </c>
      <c r="M126" t="s">
        <v>13</v>
      </c>
      <c r="N126" t="s">
        <v>446</v>
      </c>
    </row>
    <row r="127" spans="1:14" x14ac:dyDescent="0.35">
      <c r="A127">
        <v>200961</v>
      </c>
      <c r="B127" s="3">
        <v>44378</v>
      </c>
      <c r="C127" t="s">
        <v>458</v>
      </c>
      <c r="D127">
        <v>2021</v>
      </c>
      <c r="E127" t="s">
        <v>459</v>
      </c>
      <c r="F127" t="s">
        <v>125</v>
      </c>
      <c r="G127" t="s">
        <v>765</v>
      </c>
      <c r="H127" t="s">
        <v>128</v>
      </c>
      <c r="I127">
        <v>130340</v>
      </c>
      <c r="J127" s="9">
        <v>305000</v>
      </c>
      <c r="K127" s="10">
        <v>0.42730000000000001</v>
      </c>
      <c r="L127" s="11">
        <v>2.340033757864048</v>
      </c>
      <c r="M127" t="s">
        <v>13</v>
      </c>
      <c r="N127" t="s">
        <v>445</v>
      </c>
    </row>
    <row r="128" spans="1:14" x14ac:dyDescent="0.35">
      <c r="A128">
        <v>200557</v>
      </c>
      <c r="B128" s="3">
        <v>44267</v>
      </c>
      <c r="C128" t="s">
        <v>471</v>
      </c>
      <c r="D128">
        <v>2021</v>
      </c>
      <c r="E128" t="s">
        <v>472</v>
      </c>
      <c r="F128" t="s">
        <v>192</v>
      </c>
      <c r="G128" t="s">
        <v>759</v>
      </c>
      <c r="H128" t="s">
        <v>276</v>
      </c>
      <c r="I128">
        <v>166670</v>
      </c>
      <c r="J128" s="9">
        <v>305000</v>
      </c>
      <c r="K128">
        <v>0.5464</v>
      </c>
      <c r="L128">
        <v>1.8299634007319854</v>
      </c>
      <c r="M128" t="s">
        <v>13</v>
      </c>
      <c r="N128" t="s">
        <v>446</v>
      </c>
    </row>
    <row r="129" spans="1:14" x14ac:dyDescent="0.35">
      <c r="A129">
        <v>20014</v>
      </c>
      <c r="B129" s="3">
        <v>44110</v>
      </c>
      <c r="C129" t="s">
        <v>469</v>
      </c>
      <c r="D129">
        <v>2020</v>
      </c>
      <c r="E129" t="s">
        <v>470</v>
      </c>
      <c r="F129" t="s">
        <v>136</v>
      </c>
      <c r="G129" t="s">
        <v>765</v>
      </c>
      <c r="H129" t="s">
        <v>137</v>
      </c>
      <c r="I129">
        <v>189100</v>
      </c>
      <c r="J129" s="9">
        <v>305000</v>
      </c>
      <c r="K129">
        <v>0.62</v>
      </c>
      <c r="L129">
        <v>1.6129032258064515</v>
      </c>
      <c r="M129" t="s">
        <v>13</v>
      </c>
      <c r="N129" t="s">
        <v>446</v>
      </c>
    </row>
    <row r="130" spans="1:14" x14ac:dyDescent="0.35">
      <c r="A130">
        <v>200376</v>
      </c>
      <c r="B130" s="3">
        <v>44200</v>
      </c>
      <c r="C130" t="s">
        <v>464</v>
      </c>
      <c r="D130">
        <v>2021</v>
      </c>
      <c r="E130" t="s">
        <v>465</v>
      </c>
      <c r="F130" t="s">
        <v>192</v>
      </c>
      <c r="G130" t="s">
        <v>759</v>
      </c>
      <c r="H130" t="s">
        <v>274</v>
      </c>
      <c r="I130">
        <v>216580</v>
      </c>
      <c r="J130" s="9">
        <v>305000</v>
      </c>
      <c r="K130">
        <v>0.71</v>
      </c>
      <c r="L130">
        <v>1.4082556099362822</v>
      </c>
      <c r="M130" t="s">
        <v>13</v>
      </c>
      <c r="N130" t="s">
        <v>446</v>
      </c>
    </row>
    <row r="131" spans="1:14" x14ac:dyDescent="0.35">
      <c r="A131">
        <v>201078</v>
      </c>
      <c r="B131" s="3">
        <v>44186</v>
      </c>
      <c r="C131" t="s">
        <v>450</v>
      </c>
      <c r="D131">
        <v>2020</v>
      </c>
      <c r="E131" t="s">
        <v>468</v>
      </c>
      <c r="F131" t="s">
        <v>90</v>
      </c>
      <c r="G131" t="s">
        <v>756</v>
      </c>
      <c r="H131" t="s">
        <v>91</v>
      </c>
      <c r="I131">
        <v>173040</v>
      </c>
      <c r="J131" s="9">
        <v>302000</v>
      </c>
      <c r="K131">
        <v>0.57289999999999996</v>
      </c>
      <c r="L131">
        <v>1.7452612112806287</v>
      </c>
      <c r="M131" t="s">
        <v>13</v>
      </c>
      <c r="N131" t="s">
        <v>446</v>
      </c>
    </row>
    <row r="132" spans="1:14" x14ac:dyDescent="0.35">
      <c r="A132">
        <v>200484</v>
      </c>
      <c r="B132" s="3">
        <v>44389</v>
      </c>
      <c r="C132" t="s">
        <v>458</v>
      </c>
      <c r="D132">
        <v>2021</v>
      </c>
      <c r="E132" t="s">
        <v>459</v>
      </c>
      <c r="F132" t="s">
        <v>187</v>
      </c>
      <c r="G132" t="s">
        <v>771</v>
      </c>
      <c r="H132" t="s">
        <v>259</v>
      </c>
      <c r="I132">
        <v>126800</v>
      </c>
      <c r="J132" s="9">
        <v>300000</v>
      </c>
      <c r="K132" s="10">
        <v>0.42259999999999998</v>
      </c>
      <c r="L132" s="11">
        <v>2.3659305993690851</v>
      </c>
      <c r="M132" t="s">
        <v>13</v>
      </c>
      <c r="N132" t="s">
        <v>445</v>
      </c>
    </row>
    <row r="133" spans="1:14" x14ac:dyDescent="0.35">
      <c r="A133">
        <v>200354</v>
      </c>
      <c r="B133" s="3">
        <v>44194</v>
      </c>
      <c r="C133" t="s">
        <v>450</v>
      </c>
      <c r="D133">
        <v>2020</v>
      </c>
      <c r="E133" t="s">
        <v>468</v>
      </c>
      <c r="F133" t="s">
        <v>32</v>
      </c>
      <c r="G133" t="s">
        <v>766</v>
      </c>
      <c r="H133" t="s">
        <v>34</v>
      </c>
      <c r="I133">
        <v>173740</v>
      </c>
      <c r="J133" s="9">
        <v>299000</v>
      </c>
      <c r="K133">
        <v>0.58099999999999996</v>
      </c>
      <c r="L133">
        <v>1.720962357545758</v>
      </c>
      <c r="M133" t="s">
        <v>13</v>
      </c>
      <c r="N133" t="s">
        <v>446</v>
      </c>
    </row>
    <row r="134" spans="1:14" x14ac:dyDescent="0.35">
      <c r="A134">
        <v>161101</v>
      </c>
      <c r="B134" s="3">
        <v>42864</v>
      </c>
      <c r="C134" t="s">
        <v>456</v>
      </c>
      <c r="D134">
        <v>2017</v>
      </c>
      <c r="E134" t="s">
        <v>488</v>
      </c>
      <c r="F134" t="s">
        <v>181</v>
      </c>
      <c r="G134" t="s">
        <v>762</v>
      </c>
      <c r="H134" t="s">
        <v>399</v>
      </c>
      <c r="I134">
        <v>180350</v>
      </c>
      <c r="J134" s="9">
        <v>299000</v>
      </c>
      <c r="K134">
        <v>0.60317725799999999</v>
      </c>
      <c r="L134">
        <v>1.6578874410867757</v>
      </c>
      <c r="M134" t="s">
        <v>16</v>
      </c>
      <c r="N134" t="s">
        <v>446</v>
      </c>
    </row>
    <row r="135" spans="1:14" x14ac:dyDescent="0.35">
      <c r="A135">
        <v>80097</v>
      </c>
      <c r="B135" s="3">
        <v>39897</v>
      </c>
      <c r="C135" t="s">
        <v>471</v>
      </c>
      <c r="D135">
        <v>2009</v>
      </c>
      <c r="E135" t="s">
        <v>490</v>
      </c>
      <c r="F135" t="s">
        <v>308</v>
      </c>
      <c r="G135" t="s">
        <v>760</v>
      </c>
      <c r="H135" t="s">
        <v>309</v>
      </c>
      <c r="I135">
        <v>210600</v>
      </c>
      <c r="J135" s="9">
        <v>299000</v>
      </c>
      <c r="K135">
        <v>0.70434782600000001</v>
      </c>
      <c r="L135">
        <v>1.4197530864197532</v>
      </c>
      <c r="M135" t="s">
        <v>16</v>
      </c>
      <c r="N135" t="s">
        <v>446</v>
      </c>
    </row>
    <row r="136" spans="1:14" x14ac:dyDescent="0.35">
      <c r="A136">
        <v>70355</v>
      </c>
      <c r="B136" s="3">
        <v>39587</v>
      </c>
      <c r="C136" t="s">
        <v>456</v>
      </c>
      <c r="D136">
        <v>2008</v>
      </c>
      <c r="E136" t="s">
        <v>483</v>
      </c>
      <c r="F136" t="s">
        <v>283</v>
      </c>
      <c r="G136" t="s">
        <v>759</v>
      </c>
      <c r="H136" t="s">
        <v>299</v>
      </c>
      <c r="I136">
        <v>179830</v>
      </c>
      <c r="J136" s="9">
        <v>292500</v>
      </c>
      <c r="K136">
        <v>0.61480341900000002</v>
      </c>
      <c r="L136">
        <v>1.6265361730523271</v>
      </c>
      <c r="M136" t="s">
        <v>16</v>
      </c>
      <c r="N136" t="s">
        <v>446</v>
      </c>
    </row>
    <row r="137" spans="1:14" x14ac:dyDescent="0.35">
      <c r="A137">
        <v>200046</v>
      </c>
      <c r="B137" s="3">
        <v>44179</v>
      </c>
      <c r="C137" t="s">
        <v>450</v>
      </c>
      <c r="D137">
        <v>2020</v>
      </c>
      <c r="E137" t="s">
        <v>468</v>
      </c>
      <c r="F137" t="s">
        <v>244</v>
      </c>
      <c r="G137" t="s">
        <v>763</v>
      </c>
      <c r="H137" t="s">
        <v>246</v>
      </c>
      <c r="I137">
        <v>133210</v>
      </c>
      <c r="J137" s="9">
        <v>289900</v>
      </c>
      <c r="K137" s="10">
        <v>0.45950000000000002</v>
      </c>
      <c r="L137" s="11">
        <v>2.1762630433150663</v>
      </c>
      <c r="M137" t="s">
        <v>13</v>
      </c>
      <c r="N137" t="s">
        <v>445</v>
      </c>
    </row>
    <row r="138" spans="1:14" x14ac:dyDescent="0.35">
      <c r="A138">
        <v>20200070</v>
      </c>
      <c r="B138" s="3">
        <v>44294</v>
      </c>
      <c r="C138" t="s">
        <v>452</v>
      </c>
      <c r="D138">
        <v>2021</v>
      </c>
      <c r="E138" t="s">
        <v>453</v>
      </c>
      <c r="F138" t="s">
        <v>135</v>
      </c>
      <c r="G138" t="s">
        <v>762</v>
      </c>
      <c r="H138" t="s">
        <v>204</v>
      </c>
      <c r="I138">
        <v>170200</v>
      </c>
      <c r="J138" s="9">
        <v>287000</v>
      </c>
      <c r="K138">
        <v>0.59299999999999997</v>
      </c>
      <c r="L138">
        <v>1.6862514688601644</v>
      </c>
      <c r="M138" t="s">
        <v>13</v>
      </c>
      <c r="N138" t="s">
        <v>446</v>
      </c>
    </row>
    <row r="139" spans="1:14" x14ac:dyDescent="0.35">
      <c r="A139">
        <v>200709</v>
      </c>
      <c r="B139" s="3">
        <v>44302</v>
      </c>
      <c r="C139" t="s">
        <v>452</v>
      </c>
      <c r="D139">
        <v>2021</v>
      </c>
      <c r="E139" t="s">
        <v>453</v>
      </c>
      <c r="F139" t="s">
        <v>117</v>
      </c>
      <c r="G139" t="s">
        <v>765</v>
      </c>
      <c r="H139" t="s">
        <v>118</v>
      </c>
      <c r="I139">
        <v>138100</v>
      </c>
      <c r="J139" s="9">
        <v>282500</v>
      </c>
      <c r="K139" s="10">
        <v>0.48884955800000002</v>
      </c>
      <c r="L139" s="11">
        <v>2.0456191165821869</v>
      </c>
      <c r="M139" t="s">
        <v>13</v>
      </c>
      <c r="N139" t="s">
        <v>445</v>
      </c>
    </row>
    <row r="140" spans="1:14" x14ac:dyDescent="0.35">
      <c r="A140">
        <v>200117</v>
      </c>
      <c r="B140" s="3">
        <v>44298</v>
      </c>
      <c r="C140" t="s">
        <v>452</v>
      </c>
      <c r="D140">
        <v>2021</v>
      </c>
      <c r="E140" t="s">
        <v>453</v>
      </c>
      <c r="F140" t="s">
        <v>41</v>
      </c>
      <c r="G140" t="s">
        <v>755</v>
      </c>
      <c r="H140" t="s">
        <v>42</v>
      </c>
      <c r="I140">
        <v>160850</v>
      </c>
      <c r="J140" s="9">
        <v>280000</v>
      </c>
      <c r="K140">
        <v>0.57440000000000002</v>
      </c>
      <c r="L140">
        <v>1.7407522536524713</v>
      </c>
      <c r="M140" t="s">
        <v>13</v>
      </c>
      <c r="N140" t="s">
        <v>446</v>
      </c>
    </row>
    <row r="141" spans="1:14" x14ac:dyDescent="0.35">
      <c r="A141">
        <v>90472</v>
      </c>
      <c r="B141" s="3">
        <v>40331</v>
      </c>
      <c r="C141" t="s">
        <v>454</v>
      </c>
      <c r="D141">
        <v>2010</v>
      </c>
      <c r="E141" t="s">
        <v>491</v>
      </c>
      <c r="F141" t="s">
        <v>260</v>
      </c>
      <c r="G141" t="s">
        <v>769</v>
      </c>
      <c r="H141" t="s">
        <v>313</v>
      </c>
      <c r="I141">
        <v>220920</v>
      </c>
      <c r="J141" s="9">
        <v>280000</v>
      </c>
      <c r="K141">
        <v>0.78900000000000003</v>
      </c>
      <c r="L141">
        <v>1.267427122940431</v>
      </c>
      <c r="M141" t="s">
        <v>16</v>
      </c>
      <c r="N141" t="s">
        <v>446</v>
      </c>
    </row>
    <row r="142" spans="1:14" x14ac:dyDescent="0.35">
      <c r="A142">
        <v>20899</v>
      </c>
      <c r="B142" s="3">
        <v>44368</v>
      </c>
      <c r="C142" t="s">
        <v>454</v>
      </c>
      <c r="D142">
        <v>2021</v>
      </c>
      <c r="E142" t="s">
        <v>455</v>
      </c>
      <c r="F142" t="s">
        <v>98</v>
      </c>
      <c r="G142" t="s">
        <v>770</v>
      </c>
      <c r="H142" t="s">
        <v>427</v>
      </c>
      <c r="I142">
        <v>137270</v>
      </c>
      <c r="J142" s="9">
        <v>278500</v>
      </c>
      <c r="K142" s="10">
        <v>0.49280000000000002</v>
      </c>
      <c r="L142" s="11">
        <v>2.0288482552633496</v>
      </c>
      <c r="M142" t="s">
        <v>103</v>
      </c>
      <c r="N142" t="s">
        <v>445</v>
      </c>
    </row>
    <row r="143" spans="1:14" x14ac:dyDescent="0.35">
      <c r="A143">
        <v>160197</v>
      </c>
      <c r="B143" s="3">
        <v>42675</v>
      </c>
      <c r="C143" t="s">
        <v>475</v>
      </c>
      <c r="D143">
        <v>2016</v>
      </c>
      <c r="E143" t="s">
        <v>492</v>
      </c>
      <c r="F143" t="s">
        <v>181</v>
      </c>
      <c r="G143" t="s">
        <v>762</v>
      </c>
      <c r="H143" t="s">
        <v>368</v>
      </c>
      <c r="I143">
        <v>143650</v>
      </c>
      <c r="J143" s="9">
        <v>278000</v>
      </c>
      <c r="K143">
        <v>0.51672661900000005</v>
      </c>
      <c r="L143">
        <v>1.9352593108249216</v>
      </c>
      <c r="M143" t="s">
        <v>16</v>
      </c>
      <c r="N143" t="s">
        <v>446</v>
      </c>
    </row>
    <row r="144" spans="1:14" x14ac:dyDescent="0.35">
      <c r="A144">
        <v>2000327</v>
      </c>
      <c r="B144" s="3">
        <v>44258</v>
      </c>
      <c r="C144" t="s">
        <v>471</v>
      </c>
      <c r="D144">
        <v>2021</v>
      </c>
      <c r="E144" t="s">
        <v>472</v>
      </c>
      <c r="F144" t="s">
        <v>140</v>
      </c>
      <c r="G144" t="s">
        <v>757</v>
      </c>
      <c r="H144" t="s">
        <v>428</v>
      </c>
      <c r="I144">
        <v>157810</v>
      </c>
      <c r="J144" s="9">
        <v>276500</v>
      </c>
      <c r="K144">
        <v>0.57069999999999999</v>
      </c>
      <c r="L144">
        <v>1.7521069640707179</v>
      </c>
      <c r="M144" t="s">
        <v>13</v>
      </c>
      <c r="N144" t="s">
        <v>446</v>
      </c>
    </row>
    <row r="145" spans="1:14" x14ac:dyDescent="0.35">
      <c r="A145">
        <v>20200059</v>
      </c>
      <c r="B145" s="3">
        <v>44117</v>
      </c>
      <c r="C145" t="s">
        <v>469</v>
      </c>
      <c r="D145">
        <v>2020</v>
      </c>
      <c r="E145" t="s">
        <v>470</v>
      </c>
      <c r="F145" t="s">
        <v>129</v>
      </c>
      <c r="G145" t="s">
        <v>762</v>
      </c>
      <c r="H145" t="s">
        <v>240</v>
      </c>
      <c r="I145">
        <v>156380</v>
      </c>
      <c r="J145" s="9">
        <v>276000</v>
      </c>
      <c r="K145">
        <v>0.5665</v>
      </c>
      <c r="L145">
        <v>1.7649315769279958</v>
      </c>
      <c r="M145" t="s">
        <v>13</v>
      </c>
      <c r="N145" t="s">
        <v>446</v>
      </c>
    </row>
    <row r="146" spans="1:14" x14ac:dyDescent="0.35">
      <c r="A146">
        <v>90042</v>
      </c>
      <c r="B146" s="3">
        <v>40106</v>
      </c>
      <c r="C146" t="s">
        <v>469</v>
      </c>
      <c r="D146">
        <v>2009</v>
      </c>
      <c r="E146" t="s">
        <v>493</v>
      </c>
      <c r="F146" t="s">
        <v>84</v>
      </c>
      <c r="G146" t="s">
        <v>770</v>
      </c>
      <c r="H146" t="s">
        <v>323</v>
      </c>
      <c r="I146">
        <v>219870</v>
      </c>
      <c r="J146" s="9">
        <v>275000</v>
      </c>
      <c r="K146">
        <v>0.79952727300000004</v>
      </c>
      <c r="L146">
        <v>1.2507390730886432</v>
      </c>
      <c r="M146" t="s">
        <v>16</v>
      </c>
      <c r="N146" t="s">
        <v>446</v>
      </c>
    </row>
    <row r="147" spans="1:14" x14ac:dyDescent="0.35">
      <c r="A147">
        <v>90113</v>
      </c>
      <c r="B147" s="3">
        <v>40150</v>
      </c>
      <c r="C147" t="s">
        <v>450</v>
      </c>
      <c r="D147">
        <v>2009</v>
      </c>
      <c r="E147" t="s">
        <v>494</v>
      </c>
      <c r="F147" t="s">
        <v>187</v>
      </c>
      <c r="G147" t="s">
        <v>771</v>
      </c>
      <c r="H147" t="s">
        <v>349</v>
      </c>
      <c r="I147">
        <v>176220</v>
      </c>
      <c r="J147" s="9">
        <v>270000</v>
      </c>
      <c r="K147">
        <v>0.65266666699999998</v>
      </c>
      <c r="L147">
        <v>1.5321756894790604</v>
      </c>
      <c r="M147" t="s">
        <v>16</v>
      </c>
      <c r="N147" t="s">
        <v>446</v>
      </c>
    </row>
    <row r="148" spans="1:14" x14ac:dyDescent="0.35">
      <c r="A148">
        <v>200025</v>
      </c>
      <c r="B148" s="3">
        <v>44124</v>
      </c>
      <c r="C148" t="s">
        <v>469</v>
      </c>
      <c r="D148">
        <v>2020</v>
      </c>
      <c r="E148" t="s">
        <v>470</v>
      </c>
      <c r="F148" t="s">
        <v>241</v>
      </c>
      <c r="G148" t="s">
        <v>762</v>
      </c>
      <c r="H148" t="s">
        <v>243</v>
      </c>
      <c r="I148">
        <v>159180</v>
      </c>
      <c r="J148" s="9">
        <v>261000</v>
      </c>
      <c r="K148">
        <v>0.60980000000000001</v>
      </c>
      <c r="L148">
        <v>1.6396532227666791</v>
      </c>
      <c r="M148" t="s">
        <v>13</v>
      </c>
      <c r="N148" t="s">
        <v>446</v>
      </c>
    </row>
    <row r="149" spans="1:14" x14ac:dyDescent="0.35">
      <c r="A149">
        <v>201245</v>
      </c>
      <c r="B149" s="3">
        <v>44453</v>
      </c>
      <c r="C149" t="s">
        <v>473</v>
      </c>
      <c r="D149">
        <v>2021</v>
      </c>
      <c r="E149" t="s">
        <v>474</v>
      </c>
      <c r="F149" t="s">
        <v>125</v>
      </c>
      <c r="G149" t="s">
        <v>765</v>
      </c>
      <c r="H149" t="s">
        <v>131</v>
      </c>
      <c r="I149">
        <v>128170</v>
      </c>
      <c r="J149" s="9">
        <v>260000</v>
      </c>
      <c r="K149" s="10">
        <v>0.4929</v>
      </c>
      <c r="L149" s="11">
        <v>2.0285558242958572</v>
      </c>
      <c r="M149" t="s">
        <v>13</v>
      </c>
      <c r="N149" t="s">
        <v>445</v>
      </c>
    </row>
    <row r="150" spans="1:14" x14ac:dyDescent="0.35">
      <c r="A150">
        <v>200408</v>
      </c>
      <c r="B150" s="3">
        <v>44189</v>
      </c>
      <c r="C150" t="s">
        <v>450</v>
      </c>
      <c r="D150">
        <v>2020</v>
      </c>
      <c r="E150" t="s">
        <v>468</v>
      </c>
      <c r="F150" t="s">
        <v>56</v>
      </c>
      <c r="G150" t="s">
        <v>758</v>
      </c>
      <c r="H150" t="s">
        <v>63</v>
      </c>
      <c r="I150">
        <v>130800</v>
      </c>
      <c r="J150" s="9">
        <v>260000</v>
      </c>
      <c r="K150" s="10">
        <v>0.503</v>
      </c>
      <c r="L150" s="11">
        <v>1.9877675840978593</v>
      </c>
      <c r="M150" t="s">
        <v>13</v>
      </c>
      <c r="N150" t="s">
        <v>446</v>
      </c>
    </row>
    <row r="151" spans="1:14" x14ac:dyDescent="0.35">
      <c r="A151">
        <v>10037</v>
      </c>
      <c r="B151" s="3">
        <v>40500</v>
      </c>
      <c r="C151" t="s">
        <v>475</v>
      </c>
      <c r="D151">
        <v>2010</v>
      </c>
      <c r="E151" t="s">
        <v>487</v>
      </c>
      <c r="F151" t="s">
        <v>286</v>
      </c>
      <c r="G151" t="s">
        <v>765</v>
      </c>
      <c r="H151" t="s">
        <v>347</v>
      </c>
      <c r="I151">
        <v>203600</v>
      </c>
      <c r="J151" s="9">
        <v>260000</v>
      </c>
      <c r="K151">
        <v>0.78307692299999998</v>
      </c>
      <c r="L151">
        <v>1.2770137524557956</v>
      </c>
      <c r="M151" t="s">
        <v>16</v>
      </c>
      <c r="N151" t="s">
        <v>446</v>
      </c>
    </row>
    <row r="152" spans="1:14" x14ac:dyDescent="0.35">
      <c r="A152">
        <v>2000513</v>
      </c>
      <c r="B152" s="3">
        <v>44397</v>
      </c>
      <c r="C152" t="s">
        <v>458</v>
      </c>
      <c r="D152">
        <v>2021</v>
      </c>
      <c r="E152" t="s">
        <v>459</v>
      </c>
      <c r="F152" t="s">
        <v>277</v>
      </c>
      <c r="G152" t="s">
        <v>759</v>
      </c>
      <c r="H152" t="s">
        <v>279</v>
      </c>
      <c r="I152">
        <v>144050</v>
      </c>
      <c r="J152" s="9">
        <v>257500</v>
      </c>
      <c r="K152">
        <v>0.55940000000000001</v>
      </c>
      <c r="L152">
        <v>1.7875737591114196</v>
      </c>
      <c r="M152" t="s">
        <v>13</v>
      </c>
      <c r="N152" t="s">
        <v>446</v>
      </c>
    </row>
    <row r="153" spans="1:14" x14ac:dyDescent="0.35">
      <c r="A153">
        <v>20118</v>
      </c>
      <c r="B153" s="3">
        <v>44469</v>
      </c>
      <c r="C153" t="s">
        <v>473</v>
      </c>
      <c r="D153">
        <v>2021</v>
      </c>
      <c r="E153" t="s">
        <v>474</v>
      </c>
      <c r="F153" t="s">
        <v>235</v>
      </c>
      <c r="G153" t="s">
        <v>762</v>
      </c>
      <c r="H153" t="s">
        <v>236</v>
      </c>
      <c r="I153">
        <v>92890</v>
      </c>
      <c r="J153" s="9">
        <v>255000</v>
      </c>
      <c r="K153" s="10">
        <v>0.36420000000000002</v>
      </c>
      <c r="L153" s="11">
        <v>2.7451824738938528</v>
      </c>
      <c r="M153" t="s">
        <v>13</v>
      </c>
      <c r="N153" t="s">
        <v>445</v>
      </c>
    </row>
    <row r="154" spans="1:14" x14ac:dyDescent="0.35">
      <c r="A154">
        <v>170178</v>
      </c>
      <c r="B154" s="3">
        <v>43089</v>
      </c>
      <c r="C154" t="s">
        <v>450</v>
      </c>
      <c r="D154">
        <v>2017</v>
      </c>
      <c r="E154" t="s">
        <v>495</v>
      </c>
      <c r="F154" t="s">
        <v>159</v>
      </c>
      <c r="G154" t="s">
        <v>757</v>
      </c>
      <c r="H154" t="s">
        <v>381</v>
      </c>
      <c r="I154">
        <v>169400</v>
      </c>
      <c r="J154" s="9">
        <v>252500</v>
      </c>
      <c r="K154">
        <v>0.67089108900000005</v>
      </c>
      <c r="L154">
        <v>1.4905548996458087</v>
      </c>
      <c r="M154" t="s">
        <v>16</v>
      </c>
      <c r="N154" t="s">
        <v>446</v>
      </c>
    </row>
    <row r="155" spans="1:14" x14ac:dyDescent="0.35">
      <c r="A155">
        <v>200002</v>
      </c>
      <c r="B155" s="3">
        <v>44105</v>
      </c>
      <c r="C155" t="s">
        <v>469</v>
      </c>
      <c r="D155">
        <v>2020</v>
      </c>
      <c r="E155" t="s">
        <v>470</v>
      </c>
      <c r="F155" t="s">
        <v>210</v>
      </c>
      <c r="G155" t="s">
        <v>762</v>
      </c>
      <c r="H155" t="s">
        <v>213</v>
      </c>
      <c r="I155">
        <v>186610</v>
      </c>
      <c r="J155" s="9">
        <v>252000</v>
      </c>
      <c r="K155">
        <v>0.74050000000000005</v>
      </c>
      <c r="L155">
        <v>1.3504099458764267</v>
      </c>
      <c r="M155" t="s">
        <v>13</v>
      </c>
      <c r="N155" t="s">
        <v>446</v>
      </c>
    </row>
    <row r="156" spans="1:14" x14ac:dyDescent="0.35">
      <c r="A156">
        <v>2000381</v>
      </c>
      <c r="B156" s="3">
        <v>44452</v>
      </c>
      <c r="C156" t="s">
        <v>473</v>
      </c>
      <c r="D156">
        <v>2021</v>
      </c>
      <c r="E156" t="s">
        <v>474</v>
      </c>
      <c r="F156" t="s">
        <v>27</v>
      </c>
      <c r="G156" t="s">
        <v>766</v>
      </c>
      <c r="H156" t="s">
        <v>28</v>
      </c>
      <c r="I156">
        <v>163730</v>
      </c>
      <c r="J156" s="9">
        <v>250000</v>
      </c>
      <c r="K156">
        <v>0.65490000000000004</v>
      </c>
      <c r="L156">
        <v>1.5269040493495389</v>
      </c>
      <c r="M156" t="s">
        <v>13</v>
      </c>
      <c r="N156" t="s">
        <v>446</v>
      </c>
    </row>
    <row r="157" spans="1:14" x14ac:dyDescent="0.35">
      <c r="A157">
        <v>201295</v>
      </c>
      <c r="B157" s="3">
        <v>44448</v>
      </c>
      <c r="C157" t="s">
        <v>473</v>
      </c>
      <c r="D157">
        <v>2021</v>
      </c>
      <c r="E157" t="s">
        <v>474</v>
      </c>
      <c r="F157" t="s">
        <v>32</v>
      </c>
      <c r="G157" t="s">
        <v>766</v>
      </c>
      <c r="H157" t="s">
        <v>412</v>
      </c>
      <c r="I157">
        <v>144340</v>
      </c>
      <c r="J157" s="9">
        <v>249900</v>
      </c>
      <c r="K157">
        <v>0.57750000000000001</v>
      </c>
      <c r="L157">
        <v>1.7313288069835111</v>
      </c>
      <c r="M157" t="s">
        <v>13</v>
      </c>
      <c r="N157" t="s">
        <v>446</v>
      </c>
    </row>
    <row r="158" spans="1:14" x14ac:dyDescent="0.35">
      <c r="A158">
        <v>20565</v>
      </c>
      <c r="B158" s="3">
        <v>44284</v>
      </c>
      <c r="C158" t="s">
        <v>471</v>
      </c>
      <c r="D158">
        <v>2021</v>
      </c>
      <c r="E158" t="s">
        <v>472</v>
      </c>
      <c r="F158" t="s">
        <v>98</v>
      </c>
      <c r="G158" t="s">
        <v>770</v>
      </c>
      <c r="H158" t="s">
        <v>426</v>
      </c>
      <c r="I158">
        <v>61915</v>
      </c>
      <c r="J158" s="9">
        <v>249000</v>
      </c>
      <c r="K158" s="10">
        <v>0.24859999999999999</v>
      </c>
      <c r="L158" s="11">
        <v>4.021642574497295</v>
      </c>
      <c r="M158" t="s">
        <v>13</v>
      </c>
      <c r="N158" t="s">
        <v>445</v>
      </c>
    </row>
    <row r="159" spans="1:14" x14ac:dyDescent="0.35">
      <c r="A159">
        <v>70113</v>
      </c>
      <c r="B159" s="3">
        <v>39426</v>
      </c>
      <c r="C159" t="s">
        <v>450</v>
      </c>
      <c r="D159">
        <v>2007</v>
      </c>
      <c r="E159" t="s">
        <v>496</v>
      </c>
      <c r="F159" t="s">
        <v>182</v>
      </c>
      <c r="G159" t="s">
        <v>757</v>
      </c>
      <c r="H159" t="s">
        <v>298</v>
      </c>
      <c r="I159">
        <v>175770</v>
      </c>
      <c r="J159" s="9">
        <v>248000</v>
      </c>
      <c r="K159">
        <v>0.70874999999999999</v>
      </c>
      <c r="L159">
        <v>1.4109347442680775</v>
      </c>
      <c r="M159" t="s">
        <v>16</v>
      </c>
      <c r="N159" t="s">
        <v>446</v>
      </c>
    </row>
    <row r="160" spans="1:14" x14ac:dyDescent="0.35">
      <c r="A160">
        <v>200537</v>
      </c>
      <c r="B160" s="3">
        <v>44337</v>
      </c>
      <c r="C160" t="s">
        <v>456</v>
      </c>
      <c r="D160">
        <v>2021</v>
      </c>
      <c r="E160" t="s">
        <v>466</v>
      </c>
      <c r="F160" t="s">
        <v>73</v>
      </c>
      <c r="G160" t="s">
        <v>760</v>
      </c>
      <c r="H160" t="s">
        <v>74</v>
      </c>
      <c r="I160">
        <v>117380</v>
      </c>
      <c r="J160" s="9">
        <v>245000</v>
      </c>
      <c r="K160" s="10">
        <v>0.47910000000000003</v>
      </c>
      <c r="L160" s="11">
        <v>2.0872380303288467</v>
      </c>
      <c r="M160" t="s">
        <v>13</v>
      </c>
      <c r="N160" t="s">
        <v>445</v>
      </c>
    </row>
    <row r="161" spans="1:14" x14ac:dyDescent="0.35">
      <c r="A161">
        <v>200101</v>
      </c>
      <c r="B161" s="3">
        <v>44203</v>
      </c>
      <c r="C161" t="s">
        <v>464</v>
      </c>
      <c r="D161">
        <v>2021</v>
      </c>
      <c r="E161" t="s">
        <v>465</v>
      </c>
      <c r="F161" t="s">
        <v>52</v>
      </c>
      <c r="G161" t="s">
        <v>755</v>
      </c>
      <c r="H161" t="s">
        <v>53</v>
      </c>
      <c r="I161">
        <v>142800</v>
      </c>
      <c r="J161" s="9">
        <v>245000</v>
      </c>
      <c r="K161">
        <v>0.58279999999999998</v>
      </c>
      <c r="L161">
        <v>1.7156862745098038</v>
      </c>
      <c r="M161" t="s">
        <v>13</v>
      </c>
      <c r="N161" t="s">
        <v>446</v>
      </c>
    </row>
    <row r="162" spans="1:14" x14ac:dyDescent="0.35">
      <c r="A162">
        <v>70258</v>
      </c>
      <c r="B162" s="3">
        <v>39447</v>
      </c>
      <c r="C162" t="s">
        <v>450</v>
      </c>
      <c r="D162">
        <v>2007</v>
      </c>
      <c r="E162" t="s">
        <v>496</v>
      </c>
      <c r="F162" t="s">
        <v>409</v>
      </c>
      <c r="G162" t="s">
        <v>759</v>
      </c>
      <c r="H162" t="s">
        <v>295</v>
      </c>
      <c r="I162">
        <v>171700</v>
      </c>
      <c r="J162" s="9">
        <v>244000</v>
      </c>
      <c r="K162">
        <v>0.70368852500000001</v>
      </c>
      <c r="L162">
        <v>1.4210832847990682</v>
      </c>
      <c r="M162" t="s">
        <v>16</v>
      </c>
      <c r="N162" t="s">
        <v>446</v>
      </c>
    </row>
    <row r="163" spans="1:14" x14ac:dyDescent="0.35">
      <c r="A163">
        <v>17128</v>
      </c>
      <c r="B163" s="3">
        <v>43203</v>
      </c>
      <c r="C163" t="s">
        <v>452</v>
      </c>
      <c r="D163">
        <v>2018</v>
      </c>
      <c r="E163" t="s">
        <v>497</v>
      </c>
      <c r="F163" t="s">
        <v>284</v>
      </c>
      <c r="G163" t="s">
        <v>758</v>
      </c>
      <c r="H163" t="s">
        <v>377</v>
      </c>
      <c r="I163">
        <v>132650</v>
      </c>
      <c r="J163" s="9">
        <v>241368</v>
      </c>
      <c r="K163">
        <v>0.54949999999999999</v>
      </c>
      <c r="L163">
        <v>1.8195853750471165</v>
      </c>
      <c r="M163" t="s">
        <v>16</v>
      </c>
      <c r="N163" t="s">
        <v>446</v>
      </c>
    </row>
    <row r="164" spans="1:14" x14ac:dyDescent="0.35">
      <c r="A164">
        <v>200264</v>
      </c>
      <c r="B164" s="3">
        <v>44357</v>
      </c>
      <c r="C164" t="s">
        <v>454</v>
      </c>
      <c r="D164">
        <v>2021</v>
      </c>
      <c r="E164" t="s">
        <v>455</v>
      </c>
      <c r="F164" t="s">
        <v>155</v>
      </c>
      <c r="G164" t="s">
        <v>757</v>
      </c>
      <c r="H164" t="s">
        <v>156</v>
      </c>
      <c r="I164">
        <v>107500</v>
      </c>
      <c r="J164" s="9">
        <v>240000</v>
      </c>
      <c r="K164" s="10">
        <v>0.44790000000000002</v>
      </c>
      <c r="L164" s="11">
        <v>2.2325581395348837</v>
      </c>
      <c r="M164" t="s">
        <v>13</v>
      </c>
      <c r="N164" t="s">
        <v>445</v>
      </c>
    </row>
    <row r="165" spans="1:14" x14ac:dyDescent="0.35">
      <c r="A165">
        <v>200226</v>
      </c>
      <c r="B165" s="3">
        <v>44183</v>
      </c>
      <c r="C165" t="s">
        <v>450</v>
      </c>
      <c r="D165">
        <v>2020</v>
      </c>
      <c r="E165" t="s">
        <v>468</v>
      </c>
      <c r="F165" t="s">
        <v>73</v>
      </c>
      <c r="G165" t="s">
        <v>760</v>
      </c>
      <c r="H165" t="s">
        <v>76</v>
      </c>
      <c r="I165">
        <v>145570</v>
      </c>
      <c r="J165" s="9">
        <v>240000</v>
      </c>
      <c r="K165">
        <v>0.60650000000000004</v>
      </c>
      <c r="L165">
        <v>1.6486913512399533</v>
      </c>
      <c r="M165" t="s">
        <v>13</v>
      </c>
      <c r="N165" t="s">
        <v>446</v>
      </c>
    </row>
    <row r="166" spans="1:14" x14ac:dyDescent="0.35">
      <c r="A166">
        <v>200886</v>
      </c>
      <c r="B166" s="3">
        <v>44319</v>
      </c>
      <c r="C166" t="s">
        <v>456</v>
      </c>
      <c r="D166">
        <v>2021</v>
      </c>
      <c r="E166" t="s">
        <v>466</v>
      </c>
      <c r="F166" t="s">
        <v>56</v>
      </c>
      <c r="G166" t="s">
        <v>758</v>
      </c>
      <c r="H166" t="s">
        <v>58</v>
      </c>
      <c r="I166">
        <v>189800</v>
      </c>
      <c r="J166" s="9">
        <v>240000</v>
      </c>
      <c r="K166">
        <v>0.79079999999999995</v>
      </c>
      <c r="L166">
        <v>1.2644889357218125</v>
      </c>
      <c r="M166" t="s">
        <v>13</v>
      </c>
      <c r="N166" t="s">
        <v>446</v>
      </c>
    </row>
    <row r="167" spans="1:14" x14ac:dyDescent="0.35">
      <c r="A167">
        <v>90695</v>
      </c>
      <c r="B167" s="3">
        <v>40359</v>
      </c>
      <c r="C167" t="s">
        <v>454</v>
      </c>
      <c r="D167">
        <v>2010</v>
      </c>
      <c r="E167" t="s">
        <v>491</v>
      </c>
      <c r="F167" t="s">
        <v>122</v>
      </c>
      <c r="G167" t="s">
        <v>757</v>
      </c>
      <c r="H167" t="s">
        <v>336</v>
      </c>
      <c r="I167">
        <v>45757</v>
      </c>
      <c r="J167" s="9">
        <v>239900</v>
      </c>
      <c r="K167" s="10">
        <v>0.19073363900000001</v>
      </c>
      <c r="L167" s="11">
        <v>5.2429136525558935</v>
      </c>
      <c r="M167" t="s">
        <v>16</v>
      </c>
      <c r="N167" t="s">
        <v>445</v>
      </c>
    </row>
    <row r="168" spans="1:14" x14ac:dyDescent="0.35">
      <c r="A168">
        <v>90073</v>
      </c>
      <c r="B168" s="3">
        <v>40142</v>
      </c>
      <c r="C168" t="s">
        <v>475</v>
      </c>
      <c r="D168">
        <v>2009</v>
      </c>
      <c r="E168" t="s">
        <v>498</v>
      </c>
      <c r="F168" t="s">
        <v>215</v>
      </c>
      <c r="G168" t="s">
        <v>759</v>
      </c>
      <c r="H168" t="s">
        <v>335</v>
      </c>
      <c r="I168">
        <v>111300</v>
      </c>
      <c r="J168" s="9">
        <v>238521</v>
      </c>
      <c r="K168" s="10">
        <v>0.46662557999999998</v>
      </c>
      <c r="L168" s="11">
        <v>2.143045822102426</v>
      </c>
      <c r="M168" t="s">
        <v>16</v>
      </c>
      <c r="N168" t="s">
        <v>445</v>
      </c>
    </row>
    <row r="169" spans="1:14" x14ac:dyDescent="0.35">
      <c r="A169">
        <v>201133</v>
      </c>
      <c r="B169" s="3">
        <v>44441</v>
      </c>
      <c r="C169" t="s">
        <v>473</v>
      </c>
      <c r="D169">
        <v>2021</v>
      </c>
      <c r="E169" t="s">
        <v>474</v>
      </c>
      <c r="F169" t="s">
        <v>146</v>
      </c>
      <c r="G169" t="s">
        <v>757</v>
      </c>
      <c r="H169" t="s">
        <v>150</v>
      </c>
      <c r="I169">
        <v>123480</v>
      </c>
      <c r="J169" s="9">
        <v>235000</v>
      </c>
      <c r="K169">
        <v>0.52539999999999998</v>
      </c>
      <c r="L169">
        <v>1.9031422092646582</v>
      </c>
      <c r="M169" t="s">
        <v>13</v>
      </c>
      <c r="N169" t="s">
        <v>446</v>
      </c>
    </row>
    <row r="170" spans="1:14" x14ac:dyDescent="0.35">
      <c r="A170">
        <v>200207</v>
      </c>
      <c r="B170" s="3">
        <v>44357</v>
      </c>
      <c r="C170" t="s">
        <v>454</v>
      </c>
      <c r="D170">
        <v>2021</v>
      </c>
      <c r="E170" t="s">
        <v>455</v>
      </c>
      <c r="F170" t="s">
        <v>200</v>
      </c>
      <c r="G170" t="s">
        <v>754</v>
      </c>
      <c r="H170" t="s">
        <v>201</v>
      </c>
      <c r="I170">
        <v>120890</v>
      </c>
      <c r="J170" s="9">
        <v>234900</v>
      </c>
      <c r="K170">
        <v>0.51459999999999995</v>
      </c>
      <c r="L170">
        <v>1.9430887583753826</v>
      </c>
      <c r="M170" t="s">
        <v>13</v>
      </c>
      <c r="N170" t="s">
        <v>446</v>
      </c>
    </row>
    <row r="171" spans="1:14" x14ac:dyDescent="0.35">
      <c r="A171">
        <v>200938</v>
      </c>
      <c r="B171" s="3">
        <v>44329</v>
      </c>
      <c r="C171" t="s">
        <v>456</v>
      </c>
      <c r="D171">
        <v>2021</v>
      </c>
      <c r="E171" t="s">
        <v>466</v>
      </c>
      <c r="F171" t="s">
        <v>56</v>
      </c>
      <c r="G171" t="s">
        <v>758</v>
      </c>
      <c r="H171" t="s">
        <v>59</v>
      </c>
      <c r="I171">
        <v>118900</v>
      </c>
      <c r="J171" s="9">
        <v>230000</v>
      </c>
      <c r="K171">
        <v>0.51690000000000003</v>
      </c>
      <c r="L171">
        <v>1.9343986543313709</v>
      </c>
      <c r="M171" t="s">
        <v>13</v>
      </c>
      <c r="N171" t="s">
        <v>446</v>
      </c>
    </row>
    <row r="172" spans="1:14" x14ac:dyDescent="0.35">
      <c r="A172">
        <v>100002</v>
      </c>
      <c r="B172" s="3">
        <v>40455</v>
      </c>
      <c r="C172" t="s">
        <v>469</v>
      </c>
      <c r="D172">
        <v>2010</v>
      </c>
      <c r="E172" t="s">
        <v>489</v>
      </c>
      <c r="F172" t="s">
        <v>29</v>
      </c>
      <c r="G172" t="s">
        <v>766</v>
      </c>
      <c r="H172" t="s">
        <v>333</v>
      </c>
      <c r="I172">
        <v>184500</v>
      </c>
      <c r="J172" s="9">
        <v>230000</v>
      </c>
      <c r="K172">
        <v>0.80217391299999996</v>
      </c>
      <c r="L172">
        <v>1.2466124661246611</v>
      </c>
      <c r="M172" t="s">
        <v>16</v>
      </c>
      <c r="N172" t="s">
        <v>446</v>
      </c>
    </row>
    <row r="173" spans="1:14" x14ac:dyDescent="0.35">
      <c r="A173">
        <v>20059</v>
      </c>
      <c r="B173" s="3">
        <v>44245</v>
      </c>
      <c r="C173" t="s">
        <v>460</v>
      </c>
      <c r="D173">
        <v>2021</v>
      </c>
      <c r="E173" t="s">
        <v>461</v>
      </c>
      <c r="F173" t="s">
        <v>113</v>
      </c>
      <c r="G173" t="s">
        <v>772</v>
      </c>
      <c r="H173" t="s">
        <v>114</v>
      </c>
      <c r="I173">
        <v>121510</v>
      </c>
      <c r="J173" s="9">
        <v>229900</v>
      </c>
      <c r="K173">
        <v>0.52849999999999997</v>
      </c>
      <c r="L173">
        <v>1.8920253477080076</v>
      </c>
      <c r="M173" t="s">
        <v>13</v>
      </c>
      <c r="N173" t="s">
        <v>446</v>
      </c>
    </row>
    <row r="174" spans="1:14" x14ac:dyDescent="0.35">
      <c r="A174">
        <v>70052</v>
      </c>
      <c r="B174" s="3">
        <v>39367</v>
      </c>
      <c r="C174" t="s">
        <v>469</v>
      </c>
      <c r="D174">
        <v>2007</v>
      </c>
      <c r="E174" t="s">
        <v>499</v>
      </c>
      <c r="F174" t="s">
        <v>159</v>
      </c>
      <c r="G174" t="s">
        <v>757</v>
      </c>
      <c r="H174" t="s">
        <v>292</v>
      </c>
      <c r="I174">
        <v>161700</v>
      </c>
      <c r="J174" s="9">
        <v>227000</v>
      </c>
      <c r="K174">
        <v>0.71233480199999999</v>
      </c>
      <c r="L174">
        <v>1.4038342609771182</v>
      </c>
      <c r="M174" t="s">
        <v>16</v>
      </c>
      <c r="N174" t="s">
        <v>446</v>
      </c>
    </row>
    <row r="175" spans="1:14" x14ac:dyDescent="0.35">
      <c r="A175">
        <v>200374</v>
      </c>
      <c r="B175" s="3">
        <v>44334</v>
      </c>
      <c r="C175" t="s">
        <v>456</v>
      </c>
      <c r="D175">
        <v>2021</v>
      </c>
      <c r="E175" t="s">
        <v>466</v>
      </c>
      <c r="F175" t="s">
        <v>187</v>
      </c>
      <c r="G175" t="s">
        <v>771</v>
      </c>
      <c r="H175" t="s">
        <v>258</v>
      </c>
      <c r="I175">
        <v>129190</v>
      </c>
      <c r="J175" s="9">
        <v>226800</v>
      </c>
      <c r="K175">
        <v>0.5696</v>
      </c>
      <c r="L175">
        <v>1.7555538354361793</v>
      </c>
      <c r="M175" t="s">
        <v>13</v>
      </c>
      <c r="N175" t="s">
        <v>446</v>
      </c>
    </row>
    <row r="176" spans="1:14" x14ac:dyDescent="0.35">
      <c r="A176">
        <v>200106</v>
      </c>
      <c r="B176" s="3">
        <v>44137</v>
      </c>
      <c r="C176" t="s">
        <v>475</v>
      </c>
      <c r="D176">
        <v>2020</v>
      </c>
      <c r="E176" t="s">
        <v>476</v>
      </c>
      <c r="F176" t="s">
        <v>139</v>
      </c>
      <c r="G176" t="s">
        <v>763</v>
      </c>
      <c r="H176" t="s">
        <v>250</v>
      </c>
      <c r="I176">
        <v>126570</v>
      </c>
      <c r="J176" s="9">
        <v>225005</v>
      </c>
      <c r="K176">
        <v>0.5625</v>
      </c>
      <c r="L176">
        <v>1.7777119380579915</v>
      </c>
      <c r="M176" t="s">
        <v>13</v>
      </c>
      <c r="N176" t="s">
        <v>446</v>
      </c>
    </row>
    <row r="177" spans="1:14" x14ac:dyDescent="0.35">
      <c r="A177">
        <v>160452</v>
      </c>
      <c r="B177" s="3">
        <v>42989</v>
      </c>
      <c r="C177" t="s">
        <v>473</v>
      </c>
      <c r="D177">
        <v>2017</v>
      </c>
      <c r="E177" t="s">
        <v>484</v>
      </c>
      <c r="F177" t="s">
        <v>200</v>
      </c>
      <c r="G177" t="s">
        <v>754</v>
      </c>
      <c r="H177" t="s">
        <v>400</v>
      </c>
      <c r="I177">
        <v>145950</v>
      </c>
      <c r="J177" s="9">
        <v>225000</v>
      </c>
      <c r="K177">
        <v>0.64866666699999997</v>
      </c>
      <c r="L177">
        <v>1.5416238437821173</v>
      </c>
      <c r="M177" t="s">
        <v>16</v>
      </c>
      <c r="N177" t="s">
        <v>446</v>
      </c>
    </row>
    <row r="178" spans="1:14" x14ac:dyDescent="0.35">
      <c r="A178">
        <v>20086</v>
      </c>
      <c r="B178" s="3">
        <v>44126</v>
      </c>
      <c r="C178" t="s">
        <v>469</v>
      </c>
      <c r="D178">
        <v>2020</v>
      </c>
      <c r="E178" t="s">
        <v>470</v>
      </c>
      <c r="F178" t="s">
        <v>146</v>
      </c>
      <c r="G178" t="s">
        <v>757</v>
      </c>
      <c r="H178" t="s">
        <v>429</v>
      </c>
      <c r="I178">
        <v>122220</v>
      </c>
      <c r="J178" s="9">
        <v>223000</v>
      </c>
      <c r="K178">
        <v>0.54800000000000004</v>
      </c>
      <c r="L178">
        <v>1.82457862870234</v>
      </c>
      <c r="M178" t="s">
        <v>13</v>
      </c>
      <c r="N178" t="s">
        <v>446</v>
      </c>
    </row>
    <row r="179" spans="1:14" x14ac:dyDescent="0.35">
      <c r="A179">
        <v>20102</v>
      </c>
      <c r="B179" s="3">
        <v>44174</v>
      </c>
      <c r="C179" t="s">
        <v>450</v>
      </c>
      <c r="D179">
        <v>2020</v>
      </c>
      <c r="E179" t="s">
        <v>468</v>
      </c>
      <c r="F179" t="s">
        <v>191</v>
      </c>
      <c r="G179" t="s">
        <v>759</v>
      </c>
      <c r="H179" t="s">
        <v>270</v>
      </c>
      <c r="I179">
        <v>127000</v>
      </c>
      <c r="J179" s="9">
        <v>223000</v>
      </c>
      <c r="K179">
        <v>0.56950000000000001</v>
      </c>
      <c r="L179">
        <v>1.7559055118110236</v>
      </c>
      <c r="M179" t="s">
        <v>13</v>
      </c>
      <c r="N179" t="s">
        <v>446</v>
      </c>
    </row>
    <row r="180" spans="1:14" x14ac:dyDescent="0.35">
      <c r="A180">
        <v>20614</v>
      </c>
      <c r="B180" s="3">
        <v>44294</v>
      </c>
      <c r="C180" t="s">
        <v>452</v>
      </c>
      <c r="D180">
        <v>2021</v>
      </c>
      <c r="E180" t="s">
        <v>453</v>
      </c>
      <c r="F180" t="s">
        <v>98</v>
      </c>
      <c r="G180" t="s">
        <v>770</v>
      </c>
      <c r="H180" t="s">
        <v>101</v>
      </c>
      <c r="I180">
        <v>52500</v>
      </c>
      <c r="J180" s="9">
        <v>220000</v>
      </c>
      <c r="K180" s="10">
        <v>0.23860000000000001</v>
      </c>
      <c r="L180" s="11">
        <v>4.1904761904761907</v>
      </c>
      <c r="M180" t="s">
        <v>13</v>
      </c>
      <c r="N180" t="s">
        <v>445</v>
      </c>
    </row>
    <row r="181" spans="1:14" x14ac:dyDescent="0.35">
      <c r="A181">
        <v>200179</v>
      </c>
      <c r="B181" s="3">
        <v>44369</v>
      </c>
      <c r="C181" t="s">
        <v>454</v>
      </c>
      <c r="D181">
        <v>2021</v>
      </c>
      <c r="E181" t="s">
        <v>455</v>
      </c>
      <c r="F181" t="s">
        <v>195</v>
      </c>
      <c r="G181" t="s">
        <v>764</v>
      </c>
      <c r="H181" t="s">
        <v>196</v>
      </c>
      <c r="I181">
        <v>134750</v>
      </c>
      <c r="J181" s="9">
        <v>220000</v>
      </c>
      <c r="K181">
        <v>0.61250000000000004</v>
      </c>
      <c r="L181">
        <v>1.6326530612244898</v>
      </c>
      <c r="M181" t="s">
        <v>13</v>
      </c>
      <c r="N181" t="s">
        <v>446</v>
      </c>
    </row>
    <row r="182" spans="1:14" x14ac:dyDescent="0.35">
      <c r="A182">
        <v>70073</v>
      </c>
      <c r="B182" s="3">
        <v>39521</v>
      </c>
      <c r="C182" t="s">
        <v>471</v>
      </c>
      <c r="D182">
        <v>2008</v>
      </c>
      <c r="E182" t="s">
        <v>477</v>
      </c>
      <c r="F182" t="s">
        <v>41</v>
      </c>
      <c r="G182" t="s">
        <v>755</v>
      </c>
      <c r="H182" t="s">
        <v>301</v>
      </c>
      <c r="I182">
        <v>126000</v>
      </c>
      <c r="J182" s="9">
        <v>217500</v>
      </c>
      <c r="K182">
        <v>0.579310345</v>
      </c>
      <c r="L182">
        <v>1.7261904761904763</v>
      </c>
      <c r="M182" t="s">
        <v>16</v>
      </c>
      <c r="N182" t="s">
        <v>446</v>
      </c>
    </row>
    <row r="183" spans="1:14" x14ac:dyDescent="0.35">
      <c r="A183">
        <v>202611</v>
      </c>
      <c r="B183" s="3">
        <v>44383</v>
      </c>
      <c r="C183" t="s">
        <v>458</v>
      </c>
      <c r="D183">
        <v>2021</v>
      </c>
      <c r="E183" t="s">
        <v>459</v>
      </c>
      <c r="F183" t="s">
        <v>122</v>
      </c>
      <c r="G183" t="s">
        <v>757</v>
      </c>
      <c r="H183" t="s">
        <v>173</v>
      </c>
      <c r="I183">
        <v>144380</v>
      </c>
      <c r="J183" s="9">
        <v>217500</v>
      </c>
      <c r="K183">
        <v>0.66379999999999995</v>
      </c>
      <c r="L183">
        <v>1.506441335365009</v>
      </c>
      <c r="M183" t="s">
        <v>13</v>
      </c>
      <c r="N183" t="s">
        <v>446</v>
      </c>
    </row>
    <row r="184" spans="1:14" x14ac:dyDescent="0.35">
      <c r="A184">
        <v>160773</v>
      </c>
      <c r="B184" s="3">
        <v>42905</v>
      </c>
      <c r="C184" t="s">
        <v>454</v>
      </c>
      <c r="D184">
        <v>2017</v>
      </c>
      <c r="E184" t="s">
        <v>467</v>
      </c>
      <c r="F184" t="s">
        <v>129</v>
      </c>
      <c r="G184" t="s">
        <v>762</v>
      </c>
      <c r="H184" t="s">
        <v>396</v>
      </c>
      <c r="I184">
        <v>153230</v>
      </c>
      <c r="J184" s="9">
        <v>215000</v>
      </c>
      <c r="K184">
        <v>0.71269767399999995</v>
      </c>
      <c r="L184">
        <v>1.4031194935717548</v>
      </c>
      <c r="M184" t="s">
        <v>16</v>
      </c>
      <c r="N184" t="s">
        <v>446</v>
      </c>
    </row>
    <row r="185" spans="1:14" x14ac:dyDescent="0.35">
      <c r="A185">
        <v>201440</v>
      </c>
      <c r="B185" s="3">
        <v>44454</v>
      </c>
      <c r="C185" t="s">
        <v>473</v>
      </c>
      <c r="D185">
        <v>2021</v>
      </c>
      <c r="E185" t="s">
        <v>474</v>
      </c>
      <c r="F185" t="s">
        <v>159</v>
      </c>
      <c r="G185" t="s">
        <v>757</v>
      </c>
      <c r="H185" t="s">
        <v>163</v>
      </c>
      <c r="I185">
        <v>80150</v>
      </c>
      <c r="J185" s="9">
        <v>214000</v>
      </c>
      <c r="K185" s="10">
        <v>0.3745</v>
      </c>
      <c r="L185" s="11">
        <v>2.6699937616968183</v>
      </c>
      <c r="M185" t="s">
        <v>13</v>
      </c>
      <c r="N185" t="s">
        <v>445</v>
      </c>
    </row>
    <row r="186" spans="1:14" x14ac:dyDescent="0.35">
      <c r="A186">
        <v>90002</v>
      </c>
      <c r="B186" s="3">
        <v>40087</v>
      </c>
      <c r="C186" t="s">
        <v>469</v>
      </c>
      <c r="D186">
        <v>2009</v>
      </c>
      <c r="E186" t="s">
        <v>493</v>
      </c>
      <c r="F186" t="s">
        <v>139</v>
      </c>
      <c r="G186" t="s">
        <v>763</v>
      </c>
      <c r="H186" t="s">
        <v>343</v>
      </c>
      <c r="I186">
        <v>150710</v>
      </c>
      <c r="J186" s="9">
        <v>210000</v>
      </c>
      <c r="K186">
        <v>0.71766666700000004</v>
      </c>
      <c r="L186">
        <v>1.3934045517882026</v>
      </c>
      <c r="M186" t="s">
        <v>16</v>
      </c>
      <c r="N186" t="s">
        <v>446</v>
      </c>
    </row>
    <row r="187" spans="1:14" x14ac:dyDescent="0.35">
      <c r="A187">
        <v>20064</v>
      </c>
      <c r="B187" s="3">
        <v>44439</v>
      </c>
      <c r="C187" t="s">
        <v>462</v>
      </c>
      <c r="D187">
        <v>2021</v>
      </c>
      <c r="E187" t="s">
        <v>463</v>
      </c>
      <c r="F187" t="s">
        <v>81</v>
      </c>
      <c r="G187" t="s">
        <v>769</v>
      </c>
      <c r="H187" t="s">
        <v>82</v>
      </c>
      <c r="I187">
        <v>186770</v>
      </c>
      <c r="J187" s="9">
        <v>209000</v>
      </c>
      <c r="K187">
        <v>0.89359999999999995</v>
      </c>
      <c r="L187">
        <v>1.1190233977619533</v>
      </c>
      <c r="M187" t="s">
        <v>10</v>
      </c>
      <c r="N187" t="s">
        <v>446</v>
      </c>
    </row>
    <row r="188" spans="1:14" x14ac:dyDescent="0.35">
      <c r="A188">
        <v>70280</v>
      </c>
      <c r="B188" s="3">
        <v>39650</v>
      </c>
      <c r="C188" t="s">
        <v>458</v>
      </c>
      <c r="D188">
        <v>2008</v>
      </c>
      <c r="E188" t="s">
        <v>500</v>
      </c>
      <c r="F188" t="s">
        <v>43</v>
      </c>
      <c r="G188" t="s">
        <v>755</v>
      </c>
      <c r="H188" t="s">
        <v>302</v>
      </c>
      <c r="I188">
        <v>98180</v>
      </c>
      <c r="J188" s="9">
        <v>204900</v>
      </c>
      <c r="K188" s="10">
        <v>0.47916056600000001</v>
      </c>
      <c r="L188" s="11">
        <v>2.0869830922794868</v>
      </c>
      <c r="M188" t="s">
        <v>16</v>
      </c>
      <c r="N188" t="s">
        <v>445</v>
      </c>
    </row>
    <row r="189" spans="1:14" x14ac:dyDescent="0.35">
      <c r="A189">
        <v>2000330</v>
      </c>
      <c r="B189" s="3">
        <v>44336</v>
      </c>
      <c r="C189" t="s">
        <v>456</v>
      </c>
      <c r="D189">
        <v>2021</v>
      </c>
      <c r="E189" t="s">
        <v>466</v>
      </c>
      <c r="F189" t="s">
        <v>43</v>
      </c>
      <c r="G189" t="s">
        <v>755</v>
      </c>
      <c r="H189" t="s">
        <v>45</v>
      </c>
      <c r="I189">
        <v>144220</v>
      </c>
      <c r="J189" s="9">
        <v>204000</v>
      </c>
      <c r="K189">
        <v>0.70689999999999997</v>
      </c>
      <c r="L189">
        <v>1.4145056164193592</v>
      </c>
      <c r="M189" t="s">
        <v>13</v>
      </c>
      <c r="N189" t="s">
        <v>446</v>
      </c>
    </row>
    <row r="190" spans="1:14" x14ac:dyDescent="0.35">
      <c r="A190">
        <v>20135</v>
      </c>
      <c r="B190" s="3">
        <v>44217</v>
      </c>
      <c r="C190" t="s">
        <v>464</v>
      </c>
      <c r="D190">
        <v>2021</v>
      </c>
      <c r="E190" t="s">
        <v>465</v>
      </c>
      <c r="F190" t="s">
        <v>184</v>
      </c>
      <c r="G190" t="s">
        <v>764</v>
      </c>
      <c r="H190" t="s">
        <v>185</v>
      </c>
      <c r="I190">
        <v>98580</v>
      </c>
      <c r="J190" s="9">
        <v>200000</v>
      </c>
      <c r="K190" s="10">
        <v>0.4929</v>
      </c>
      <c r="L190" s="11">
        <v>2.028809089064719</v>
      </c>
      <c r="M190" t="s">
        <v>13</v>
      </c>
      <c r="N190" t="s">
        <v>445</v>
      </c>
    </row>
    <row r="191" spans="1:14" x14ac:dyDescent="0.35">
      <c r="A191">
        <v>161187</v>
      </c>
      <c r="B191" s="3">
        <v>42930</v>
      </c>
      <c r="C191" t="s">
        <v>458</v>
      </c>
      <c r="D191">
        <v>2017</v>
      </c>
      <c r="E191" t="s">
        <v>501</v>
      </c>
      <c r="F191" t="s">
        <v>122</v>
      </c>
      <c r="G191" t="s">
        <v>757</v>
      </c>
      <c r="H191" t="s">
        <v>378</v>
      </c>
      <c r="I191">
        <v>143240</v>
      </c>
      <c r="J191" s="9">
        <v>200000</v>
      </c>
      <c r="K191">
        <v>0.71619999999999995</v>
      </c>
      <c r="L191">
        <v>1.3962580284836639</v>
      </c>
      <c r="M191" t="s">
        <v>16</v>
      </c>
      <c r="N191" t="s">
        <v>446</v>
      </c>
    </row>
    <row r="192" spans="1:14" x14ac:dyDescent="0.35">
      <c r="A192">
        <v>200052</v>
      </c>
      <c r="B192" s="3">
        <v>44151</v>
      </c>
      <c r="C192" t="s">
        <v>475</v>
      </c>
      <c r="D192">
        <v>2020</v>
      </c>
      <c r="E192" t="s">
        <v>476</v>
      </c>
      <c r="F192" t="s">
        <v>115</v>
      </c>
      <c r="G192" t="s">
        <v>772</v>
      </c>
      <c r="H192" t="s">
        <v>116</v>
      </c>
      <c r="I192">
        <v>149570</v>
      </c>
      <c r="J192" s="9">
        <v>200000</v>
      </c>
      <c r="K192">
        <v>0.74780000000000002</v>
      </c>
      <c r="L192">
        <v>1.3371665440930669</v>
      </c>
      <c r="M192" t="s">
        <v>13</v>
      </c>
      <c r="N192" t="s">
        <v>446</v>
      </c>
    </row>
    <row r="193" spans="1:14" x14ac:dyDescent="0.35">
      <c r="A193">
        <v>170327</v>
      </c>
      <c r="B193" s="3">
        <v>43208</v>
      </c>
      <c r="C193" t="s">
        <v>452</v>
      </c>
      <c r="D193">
        <v>2018</v>
      </c>
      <c r="E193" t="s">
        <v>497</v>
      </c>
      <c r="F193" t="s">
        <v>73</v>
      </c>
      <c r="G193" t="s">
        <v>760</v>
      </c>
      <c r="H193" t="s">
        <v>389</v>
      </c>
      <c r="I193">
        <v>124660</v>
      </c>
      <c r="J193" s="9">
        <v>196000</v>
      </c>
      <c r="K193">
        <v>0.63600000000000001</v>
      </c>
      <c r="L193">
        <v>1.5722765923311408</v>
      </c>
      <c r="M193" t="s">
        <v>16</v>
      </c>
      <c r="N193" t="s">
        <v>446</v>
      </c>
    </row>
    <row r="194" spans="1:14" x14ac:dyDescent="0.35">
      <c r="A194">
        <v>2000857</v>
      </c>
      <c r="B194" s="3">
        <v>44217</v>
      </c>
      <c r="C194" t="s">
        <v>464</v>
      </c>
      <c r="D194">
        <v>2021</v>
      </c>
      <c r="E194" t="s">
        <v>465</v>
      </c>
      <c r="F194" t="s">
        <v>181</v>
      </c>
      <c r="G194" t="s">
        <v>762</v>
      </c>
      <c r="H194" t="s">
        <v>222</v>
      </c>
      <c r="I194">
        <v>109420</v>
      </c>
      <c r="J194" s="9">
        <v>195000</v>
      </c>
      <c r="K194">
        <v>0.56110000000000004</v>
      </c>
      <c r="L194">
        <v>1.7821239261560957</v>
      </c>
      <c r="M194" t="s">
        <v>13</v>
      </c>
      <c r="N194" t="s">
        <v>446</v>
      </c>
    </row>
    <row r="195" spans="1:14" x14ac:dyDescent="0.35">
      <c r="A195">
        <v>2000296</v>
      </c>
      <c r="B195" s="3">
        <v>44239</v>
      </c>
      <c r="C195" t="s">
        <v>460</v>
      </c>
      <c r="D195">
        <v>2021</v>
      </c>
      <c r="E195" t="s">
        <v>461</v>
      </c>
      <c r="F195" t="s">
        <v>140</v>
      </c>
      <c r="G195" t="s">
        <v>757</v>
      </c>
      <c r="H195" t="s">
        <v>141</v>
      </c>
      <c r="I195">
        <v>114660</v>
      </c>
      <c r="J195" s="9">
        <v>195000</v>
      </c>
      <c r="K195">
        <v>0.58799999999999997</v>
      </c>
      <c r="L195">
        <v>1.7006802721088434</v>
      </c>
      <c r="M195" t="s">
        <v>13</v>
      </c>
      <c r="N195" t="s">
        <v>446</v>
      </c>
    </row>
    <row r="196" spans="1:14" x14ac:dyDescent="0.35">
      <c r="A196">
        <v>900039</v>
      </c>
      <c r="B196" s="3">
        <v>40136</v>
      </c>
      <c r="C196" t="s">
        <v>475</v>
      </c>
      <c r="D196">
        <v>2009</v>
      </c>
      <c r="E196" t="s">
        <v>498</v>
      </c>
      <c r="F196" t="s">
        <v>200</v>
      </c>
      <c r="G196" t="s">
        <v>754</v>
      </c>
      <c r="H196" t="s">
        <v>319</v>
      </c>
      <c r="I196">
        <v>138950</v>
      </c>
      <c r="J196" s="9">
        <v>195000</v>
      </c>
      <c r="K196">
        <v>0.71256410299999995</v>
      </c>
      <c r="L196">
        <v>1.4033825116948542</v>
      </c>
      <c r="M196" t="s">
        <v>16</v>
      </c>
      <c r="N196" t="s">
        <v>446</v>
      </c>
    </row>
    <row r="197" spans="1:14" x14ac:dyDescent="0.35">
      <c r="A197">
        <v>2000022</v>
      </c>
      <c r="B197" s="3">
        <v>44117</v>
      </c>
      <c r="C197" t="s">
        <v>469</v>
      </c>
      <c r="D197">
        <v>2020</v>
      </c>
      <c r="E197" t="s">
        <v>470</v>
      </c>
      <c r="F197" t="s">
        <v>140</v>
      </c>
      <c r="G197" t="s">
        <v>757</v>
      </c>
      <c r="H197" t="s">
        <v>145</v>
      </c>
      <c r="I197">
        <v>108070</v>
      </c>
      <c r="J197" s="9">
        <v>193500</v>
      </c>
      <c r="K197">
        <v>0.5585</v>
      </c>
      <c r="L197">
        <v>1.7905061534190803</v>
      </c>
      <c r="M197" t="s">
        <v>13</v>
      </c>
      <c r="N197" t="s">
        <v>446</v>
      </c>
    </row>
    <row r="198" spans="1:14" x14ac:dyDescent="0.35">
      <c r="A198">
        <v>200010</v>
      </c>
      <c r="B198" s="3">
        <v>44126</v>
      </c>
      <c r="C198" t="s">
        <v>469</v>
      </c>
      <c r="D198">
        <v>2020</v>
      </c>
      <c r="E198" t="s">
        <v>470</v>
      </c>
      <c r="F198" t="s">
        <v>200</v>
      </c>
      <c r="G198" t="s">
        <v>754</v>
      </c>
      <c r="H198" t="s">
        <v>202</v>
      </c>
      <c r="I198">
        <v>128870</v>
      </c>
      <c r="J198" s="9">
        <v>193000</v>
      </c>
      <c r="K198">
        <v>0.66769999999999996</v>
      </c>
      <c r="L198">
        <v>1.4976332738418561</v>
      </c>
      <c r="M198" t="s">
        <v>13</v>
      </c>
      <c r="N198" t="s">
        <v>446</v>
      </c>
    </row>
    <row r="199" spans="1:14" x14ac:dyDescent="0.35">
      <c r="A199">
        <v>201176</v>
      </c>
      <c r="B199" s="3">
        <v>44264</v>
      </c>
      <c r="C199" t="s">
        <v>471</v>
      </c>
      <c r="D199">
        <v>2021</v>
      </c>
      <c r="E199" t="s">
        <v>472</v>
      </c>
      <c r="F199" t="s">
        <v>144</v>
      </c>
      <c r="G199" t="s">
        <v>757</v>
      </c>
      <c r="H199" t="s">
        <v>165</v>
      </c>
      <c r="I199">
        <v>165550</v>
      </c>
      <c r="J199" s="9">
        <v>191000</v>
      </c>
      <c r="K199">
        <v>0.86670000000000003</v>
      </c>
      <c r="L199">
        <v>1.1537299909392933</v>
      </c>
      <c r="M199" t="s">
        <v>13</v>
      </c>
      <c r="N199" t="s">
        <v>446</v>
      </c>
    </row>
    <row r="200" spans="1:14" x14ac:dyDescent="0.35">
      <c r="A200">
        <v>200419</v>
      </c>
      <c r="B200" s="3">
        <v>44231</v>
      </c>
      <c r="C200" t="s">
        <v>460</v>
      </c>
      <c r="D200">
        <v>2021</v>
      </c>
      <c r="E200" t="s">
        <v>461</v>
      </c>
      <c r="F200" t="s">
        <v>159</v>
      </c>
      <c r="G200" t="s">
        <v>757</v>
      </c>
      <c r="H200" t="s">
        <v>160</v>
      </c>
      <c r="I200">
        <v>74200</v>
      </c>
      <c r="J200" s="9">
        <v>190000</v>
      </c>
      <c r="K200" s="10">
        <v>0.39050000000000001</v>
      </c>
      <c r="L200" s="11">
        <v>2.5606469002695418</v>
      </c>
      <c r="M200" t="s">
        <v>13</v>
      </c>
      <c r="N200" t="s">
        <v>445</v>
      </c>
    </row>
    <row r="201" spans="1:14" x14ac:dyDescent="0.35">
      <c r="A201">
        <v>70149</v>
      </c>
      <c r="B201" s="3">
        <v>39504</v>
      </c>
      <c r="C201" t="s">
        <v>460</v>
      </c>
      <c r="D201">
        <v>2008</v>
      </c>
      <c r="E201" t="s">
        <v>502</v>
      </c>
      <c r="F201" t="s">
        <v>66</v>
      </c>
      <c r="G201" t="s">
        <v>760</v>
      </c>
      <c r="H201" t="s">
        <v>296</v>
      </c>
      <c r="I201">
        <v>125300</v>
      </c>
      <c r="J201" s="9">
        <v>190000</v>
      </c>
      <c r="K201">
        <v>0.65947368399999995</v>
      </c>
      <c r="L201">
        <v>1.5163607342378291</v>
      </c>
      <c r="M201" t="s">
        <v>16</v>
      </c>
      <c r="N201" t="s">
        <v>446</v>
      </c>
    </row>
    <row r="202" spans="1:14" x14ac:dyDescent="0.35">
      <c r="A202">
        <v>20486</v>
      </c>
      <c r="B202" s="3">
        <v>44362</v>
      </c>
      <c r="C202" t="s">
        <v>454</v>
      </c>
      <c r="D202">
        <v>2021</v>
      </c>
      <c r="E202" t="s">
        <v>455</v>
      </c>
      <c r="F202" t="s">
        <v>216</v>
      </c>
      <c r="G202" t="s">
        <v>762</v>
      </c>
      <c r="H202" t="s">
        <v>217</v>
      </c>
      <c r="I202">
        <v>92080</v>
      </c>
      <c r="J202" s="9">
        <v>185000</v>
      </c>
      <c r="K202" s="10">
        <v>0.49769999999999998</v>
      </c>
      <c r="L202" s="11">
        <v>2.0091225021720245</v>
      </c>
      <c r="M202" t="s">
        <v>13</v>
      </c>
      <c r="N202" t="s">
        <v>445</v>
      </c>
    </row>
    <row r="203" spans="1:14" x14ac:dyDescent="0.35">
      <c r="A203">
        <v>200759</v>
      </c>
      <c r="B203" s="3">
        <v>44398</v>
      </c>
      <c r="C203" t="s">
        <v>458</v>
      </c>
      <c r="D203">
        <v>2021</v>
      </c>
      <c r="E203" t="s">
        <v>459</v>
      </c>
      <c r="F203" t="s">
        <v>206</v>
      </c>
      <c r="G203" t="s">
        <v>762</v>
      </c>
      <c r="H203" t="s">
        <v>207</v>
      </c>
      <c r="I203">
        <v>144410</v>
      </c>
      <c r="J203" s="9">
        <v>185000</v>
      </c>
      <c r="K203">
        <v>0.78049999999999997</v>
      </c>
      <c r="L203">
        <v>1.2810747178173256</v>
      </c>
      <c r="M203" t="s">
        <v>13</v>
      </c>
      <c r="N203" t="s">
        <v>446</v>
      </c>
    </row>
    <row r="204" spans="1:14" x14ac:dyDescent="0.35">
      <c r="A204">
        <v>2000473</v>
      </c>
      <c r="B204" s="3">
        <v>44334</v>
      </c>
      <c r="C204" t="s">
        <v>456</v>
      </c>
      <c r="D204">
        <v>2021</v>
      </c>
      <c r="E204" t="s">
        <v>466</v>
      </c>
      <c r="F204" t="s">
        <v>140</v>
      </c>
      <c r="G204" t="s">
        <v>757</v>
      </c>
      <c r="H204" t="s">
        <v>143</v>
      </c>
      <c r="I204">
        <v>98900</v>
      </c>
      <c r="J204" s="9">
        <v>184500</v>
      </c>
      <c r="K204">
        <v>0.53600000000000003</v>
      </c>
      <c r="L204">
        <v>1.865520728008089</v>
      </c>
      <c r="M204" t="s">
        <v>13</v>
      </c>
      <c r="N204" t="s">
        <v>446</v>
      </c>
    </row>
    <row r="205" spans="1:14" x14ac:dyDescent="0.35">
      <c r="A205">
        <v>200527</v>
      </c>
      <c r="B205" s="3">
        <v>44256</v>
      </c>
      <c r="C205" t="s">
        <v>471</v>
      </c>
      <c r="D205">
        <v>2021</v>
      </c>
      <c r="E205" t="s">
        <v>472</v>
      </c>
      <c r="F205" t="s">
        <v>32</v>
      </c>
      <c r="G205" t="s">
        <v>766</v>
      </c>
      <c r="H205" t="s">
        <v>35</v>
      </c>
      <c r="I205">
        <v>85680</v>
      </c>
      <c r="J205" s="9">
        <v>183000</v>
      </c>
      <c r="K205" s="10">
        <v>0.46810000000000002</v>
      </c>
      <c r="L205" s="11">
        <v>2.1358543417366946</v>
      </c>
      <c r="M205" t="s">
        <v>13</v>
      </c>
      <c r="N205" t="s">
        <v>445</v>
      </c>
    </row>
    <row r="206" spans="1:14" x14ac:dyDescent="0.35">
      <c r="A206">
        <v>161740</v>
      </c>
      <c r="B206" s="3">
        <v>42951</v>
      </c>
      <c r="C206" t="s">
        <v>462</v>
      </c>
      <c r="D206">
        <v>2017</v>
      </c>
      <c r="E206" t="s">
        <v>503</v>
      </c>
      <c r="F206" t="s">
        <v>181</v>
      </c>
      <c r="G206" t="s">
        <v>762</v>
      </c>
      <c r="H206" t="s">
        <v>392</v>
      </c>
      <c r="I206">
        <v>102440</v>
      </c>
      <c r="J206" s="9">
        <v>180450</v>
      </c>
      <c r="K206">
        <v>0.56769188100000001</v>
      </c>
      <c r="L206">
        <v>1.761518937914877</v>
      </c>
      <c r="M206" t="s">
        <v>16</v>
      </c>
      <c r="N206" t="s">
        <v>446</v>
      </c>
    </row>
    <row r="207" spans="1:14" x14ac:dyDescent="0.35">
      <c r="A207">
        <v>200362</v>
      </c>
      <c r="B207" s="3">
        <v>44340</v>
      </c>
      <c r="C207" t="s">
        <v>456</v>
      </c>
      <c r="D207">
        <v>2021</v>
      </c>
      <c r="E207" t="s">
        <v>466</v>
      </c>
      <c r="F207" t="s">
        <v>210</v>
      </c>
      <c r="G207" t="s">
        <v>762</v>
      </c>
      <c r="H207" t="s">
        <v>211</v>
      </c>
      <c r="I207">
        <v>99660</v>
      </c>
      <c r="J207" s="9">
        <v>180000</v>
      </c>
      <c r="K207">
        <v>0.55359999999999998</v>
      </c>
      <c r="L207">
        <v>1.8061408789885611</v>
      </c>
      <c r="M207" t="s">
        <v>13</v>
      </c>
      <c r="N207" t="s">
        <v>446</v>
      </c>
    </row>
    <row r="208" spans="1:14" x14ac:dyDescent="0.35">
      <c r="A208">
        <v>20750</v>
      </c>
      <c r="B208" s="3">
        <v>44322</v>
      </c>
      <c r="C208" t="s">
        <v>456</v>
      </c>
      <c r="D208">
        <v>2021</v>
      </c>
      <c r="E208" t="s">
        <v>466</v>
      </c>
      <c r="F208" t="s">
        <v>98</v>
      </c>
      <c r="G208" t="s">
        <v>770</v>
      </c>
      <c r="H208" t="s">
        <v>102</v>
      </c>
      <c r="I208">
        <v>126560</v>
      </c>
      <c r="J208" s="9">
        <v>180000</v>
      </c>
      <c r="K208">
        <v>0.70309999999999995</v>
      </c>
      <c r="L208">
        <v>1.4222503160556257</v>
      </c>
      <c r="M208" t="s">
        <v>10</v>
      </c>
      <c r="N208" t="s">
        <v>446</v>
      </c>
    </row>
    <row r="209" spans="1:14" x14ac:dyDescent="0.35">
      <c r="A209">
        <v>200212</v>
      </c>
      <c r="B209" s="3">
        <v>44264</v>
      </c>
      <c r="C209" t="s">
        <v>471</v>
      </c>
      <c r="D209">
        <v>2021</v>
      </c>
      <c r="E209" t="s">
        <v>472</v>
      </c>
      <c r="F209" t="s">
        <v>14</v>
      </c>
      <c r="G209" t="s">
        <v>761</v>
      </c>
      <c r="H209" t="s">
        <v>15</v>
      </c>
      <c r="I209">
        <v>130400</v>
      </c>
      <c r="J209" s="9">
        <v>179900</v>
      </c>
      <c r="K209">
        <v>0.7248</v>
      </c>
      <c r="L209">
        <v>1.3796012269938651</v>
      </c>
      <c r="M209" t="s">
        <v>13</v>
      </c>
      <c r="N209" t="s">
        <v>446</v>
      </c>
    </row>
    <row r="210" spans="1:14" x14ac:dyDescent="0.35">
      <c r="A210">
        <v>160539</v>
      </c>
      <c r="B210" s="3">
        <v>42741</v>
      </c>
      <c r="C210" t="s">
        <v>464</v>
      </c>
      <c r="D210">
        <v>2017</v>
      </c>
      <c r="E210" t="s">
        <v>504</v>
      </c>
      <c r="F210" t="s">
        <v>181</v>
      </c>
      <c r="G210" t="s">
        <v>762</v>
      </c>
      <c r="H210" t="s">
        <v>397</v>
      </c>
      <c r="I210">
        <v>74670</v>
      </c>
      <c r="J210" s="9">
        <v>176500</v>
      </c>
      <c r="K210" s="10">
        <v>0.42305948999999998</v>
      </c>
      <c r="L210" s="11">
        <v>2.36373376188563</v>
      </c>
      <c r="M210" t="s">
        <v>16</v>
      </c>
      <c r="N210" t="s">
        <v>445</v>
      </c>
    </row>
    <row r="211" spans="1:14" x14ac:dyDescent="0.35">
      <c r="A211">
        <v>900251</v>
      </c>
      <c r="B211" s="3">
        <v>40301</v>
      </c>
      <c r="C211" t="s">
        <v>456</v>
      </c>
      <c r="D211">
        <v>2010</v>
      </c>
      <c r="E211" t="s">
        <v>478</v>
      </c>
      <c r="F211" t="s">
        <v>68</v>
      </c>
      <c r="G211" t="s">
        <v>769</v>
      </c>
      <c r="H211" t="s">
        <v>330</v>
      </c>
      <c r="I211">
        <v>118860</v>
      </c>
      <c r="J211" s="9">
        <v>175000</v>
      </c>
      <c r="K211">
        <v>0.67920000000000003</v>
      </c>
      <c r="L211">
        <v>1.4723203769140165</v>
      </c>
      <c r="M211" t="s">
        <v>16</v>
      </c>
      <c r="N211" t="s">
        <v>446</v>
      </c>
    </row>
    <row r="212" spans="1:14" x14ac:dyDescent="0.35">
      <c r="A212">
        <v>60610</v>
      </c>
      <c r="B212" s="3">
        <v>39252</v>
      </c>
      <c r="C212" t="s">
        <v>454</v>
      </c>
      <c r="D212">
        <v>2007</v>
      </c>
      <c r="E212" t="s">
        <v>505</v>
      </c>
      <c r="F212" t="s">
        <v>174</v>
      </c>
      <c r="G212" t="s">
        <v>759</v>
      </c>
      <c r="H212" t="s">
        <v>290</v>
      </c>
      <c r="I212">
        <v>124250</v>
      </c>
      <c r="J212" s="9">
        <v>175000</v>
      </c>
      <c r="K212">
        <v>0.71</v>
      </c>
      <c r="L212">
        <v>1.408450704225352</v>
      </c>
      <c r="M212" t="s">
        <v>16</v>
      </c>
      <c r="N212" t="s">
        <v>446</v>
      </c>
    </row>
    <row r="213" spans="1:14" x14ac:dyDescent="0.35">
      <c r="A213">
        <v>100052</v>
      </c>
      <c r="B213" s="3">
        <v>40596</v>
      </c>
      <c r="C213" t="s">
        <v>460</v>
      </c>
      <c r="D213">
        <v>2011</v>
      </c>
      <c r="E213" t="s">
        <v>506</v>
      </c>
      <c r="F213" t="s">
        <v>8</v>
      </c>
      <c r="G213" t="s">
        <v>761</v>
      </c>
      <c r="H213" t="s">
        <v>326</v>
      </c>
      <c r="I213">
        <v>137300</v>
      </c>
      <c r="J213" s="9">
        <v>175000</v>
      </c>
      <c r="K213">
        <v>0.78457142899999999</v>
      </c>
      <c r="L213">
        <v>1.2745812090313182</v>
      </c>
      <c r="M213" t="s">
        <v>16</v>
      </c>
      <c r="N213" t="s">
        <v>446</v>
      </c>
    </row>
    <row r="214" spans="1:14" x14ac:dyDescent="0.35">
      <c r="A214">
        <v>70125</v>
      </c>
      <c r="B214" s="3">
        <v>39472</v>
      </c>
      <c r="C214" t="s">
        <v>464</v>
      </c>
      <c r="D214">
        <v>2008</v>
      </c>
      <c r="E214" t="s">
        <v>507</v>
      </c>
      <c r="F214" t="s">
        <v>277</v>
      </c>
      <c r="G214" t="s">
        <v>759</v>
      </c>
      <c r="H214" t="s">
        <v>307</v>
      </c>
      <c r="I214">
        <v>87500</v>
      </c>
      <c r="J214" s="9">
        <v>173700</v>
      </c>
      <c r="K214">
        <v>0.50374208399999998</v>
      </c>
      <c r="L214">
        <v>1.9851428571428571</v>
      </c>
      <c r="M214" t="s">
        <v>16</v>
      </c>
      <c r="N214" t="s">
        <v>446</v>
      </c>
    </row>
    <row r="215" spans="1:14" x14ac:dyDescent="0.35">
      <c r="A215">
        <v>130311</v>
      </c>
      <c r="B215" s="3">
        <v>41795</v>
      </c>
      <c r="C215" t="s">
        <v>454</v>
      </c>
      <c r="D215">
        <v>2014</v>
      </c>
      <c r="E215" t="s">
        <v>508</v>
      </c>
      <c r="F215" t="s">
        <v>73</v>
      </c>
      <c r="G215" t="s">
        <v>760</v>
      </c>
      <c r="H215" t="s">
        <v>358</v>
      </c>
      <c r="I215">
        <v>125840</v>
      </c>
      <c r="J215" s="9">
        <v>173000</v>
      </c>
      <c r="K215">
        <v>0.72739884399999999</v>
      </c>
      <c r="L215">
        <v>1.3747616020343294</v>
      </c>
      <c r="M215" t="s">
        <v>16</v>
      </c>
      <c r="N215" t="s">
        <v>446</v>
      </c>
    </row>
    <row r="216" spans="1:14" x14ac:dyDescent="0.35">
      <c r="A216">
        <v>200192</v>
      </c>
      <c r="B216" s="3">
        <v>44155</v>
      </c>
      <c r="C216" t="s">
        <v>475</v>
      </c>
      <c r="D216">
        <v>2020</v>
      </c>
      <c r="E216" t="s">
        <v>476</v>
      </c>
      <c r="F216" t="s">
        <v>159</v>
      </c>
      <c r="G216" t="s">
        <v>757</v>
      </c>
      <c r="H216" t="s">
        <v>164</v>
      </c>
      <c r="I216">
        <v>71150</v>
      </c>
      <c r="J216" s="9">
        <v>170000</v>
      </c>
      <c r="K216" s="10">
        <v>0.41849999999999998</v>
      </c>
      <c r="L216" s="11">
        <v>2.3893183415319745</v>
      </c>
      <c r="M216" t="s">
        <v>13</v>
      </c>
      <c r="N216" t="s">
        <v>445</v>
      </c>
    </row>
    <row r="217" spans="1:14" x14ac:dyDescent="0.35">
      <c r="A217">
        <v>20000179</v>
      </c>
      <c r="B217" s="3">
        <v>44249</v>
      </c>
      <c r="C217" t="s">
        <v>460</v>
      </c>
      <c r="D217">
        <v>2021</v>
      </c>
      <c r="E217" t="s">
        <v>461</v>
      </c>
      <c r="F217" t="s">
        <v>37</v>
      </c>
      <c r="G217" t="s">
        <v>766</v>
      </c>
      <c r="H217" t="s">
        <v>39</v>
      </c>
      <c r="I217">
        <v>94770</v>
      </c>
      <c r="J217" s="9">
        <v>170000</v>
      </c>
      <c r="K217">
        <v>0.55740000000000001</v>
      </c>
      <c r="L217">
        <v>1.7938166086314233</v>
      </c>
      <c r="M217" t="s">
        <v>13</v>
      </c>
      <c r="N217" t="s">
        <v>446</v>
      </c>
    </row>
    <row r="218" spans="1:14" x14ac:dyDescent="0.35">
      <c r="A218">
        <v>200468</v>
      </c>
      <c r="B218" s="3">
        <v>44239</v>
      </c>
      <c r="C218" t="s">
        <v>460</v>
      </c>
      <c r="D218">
        <v>2021</v>
      </c>
      <c r="E218" t="s">
        <v>461</v>
      </c>
      <c r="F218" t="s">
        <v>125</v>
      </c>
      <c r="G218" t="s">
        <v>765</v>
      </c>
      <c r="H218" t="s">
        <v>126</v>
      </c>
      <c r="I218">
        <v>100520</v>
      </c>
      <c r="J218" s="9">
        <v>170000</v>
      </c>
      <c r="K218">
        <v>0.59119999999999995</v>
      </c>
      <c r="L218">
        <v>1.6912057302029446</v>
      </c>
      <c r="M218" t="s">
        <v>13</v>
      </c>
      <c r="N218" t="s">
        <v>446</v>
      </c>
    </row>
    <row r="219" spans="1:14" x14ac:dyDescent="0.35">
      <c r="A219">
        <v>160293</v>
      </c>
      <c r="B219" s="3">
        <v>42845</v>
      </c>
      <c r="C219" t="s">
        <v>452</v>
      </c>
      <c r="D219">
        <v>2017</v>
      </c>
      <c r="E219" t="s">
        <v>509</v>
      </c>
      <c r="F219" t="s">
        <v>216</v>
      </c>
      <c r="G219" t="s">
        <v>762</v>
      </c>
      <c r="H219" t="s">
        <v>383</v>
      </c>
      <c r="I219">
        <v>102830</v>
      </c>
      <c r="J219" s="9">
        <v>170000</v>
      </c>
      <c r="K219">
        <v>0.60488235300000004</v>
      </c>
      <c r="L219">
        <v>1.6532140425945736</v>
      </c>
      <c r="M219" t="s">
        <v>16</v>
      </c>
      <c r="N219" t="s">
        <v>446</v>
      </c>
    </row>
    <row r="220" spans="1:14" x14ac:dyDescent="0.35">
      <c r="A220">
        <v>200113</v>
      </c>
      <c r="B220" s="3">
        <v>44210</v>
      </c>
      <c r="C220" t="s">
        <v>464</v>
      </c>
      <c r="D220">
        <v>2021</v>
      </c>
      <c r="E220" t="s">
        <v>465</v>
      </c>
      <c r="F220" t="s">
        <v>241</v>
      </c>
      <c r="G220" t="s">
        <v>762</v>
      </c>
      <c r="H220" t="s">
        <v>242</v>
      </c>
      <c r="I220">
        <v>98280</v>
      </c>
      <c r="J220" s="9">
        <v>169900</v>
      </c>
      <c r="K220">
        <v>0.57840000000000003</v>
      </c>
      <c r="L220">
        <v>1.7287342287342287</v>
      </c>
      <c r="M220" t="s">
        <v>13</v>
      </c>
      <c r="N220" t="s">
        <v>446</v>
      </c>
    </row>
    <row r="221" spans="1:14" x14ac:dyDescent="0.35">
      <c r="A221">
        <v>70491</v>
      </c>
      <c r="B221" s="3">
        <v>39596</v>
      </c>
      <c r="C221" t="s">
        <v>456</v>
      </c>
      <c r="D221">
        <v>2008</v>
      </c>
      <c r="E221" t="s">
        <v>483</v>
      </c>
      <c r="F221" t="s">
        <v>84</v>
      </c>
      <c r="G221" t="s">
        <v>770</v>
      </c>
      <c r="H221" t="s">
        <v>294</v>
      </c>
      <c r="I221">
        <v>101990</v>
      </c>
      <c r="J221" s="9">
        <v>169000</v>
      </c>
      <c r="K221">
        <v>0.60349112400000005</v>
      </c>
      <c r="L221">
        <v>1.6570251985488773</v>
      </c>
      <c r="M221" t="s">
        <v>16</v>
      </c>
      <c r="N221" t="s">
        <v>446</v>
      </c>
    </row>
    <row r="222" spans="1:14" x14ac:dyDescent="0.35">
      <c r="A222">
        <v>160427</v>
      </c>
      <c r="B222" s="3">
        <v>42976</v>
      </c>
      <c r="C222" t="s">
        <v>462</v>
      </c>
      <c r="D222">
        <v>2017</v>
      </c>
      <c r="E222" t="s">
        <v>503</v>
      </c>
      <c r="F222" t="s">
        <v>277</v>
      </c>
      <c r="G222" t="s">
        <v>759</v>
      </c>
      <c r="H222" t="s">
        <v>394</v>
      </c>
      <c r="I222">
        <v>113800</v>
      </c>
      <c r="J222" s="9">
        <v>169000</v>
      </c>
      <c r="K222">
        <v>0.67337278099999998</v>
      </c>
      <c r="L222">
        <v>1.4850615114235501</v>
      </c>
      <c r="M222" t="s">
        <v>16</v>
      </c>
      <c r="N222" t="s">
        <v>446</v>
      </c>
    </row>
    <row r="223" spans="1:14" x14ac:dyDescent="0.35">
      <c r="A223">
        <v>170091</v>
      </c>
      <c r="B223" s="3">
        <v>43066</v>
      </c>
      <c r="C223" t="s">
        <v>475</v>
      </c>
      <c r="D223">
        <v>2017</v>
      </c>
      <c r="E223" t="s">
        <v>510</v>
      </c>
      <c r="F223" t="s">
        <v>29</v>
      </c>
      <c r="G223" t="s">
        <v>766</v>
      </c>
      <c r="H223" t="s">
        <v>372</v>
      </c>
      <c r="I223">
        <v>112800</v>
      </c>
      <c r="J223" s="9">
        <v>167450</v>
      </c>
      <c r="K223">
        <v>0.67363392099999997</v>
      </c>
      <c r="L223">
        <v>1.4844858156028369</v>
      </c>
      <c r="M223" t="s">
        <v>16</v>
      </c>
      <c r="N223" t="s">
        <v>446</v>
      </c>
    </row>
    <row r="224" spans="1:14" x14ac:dyDescent="0.35">
      <c r="A224">
        <v>20522</v>
      </c>
      <c r="B224" s="3">
        <v>44266</v>
      </c>
      <c r="C224" t="s">
        <v>471</v>
      </c>
      <c r="D224">
        <v>2021</v>
      </c>
      <c r="E224" t="s">
        <v>472</v>
      </c>
      <c r="F224" t="s">
        <v>98</v>
      </c>
      <c r="G224" t="s">
        <v>770</v>
      </c>
      <c r="H224" t="s">
        <v>100</v>
      </c>
      <c r="I224">
        <v>35875</v>
      </c>
      <c r="J224" s="9">
        <v>165000</v>
      </c>
      <c r="K224" s="10">
        <v>0.21740000000000001</v>
      </c>
      <c r="L224" s="11">
        <v>4.5993031358885021</v>
      </c>
      <c r="M224" t="s">
        <v>13</v>
      </c>
      <c r="N224" t="s">
        <v>445</v>
      </c>
    </row>
    <row r="225" spans="1:14" x14ac:dyDescent="0.35">
      <c r="A225">
        <v>20513</v>
      </c>
      <c r="B225" s="3">
        <v>44266</v>
      </c>
      <c r="C225" t="s">
        <v>471</v>
      </c>
      <c r="D225">
        <v>2021</v>
      </c>
      <c r="E225" t="s">
        <v>472</v>
      </c>
      <c r="F225" t="s">
        <v>146</v>
      </c>
      <c r="G225" t="s">
        <v>757</v>
      </c>
      <c r="H225" t="s">
        <v>147</v>
      </c>
      <c r="I225">
        <v>97580</v>
      </c>
      <c r="J225" s="9">
        <v>163300</v>
      </c>
      <c r="K225">
        <v>0.59750000000000003</v>
      </c>
      <c r="L225">
        <v>1.673498667759787</v>
      </c>
      <c r="M225" t="s">
        <v>13</v>
      </c>
      <c r="N225" t="s">
        <v>446</v>
      </c>
    </row>
    <row r="226" spans="1:14" x14ac:dyDescent="0.35">
      <c r="A226">
        <v>100533</v>
      </c>
      <c r="B226" s="3">
        <v>40723</v>
      </c>
      <c r="C226" t="s">
        <v>454</v>
      </c>
      <c r="D226">
        <v>2011</v>
      </c>
      <c r="E226" t="s">
        <v>511</v>
      </c>
      <c r="F226" t="s">
        <v>56</v>
      </c>
      <c r="G226" t="s">
        <v>758</v>
      </c>
      <c r="H226" t="s">
        <v>316</v>
      </c>
      <c r="I226">
        <v>146800</v>
      </c>
      <c r="J226" s="9">
        <v>162800</v>
      </c>
      <c r="K226">
        <v>0.90171990199999996</v>
      </c>
      <c r="L226">
        <v>1.1089918256130791</v>
      </c>
      <c r="M226" t="s">
        <v>16</v>
      </c>
      <c r="N226" t="s">
        <v>446</v>
      </c>
    </row>
    <row r="227" spans="1:14" x14ac:dyDescent="0.35">
      <c r="A227">
        <v>90163</v>
      </c>
      <c r="B227" s="3">
        <v>40141</v>
      </c>
      <c r="C227" t="s">
        <v>475</v>
      </c>
      <c r="D227">
        <v>2009</v>
      </c>
      <c r="E227" t="s">
        <v>498</v>
      </c>
      <c r="F227" t="s">
        <v>192</v>
      </c>
      <c r="G227" t="s">
        <v>759</v>
      </c>
      <c r="H227" t="s">
        <v>338</v>
      </c>
      <c r="I227">
        <v>105000</v>
      </c>
      <c r="J227" s="9">
        <v>161000</v>
      </c>
      <c r="K227">
        <v>0.65217391300000005</v>
      </c>
      <c r="L227">
        <v>1.5333333333333334</v>
      </c>
      <c r="M227" t="s">
        <v>16</v>
      </c>
      <c r="N227" t="s">
        <v>446</v>
      </c>
    </row>
    <row r="228" spans="1:14" x14ac:dyDescent="0.35">
      <c r="A228">
        <v>10113</v>
      </c>
      <c r="B228" s="3">
        <v>40534</v>
      </c>
      <c r="C228" t="s">
        <v>450</v>
      </c>
      <c r="D228">
        <v>2010</v>
      </c>
      <c r="E228" t="s">
        <v>512</v>
      </c>
      <c r="F228" t="s">
        <v>83</v>
      </c>
      <c r="G228" t="s">
        <v>756</v>
      </c>
      <c r="H228" t="s">
        <v>310</v>
      </c>
      <c r="I228">
        <v>119400</v>
      </c>
      <c r="J228" s="9">
        <v>161000</v>
      </c>
      <c r="K228">
        <v>0.74161490699999999</v>
      </c>
      <c r="L228">
        <v>1.3484087102177555</v>
      </c>
      <c r="M228" t="s">
        <v>16</v>
      </c>
      <c r="N228" t="s">
        <v>446</v>
      </c>
    </row>
    <row r="229" spans="1:14" x14ac:dyDescent="0.35">
      <c r="A229">
        <v>200991</v>
      </c>
      <c r="B229" s="3">
        <v>44385</v>
      </c>
      <c r="C229" t="s">
        <v>458</v>
      </c>
      <c r="D229">
        <v>2021</v>
      </c>
      <c r="E229" t="s">
        <v>459</v>
      </c>
      <c r="F229" t="s">
        <v>117</v>
      </c>
      <c r="G229" t="s">
        <v>765</v>
      </c>
      <c r="H229" t="s">
        <v>120</v>
      </c>
      <c r="I229">
        <v>104300</v>
      </c>
      <c r="J229" s="9">
        <v>160000</v>
      </c>
      <c r="K229">
        <v>0.65180000000000005</v>
      </c>
      <c r="L229">
        <v>1.5340364333652925</v>
      </c>
      <c r="M229" t="s">
        <v>13</v>
      </c>
      <c r="N229" t="s">
        <v>446</v>
      </c>
    </row>
    <row r="230" spans="1:14" x14ac:dyDescent="0.35">
      <c r="A230">
        <v>20000050</v>
      </c>
      <c r="B230" s="3">
        <v>44140</v>
      </c>
      <c r="C230" t="s">
        <v>475</v>
      </c>
      <c r="D230">
        <v>2020</v>
      </c>
      <c r="E230" t="s">
        <v>476</v>
      </c>
      <c r="F230" t="s">
        <v>37</v>
      </c>
      <c r="G230" t="s">
        <v>766</v>
      </c>
      <c r="H230" t="s">
        <v>38</v>
      </c>
      <c r="I230">
        <v>105110</v>
      </c>
      <c r="J230" s="9">
        <v>160000</v>
      </c>
      <c r="K230">
        <v>0.65693749999999995</v>
      </c>
      <c r="L230">
        <v>1.5222148225668348</v>
      </c>
      <c r="M230" t="s">
        <v>13</v>
      </c>
      <c r="N230" t="s">
        <v>446</v>
      </c>
    </row>
    <row r="231" spans="1:14" x14ac:dyDescent="0.35">
      <c r="A231">
        <v>80588</v>
      </c>
      <c r="B231" s="3">
        <v>40015</v>
      </c>
      <c r="C231" t="s">
        <v>458</v>
      </c>
      <c r="D231">
        <v>2009</v>
      </c>
      <c r="E231" t="s">
        <v>513</v>
      </c>
      <c r="F231" t="s">
        <v>56</v>
      </c>
      <c r="G231" t="s">
        <v>758</v>
      </c>
      <c r="H231" t="s">
        <v>293</v>
      </c>
      <c r="I231">
        <v>125900</v>
      </c>
      <c r="J231" s="9">
        <v>160000</v>
      </c>
      <c r="K231">
        <v>0.78687499999999999</v>
      </c>
      <c r="L231">
        <v>1.2708498808578237</v>
      </c>
      <c r="M231" t="s">
        <v>16</v>
      </c>
      <c r="N231" t="s">
        <v>446</v>
      </c>
    </row>
    <row r="232" spans="1:14" x14ac:dyDescent="0.35">
      <c r="A232">
        <v>70130</v>
      </c>
      <c r="B232" s="3">
        <v>39689</v>
      </c>
      <c r="C232" t="s">
        <v>462</v>
      </c>
      <c r="D232">
        <v>2008</v>
      </c>
      <c r="E232" t="s">
        <v>514</v>
      </c>
      <c r="F232" t="s">
        <v>119</v>
      </c>
      <c r="G232" t="s">
        <v>764</v>
      </c>
      <c r="H232" t="s">
        <v>430</v>
      </c>
      <c r="I232">
        <v>91700</v>
      </c>
      <c r="J232" s="9">
        <v>157000</v>
      </c>
      <c r="K232">
        <v>0.58407643300000001</v>
      </c>
      <c r="L232">
        <v>1.7121046892039258</v>
      </c>
      <c r="M232" t="s">
        <v>16</v>
      </c>
      <c r="N232" t="s">
        <v>446</v>
      </c>
    </row>
    <row r="233" spans="1:14" x14ac:dyDescent="0.35">
      <c r="A233">
        <v>180207</v>
      </c>
      <c r="B233" s="3">
        <v>43523</v>
      </c>
      <c r="C233" t="s">
        <v>460</v>
      </c>
      <c r="D233">
        <v>2019</v>
      </c>
      <c r="E233" t="s">
        <v>515</v>
      </c>
      <c r="F233" t="s">
        <v>29</v>
      </c>
      <c r="G233" t="s">
        <v>766</v>
      </c>
      <c r="H233" t="s">
        <v>405</v>
      </c>
      <c r="I233">
        <v>100800</v>
      </c>
      <c r="J233" s="9">
        <v>156000</v>
      </c>
      <c r="K233">
        <v>0.64615384600000003</v>
      </c>
      <c r="L233">
        <v>1.5476190476190477</v>
      </c>
      <c r="M233" t="s">
        <v>16</v>
      </c>
      <c r="N233" t="s">
        <v>446</v>
      </c>
    </row>
    <row r="234" spans="1:14" x14ac:dyDescent="0.35">
      <c r="A234">
        <v>200032</v>
      </c>
      <c r="B234" s="3">
        <v>44112</v>
      </c>
      <c r="C234" t="s">
        <v>469</v>
      </c>
      <c r="D234">
        <v>2020</v>
      </c>
      <c r="E234" t="s">
        <v>470</v>
      </c>
      <c r="F234" t="s">
        <v>32</v>
      </c>
      <c r="G234" t="s">
        <v>766</v>
      </c>
      <c r="H234" t="s">
        <v>33</v>
      </c>
      <c r="I234">
        <v>94920</v>
      </c>
      <c r="J234" s="9">
        <v>155000</v>
      </c>
      <c r="K234">
        <v>0.61229999999999996</v>
      </c>
      <c r="L234">
        <v>1.6329540665823852</v>
      </c>
      <c r="M234" t="s">
        <v>13</v>
      </c>
      <c r="N234" t="s">
        <v>446</v>
      </c>
    </row>
    <row r="235" spans="1:14" x14ac:dyDescent="0.35">
      <c r="A235">
        <v>161240</v>
      </c>
      <c r="B235" s="3">
        <v>42942</v>
      </c>
      <c r="C235" t="s">
        <v>458</v>
      </c>
      <c r="D235">
        <v>2017</v>
      </c>
      <c r="E235" t="s">
        <v>501</v>
      </c>
      <c r="F235" t="s">
        <v>122</v>
      </c>
      <c r="G235" t="s">
        <v>757</v>
      </c>
      <c r="H235" t="s">
        <v>374</v>
      </c>
      <c r="I235">
        <v>95050</v>
      </c>
      <c r="J235" s="9">
        <v>155000</v>
      </c>
      <c r="K235">
        <v>0.61322580599999998</v>
      </c>
      <c r="L235">
        <v>1.6307206733298265</v>
      </c>
      <c r="M235" t="s">
        <v>16</v>
      </c>
      <c r="N235" t="s">
        <v>446</v>
      </c>
    </row>
    <row r="236" spans="1:14" x14ac:dyDescent="0.35">
      <c r="A236">
        <v>62389</v>
      </c>
      <c r="B236" s="3">
        <v>39318</v>
      </c>
      <c r="C236" t="s">
        <v>462</v>
      </c>
      <c r="D236">
        <v>2007</v>
      </c>
      <c r="E236" t="s">
        <v>516</v>
      </c>
      <c r="F236" t="s">
        <v>282</v>
      </c>
      <c r="G236" t="s">
        <v>766</v>
      </c>
      <c r="H236" t="s">
        <v>289</v>
      </c>
      <c r="I236">
        <v>80521</v>
      </c>
      <c r="J236" s="9">
        <v>154500</v>
      </c>
      <c r="K236">
        <v>0.52117152099999997</v>
      </c>
      <c r="L236">
        <v>1.9187541138336583</v>
      </c>
      <c r="M236" t="s">
        <v>16</v>
      </c>
      <c r="N236" t="s">
        <v>446</v>
      </c>
    </row>
    <row r="237" spans="1:14" x14ac:dyDescent="0.35">
      <c r="A237">
        <v>12323</v>
      </c>
      <c r="B237" s="3">
        <v>41463</v>
      </c>
      <c r="C237" t="s">
        <v>458</v>
      </c>
      <c r="D237">
        <v>2013</v>
      </c>
      <c r="E237" t="s">
        <v>517</v>
      </c>
      <c r="F237" t="s">
        <v>174</v>
      </c>
      <c r="G237" t="s">
        <v>759</v>
      </c>
      <c r="H237" t="s">
        <v>357</v>
      </c>
      <c r="I237">
        <v>126280</v>
      </c>
      <c r="J237" s="9">
        <v>153500</v>
      </c>
      <c r="K237">
        <v>0.82267100999999998</v>
      </c>
      <c r="L237">
        <v>1.2155527399429837</v>
      </c>
      <c r="M237" t="s">
        <v>16</v>
      </c>
      <c r="N237" t="s">
        <v>446</v>
      </c>
    </row>
    <row r="238" spans="1:14" x14ac:dyDescent="0.35">
      <c r="A238">
        <v>190443</v>
      </c>
      <c r="B238" s="3">
        <v>43950</v>
      </c>
      <c r="C238" t="s">
        <v>452</v>
      </c>
      <c r="D238">
        <v>2020</v>
      </c>
      <c r="E238" t="s">
        <v>518</v>
      </c>
      <c r="F238" t="s">
        <v>281</v>
      </c>
      <c r="G238" t="s">
        <v>765</v>
      </c>
      <c r="H238" t="s">
        <v>401</v>
      </c>
      <c r="I238">
        <v>92280</v>
      </c>
      <c r="J238" s="9">
        <v>153000</v>
      </c>
      <c r="K238">
        <v>0.60309999999999997</v>
      </c>
      <c r="L238">
        <v>1.6579973992197659</v>
      </c>
      <c r="M238" t="s">
        <v>16</v>
      </c>
      <c r="N238" t="s">
        <v>446</v>
      </c>
    </row>
    <row r="239" spans="1:14" x14ac:dyDescent="0.35">
      <c r="A239">
        <v>90035</v>
      </c>
      <c r="B239" s="3">
        <v>40148</v>
      </c>
      <c r="C239" t="s">
        <v>450</v>
      </c>
      <c r="D239">
        <v>2009</v>
      </c>
      <c r="E239" t="s">
        <v>494</v>
      </c>
      <c r="F239" t="s">
        <v>321</v>
      </c>
      <c r="G239" t="s">
        <v>759</v>
      </c>
      <c r="H239" t="s">
        <v>331</v>
      </c>
      <c r="I239">
        <v>110700</v>
      </c>
      <c r="J239" s="9">
        <v>151000</v>
      </c>
      <c r="K239">
        <v>0.73311258300000004</v>
      </c>
      <c r="L239">
        <v>1.3640469738030714</v>
      </c>
      <c r="M239" t="s">
        <v>16</v>
      </c>
      <c r="N239" t="s">
        <v>446</v>
      </c>
    </row>
    <row r="240" spans="1:14" x14ac:dyDescent="0.35">
      <c r="A240">
        <v>201777</v>
      </c>
      <c r="B240" s="3">
        <v>44355</v>
      </c>
      <c r="C240" t="s">
        <v>454</v>
      </c>
      <c r="D240">
        <v>2021</v>
      </c>
      <c r="E240" t="s">
        <v>455</v>
      </c>
      <c r="F240" t="s">
        <v>264</v>
      </c>
      <c r="G240" t="s">
        <v>759</v>
      </c>
      <c r="H240" t="s">
        <v>266</v>
      </c>
      <c r="I240">
        <v>36770</v>
      </c>
      <c r="J240" s="9">
        <v>150000</v>
      </c>
      <c r="K240" s="10">
        <v>0.24510000000000001</v>
      </c>
      <c r="L240" s="11">
        <v>4.0794125645906991</v>
      </c>
      <c r="M240" t="s">
        <v>13</v>
      </c>
      <c r="N240" t="s">
        <v>445</v>
      </c>
    </row>
    <row r="241" spans="1:14" x14ac:dyDescent="0.35">
      <c r="A241">
        <v>200285</v>
      </c>
      <c r="B241" s="3">
        <v>44298</v>
      </c>
      <c r="C241" t="s">
        <v>452</v>
      </c>
      <c r="D241">
        <v>2021</v>
      </c>
      <c r="E241" t="s">
        <v>453</v>
      </c>
      <c r="F241" t="s">
        <v>96</v>
      </c>
      <c r="G241" t="s">
        <v>756</v>
      </c>
      <c r="H241" t="s">
        <v>97</v>
      </c>
      <c r="I241">
        <v>77840</v>
      </c>
      <c r="J241" s="9">
        <v>150000</v>
      </c>
      <c r="K241">
        <v>0.51890000000000003</v>
      </c>
      <c r="L241">
        <v>1.9270298047276464</v>
      </c>
      <c r="M241" t="s">
        <v>13</v>
      </c>
      <c r="N241" t="s">
        <v>446</v>
      </c>
    </row>
    <row r="242" spans="1:14" x14ac:dyDescent="0.35">
      <c r="A242">
        <v>201018</v>
      </c>
      <c r="B242" s="3">
        <v>44350</v>
      </c>
      <c r="C242" t="s">
        <v>454</v>
      </c>
      <c r="D242">
        <v>2021</v>
      </c>
      <c r="E242" t="s">
        <v>455</v>
      </c>
      <c r="F242" t="s">
        <v>56</v>
      </c>
      <c r="G242" t="s">
        <v>758</v>
      </c>
      <c r="H242" t="s">
        <v>416</v>
      </c>
      <c r="I242">
        <v>136900</v>
      </c>
      <c r="J242" s="9">
        <v>150000</v>
      </c>
      <c r="K242">
        <v>0.91259999999999997</v>
      </c>
      <c r="L242">
        <v>1.0956902848794741</v>
      </c>
      <c r="M242" t="s">
        <v>13</v>
      </c>
      <c r="N242" t="s">
        <v>446</v>
      </c>
    </row>
    <row r="243" spans="1:14" x14ac:dyDescent="0.35">
      <c r="A243">
        <v>200230</v>
      </c>
      <c r="B243" s="3">
        <v>44312</v>
      </c>
      <c r="C243" t="s">
        <v>452</v>
      </c>
      <c r="D243">
        <v>2021</v>
      </c>
      <c r="E243" t="s">
        <v>453</v>
      </c>
      <c r="F243" t="s">
        <v>109</v>
      </c>
      <c r="G243" t="s">
        <v>767</v>
      </c>
      <c r="H243" t="s">
        <v>110</v>
      </c>
      <c r="I243">
        <v>143220</v>
      </c>
      <c r="J243" s="9">
        <v>150000</v>
      </c>
      <c r="K243">
        <v>0.95479999999999998</v>
      </c>
      <c r="L243">
        <v>1.0473397570171763</v>
      </c>
      <c r="M243" t="s">
        <v>103</v>
      </c>
      <c r="N243" t="s">
        <v>446</v>
      </c>
    </row>
    <row r="244" spans="1:14" x14ac:dyDescent="0.35">
      <c r="A244">
        <v>90347</v>
      </c>
      <c r="B244" s="3">
        <v>40177</v>
      </c>
      <c r="C244" t="s">
        <v>450</v>
      </c>
      <c r="D244">
        <v>2009</v>
      </c>
      <c r="E244" t="s">
        <v>494</v>
      </c>
      <c r="F244" t="s">
        <v>264</v>
      </c>
      <c r="G244" t="s">
        <v>759</v>
      </c>
      <c r="H244" t="s">
        <v>348</v>
      </c>
      <c r="I244">
        <v>87700</v>
      </c>
      <c r="J244" s="9">
        <v>149850</v>
      </c>
      <c r="K244">
        <v>0.58525191899999995</v>
      </c>
      <c r="L244">
        <v>1.7086659064994298</v>
      </c>
      <c r="M244" t="s">
        <v>16</v>
      </c>
      <c r="N244" t="s">
        <v>446</v>
      </c>
    </row>
    <row r="245" spans="1:14" x14ac:dyDescent="0.35">
      <c r="A245">
        <v>90832</v>
      </c>
      <c r="B245" s="3">
        <v>40359</v>
      </c>
      <c r="C245" t="s">
        <v>454</v>
      </c>
      <c r="D245">
        <v>2010</v>
      </c>
      <c r="E245" t="s">
        <v>491</v>
      </c>
      <c r="F245" t="s">
        <v>159</v>
      </c>
      <c r="G245" t="s">
        <v>757</v>
      </c>
      <c r="H245" t="s">
        <v>332</v>
      </c>
      <c r="I245">
        <v>99960</v>
      </c>
      <c r="J245" s="9">
        <v>146000</v>
      </c>
      <c r="K245">
        <v>0.68465753399999996</v>
      </c>
      <c r="L245">
        <v>1.4605842336934773</v>
      </c>
      <c r="M245" t="s">
        <v>16</v>
      </c>
      <c r="N245" t="s">
        <v>446</v>
      </c>
    </row>
    <row r="246" spans="1:14" x14ac:dyDescent="0.35">
      <c r="A246">
        <v>150007</v>
      </c>
      <c r="B246" s="3">
        <v>42305</v>
      </c>
      <c r="C246" t="s">
        <v>469</v>
      </c>
      <c r="D246">
        <v>2015</v>
      </c>
      <c r="E246" t="s">
        <v>519</v>
      </c>
      <c r="F246" t="s">
        <v>285</v>
      </c>
      <c r="G246" t="s">
        <v>760</v>
      </c>
      <c r="H246" t="s">
        <v>362</v>
      </c>
      <c r="I246">
        <v>100900</v>
      </c>
      <c r="J246" s="9">
        <v>144900</v>
      </c>
      <c r="K246">
        <v>0.69634230500000005</v>
      </c>
      <c r="L246">
        <v>1.4360753221010902</v>
      </c>
      <c r="M246" t="s">
        <v>16</v>
      </c>
      <c r="N246" t="s">
        <v>446</v>
      </c>
    </row>
    <row r="247" spans="1:14" x14ac:dyDescent="0.35">
      <c r="A247">
        <v>100020</v>
      </c>
      <c r="B247" s="3">
        <v>40473</v>
      </c>
      <c r="C247" t="s">
        <v>469</v>
      </c>
      <c r="D247">
        <v>2010</v>
      </c>
      <c r="E247" t="s">
        <v>489</v>
      </c>
      <c r="F247" t="s">
        <v>29</v>
      </c>
      <c r="G247" t="s">
        <v>766</v>
      </c>
      <c r="H247" t="s">
        <v>342</v>
      </c>
      <c r="I247">
        <v>123700</v>
      </c>
      <c r="J247" s="9">
        <v>143800</v>
      </c>
      <c r="K247">
        <v>0.86022253100000001</v>
      </c>
      <c r="L247">
        <v>1.1624898949070332</v>
      </c>
      <c r="M247" t="s">
        <v>16</v>
      </c>
      <c r="N247" t="s">
        <v>446</v>
      </c>
    </row>
    <row r="248" spans="1:14" x14ac:dyDescent="0.35">
      <c r="A248">
        <v>60190</v>
      </c>
      <c r="B248" s="3">
        <v>39062</v>
      </c>
      <c r="C248" t="s">
        <v>450</v>
      </c>
      <c r="D248">
        <v>2006</v>
      </c>
      <c r="E248" t="s">
        <v>520</v>
      </c>
      <c r="F248" t="s">
        <v>283</v>
      </c>
      <c r="G248" t="s">
        <v>759</v>
      </c>
      <c r="H248" t="s">
        <v>288</v>
      </c>
      <c r="I248">
        <v>78260</v>
      </c>
      <c r="J248" s="9">
        <v>143000</v>
      </c>
      <c r="K248">
        <v>0.54727272699999996</v>
      </c>
      <c r="L248">
        <v>1.8272425249169435</v>
      </c>
      <c r="M248" t="s">
        <v>16</v>
      </c>
      <c r="N248" t="s">
        <v>446</v>
      </c>
    </row>
    <row r="249" spans="1:14" x14ac:dyDescent="0.35">
      <c r="A249">
        <v>9347</v>
      </c>
      <c r="B249" s="3">
        <v>40232</v>
      </c>
      <c r="C249" t="s">
        <v>460</v>
      </c>
      <c r="D249">
        <v>2010</v>
      </c>
      <c r="E249" t="s">
        <v>521</v>
      </c>
      <c r="F249" t="s">
        <v>125</v>
      </c>
      <c r="G249" t="s">
        <v>765</v>
      </c>
      <c r="H249" t="s">
        <v>344</v>
      </c>
      <c r="I249">
        <v>93050</v>
      </c>
      <c r="J249" s="9">
        <v>143000</v>
      </c>
      <c r="K249">
        <v>0.65069930099999995</v>
      </c>
      <c r="L249">
        <v>1.5368081676518002</v>
      </c>
      <c r="M249" t="s">
        <v>16</v>
      </c>
      <c r="N249" t="s">
        <v>446</v>
      </c>
    </row>
    <row r="250" spans="1:14" x14ac:dyDescent="0.35">
      <c r="A250">
        <v>17141</v>
      </c>
      <c r="B250" s="3">
        <v>43069</v>
      </c>
      <c r="C250" t="s">
        <v>475</v>
      </c>
      <c r="D250">
        <v>2017</v>
      </c>
      <c r="E250" t="s">
        <v>510</v>
      </c>
      <c r="F250" t="s">
        <v>174</v>
      </c>
      <c r="G250" t="s">
        <v>759</v>
      </c>
      <c r="H250" t="s">
        <v>407</v>
      </c>
      <c r="I250">
        <v>119630</v>
      </c>
      <c r="J250" s="9">
        <v>142650</v>
      </c>
      <c r="K250">
        <v>0.83860000000000001</v>
      </c>
      <c r="L250">
        <v>1.1924266488339046</v>
      </c>
      <c r="M250" t="s">
        <v>16</v>
      </c>
      <c r="N250" t="s">
        <v>446</v>
      </c>
    </row>
    <row r="251" spans="1:14" x14ac:dyDescent="0.35">
      <c r="A251">
        <v>200375</v>
      </c>
      <c r="B251" s="3">
        <v>44292</v>
      </c>
      <c r="C251" t="s">
        <v>452</v>
      </c>
      <c r="D251">
        <v>2021</v>
      </c>
      <c r="E251" t="s">
        <v>453</v>
      </c>
      <c r="F251" t="s">
        <v>66</v>
      </c>
      <c r="G251" t="s">
        <v>760</v>
      </c>
      <c r="H251" t="s">
        <v>417</v>
      </c>
      <c r="I251">
        <v>76960</v>
      </c>
      <c r="J251" s="9">
        <v>140000</v>
      </c>
      <c r="K251">
        <v>0.54969999999999997</v>
      </c>
      <c r="L251">
        <v>1.8191268191268191</v>
      </c>
      <c r="M251" t="s">
        <v>13</v>
      </c>
      <c r="N251" t="s">
        <v>446</v>
      </c>
    </row>
    <row r="252" spans="1:14" x14ac:dyDescent="0.35">
      <c r="A252">
        <v>14332</v>
      </c>
      <c r="B252" s="3">
        <v>42179</v>
      </c>
      <c r="C252" t="s">
        <v>454</v>
      </c>
      <c r="D252">
        <v>2015</v>
      </c>
      <c r="E252" t="s">
        <v>480</v>
      </c>
      <c r="F252" t="s">
        <v>182</v>
      </c>
      <c r="G252" t="s">
        <v>757</v>
      </c>
      <c r="H252" t="s">
        <v>360</v>
      </c>
      <c r="I252">
        <v>107520</v>
      </c>
      <c r="J252" s="9">
        <v>140000</v>
      </c>
      <c r="K252">
        <v>0.76800000000000002</v>
      </c>
      <c r="L252">
        <v>1.3020833333333333</v>
      </c>
      <c r="M252" t="s">
        <v>16</v>
      </c>
      <c r="N252" t="s">
        <v>446</v>
      </c>
    </row>
    <row r="253" spans="1:14" x14ac:dyDescent="0.35">
      <c r="A253">
        <v>202250</v>
      </c>
      <c r="B253" s="3">
        <v>44417</v>
      </c>
      <c r="C253" t="s">
        <v>462</v>
      </c>
      <c r="D253">
        <v>2021</v>
      </c>
      <c r="E253" t="s">
        <v>463</v>
      </c>
      <c r="F253" t="s">
        <v>264</v>
      </c>
      <c r="G253" t="s">
        <v>759</v>
      </c>
      <c r="H253" t="s">
        <v>267</v>
      </c>
      <c r="I253">
        <v>63100</v>
      </c>
      <c r="J253" s="9">
        <v>139900</v>
      </c>
      <c r="K253" s="10">
        <v>0.45100000000000001</v>
      </c>
      <c r="L253" s="11">
        <v>2.2171156893819335</v>
      </c>
      <c r="M253" t="s">
        <v>13</v>
      </c>
      <c r="N253" t="s">
        <v>445</v>
      </c>
    </row>
    <row r="254" spans="1:14" x14ac:dyDescent="0.35">
      <c r="A254">
        <v>150498</v>
      </c>
      <c r="B254" s="3">
        <v>42492</v>
      </c>
      <c r="C254" t="s">
        <v>456</v>
      </c>
      <c r="D254">
        <v>2016</v>
      </c>
      <c r="E254" t="s">
        <v>482</v>
      </c>
      <c r="F254" t="s">
        <v>125</v>
      </c>
      <c r="G254" t="s">
        <v>765</v>
      </c>
      <c r="H254" t="s">
        <v>363</v>
      </c>
      <c r="I254">
        <v>94570</v>
      </c>
      <c r="J254" s="9">
        <v>135000</v>
      </c>
      <c r="K254">
        <v>0.70051851899999995</v>
      </c>
      <c r="L254">
        <v>1.4275140107856614</v>
      </c>
      <c r="M254" t="s">
        <v>16</v>
      </c>
      <c r="N254" t="s">
        <v>446</v>
      </c>
    </row>
    <row r="255" spans="1:14" x14ac:dyDescent="0.35">
      <c r="A255">
        <v>13105</v>
      </c>
      <c r="B255" s="3">
        <v>41709</v>
      </c>
      <c r="C255" t="s">
        <v>471</v>
      </c>
      <c r="D255">
        <v>2014</v>
      </c>
      <c r="E255" t="s">
        <v>522</v>
      </c>
      <c r="F255" t="s">
        <v>27</v>
      </c>
      <c r="G255" t="s">
        <v>766</v>
      </c>
      <c r="H255" t="s">
        <v>353</v>
      </c>
      <c r="I255">
        <v>124460</v>
      </c>
      <c r="J255" s="9">
        <v>133000</v>
      </c>
      <c r="K255">
        <v>0.93578947400000001</v>
      </c>
      <c r="L255">
        <v>1.0686164229471316</v>
      </c>
      <c r="M255" t="s">
        <v>16</v>
      </c>
      <c r="N255" t="s">
        <v>446</v>
      </c>
    </row>
    <row r="256" spans="1:14" x14ac:dyDescent="0.35">
      <c r="A256">
        <v>200436</v>
      </c>
      <c r="B256" s="3">
        <v>44320</v>
      </c>
      <c r="C256" t="s">
        <v>456</v>
      </c>
      <c r="D256">
        <v>2021</v>
      </c>
      <c r="E256" t="s">
        <v>466</v>
      </c>
      <c r="F256" t="s">
        <v>92</v>
      </c>
      <c r="G256" t="s">
        <v>756</v>
      </c>
      <c r="H256" t="s">
        <v>93</v>
      </c>
      <c r="I256">
        <v>71960</v>
      </c>
      <c r="J256" s="9">
        <v>130000</v>
      </c>
      <c r="K256">
        <v>0.55349999999999999</v>
      </c>
      <c r="L256">
        <v>1.8065591995553085</v>
      </c>
      <c r="M256" t="s">
        <v>13</v>
      </c>
      <c r="N256" t="s">
        <v>446</v>
      </c>
    </row>
    <row r="257" spans="1:14" x14ac:dyDescent="0.35">
      <c r="A257">
        <v>200377</v>
      </c>
      <c r="B257" s="3">
        <v>44344</v>
      </c>
      <c r="C257" t="s">
        <v>456</v>
      </c>
      <c r="D257">
        <v>2021</v>
      </c>
      <c r="E257" t="s">
        <v>466</v>
      </c>
      <c r="F257" t="s">
        <v>210</v>
      </c>
      <c r="G257" t="s">
        <v>762</v>
      </c>
      <c r="H257" t="s">
        <v>212</v>
      </c>
      <c r="I257">
        <v>80010</v>
      </c>
      <c r="J257" s="9">
        <v>130000</v>
      </c>
      <c r="K257">
        <v>0.61539999999999995</v>
      </c>
      <c r="L257">
        <v>1.6247969003874516</v>
      </c>
      <c r="M257" t="s">
        <v>13</v>
      </c>
      <c r="N257" t="s">
        <v>446</v>
      </c>
    </row>
    <row r="258" spans="1:14" x14ac:dyDescent="0.35">
      <c r="A258">
        <v>90097</v>
      </c>
      <c r="B258" s="3">
        <v>40332</v>
      </c>
      <c r="C258" t="s">
        <v>454</v>
      </c>
      <c r="D258">
        <v>2010</v>
      </c>
      <c r="E258" t="s">
        <v>491</v>
      </c>
      <c r="F258" t="s">
        <v>321</v>
      </c>
      <c r="G258" t="s">
        <v>759</v>
      </c>
      <c r="H258" t="s">
        <v>322</v>
      </c>
      <c r="I258">
        <v>126200</v>
      </c>
      <c r="J258" s="9">
        <v>130000</v>
      </c>
      <c r="K258">
        <v>0.97076923100000001</v>
      </c>
      <c r="L258">
        <v>1.0301109350237718</v>
      </c>
      <c r="M258" t="s">
        <v>16</v>
      </c>
      <c r="N258" t="s">
        <v>446</v>
      </c>
    </row>
    <row r="259" spans="1:14" x14ac:dyDescent="0.35">
      <c r="A259">
        <v>140129</v>
      </c>
      <c r="B259" s="3">
        <v>42198</v>
      </c>
      <c r="C259" t="s">
        <v>458</v>
      </c>
      <c r="D259">
        <v>2015</v>
      </c>
      <c r="E259" t="s">
        <v>523</v>
      </c>
      <c r="F259" t="s">
        <v>306</v>
      </c>
      <c r="G259" t="s">
        <v>757</v>
      </c>
      <c r="H259" t="s">
        <v>361</v>
      </c>
      <c r="I259">
        <v>88000</v>
      </c>
      <c r="J259" s="9">
        <v>128866</v>
      </c>
      <c r="K259">
        <v>0.68287989100000002</v>
      </c>
      <c r="L259">
        <v>1.4643863636363637</v>
      </c>
      <c r="M259" t="s">
        <v>16</v>
      </c>
      <c r="N259" t="s">
        <v>446</v>
      </c>
    </row>
    <row r="260" spans="1:14" x14ac:dyDescent="0.35">
      <c r="A260">
        <v>20273</v>
      </c>
      <c r="B260" s="3">
        <v>44207</v>
      </c>
      <c r="C260" t="s">
        <v>464</v>
      </c>
      <c r="D260">
        <v>2021</v>
      </c>
      <c r="E260" t="s">
        <v>465</v>
      </c>
      <c r="F260" t="s">
        <v>142</v>
      </c>
      <c r="G260" t="s">
        <v>754</v>
      </c>
      <c r="H260" t="s">
        <v>199</v>
      </c>
      <c r="I260">
        <v>89810</v>
      </c>
      <c r="J260" s="9">
        <v>128300</v>
      </c>
      <c r="K260">
        <v>0.7</v>
      </c>
      <c r="L260">
        <v>1.4285714285714286</v>
      </c>
      <c r="M260" t="s">
        <v>13</v>
      </c>
      <c r="N260" t="s">
        <v>446</v>
      </c>
    </row>
    <row r="261" spans="1:14" x14ac:dyDescent="0.35">
      <c r="A261">
        <v>900152</v>
      </c>
      <c r="B261" s="3">
        <v>40301</v>
      </c>
      <c r="C261" t="s">
        <v>456</v>
      </c>
      <c r="D261">
        <v>2010</v>
      </c>
      <c r="E261" t="s">
        <v>478</v>
      </c>
      <c r="F261" t="s">
        <v>200</v>
      </c>
      <c r="G261" t="s">
        <v>754</v>
      </c>
      <c r="H261" t="s">
        <v>314</v>
      </c>
      <c r="I261">
        <v>88620</v>
      </c>
      <c r="J261" s="9">
        <v>127000</v>
      </c>
      <c r="K261">
        <v>0.69779527600000002</v>
      </c>
      <c r="L261">
        <v>1.4330850823741819</v>
      </c>
      <c r="M261" t="s">
        <v>16</v>
      </c>
      <c r="N261" t="s">
        <v>446</v>
      </c>
    </row>
    <row r="262" spans="1:14" x14ac:dyDescent="0.35">
      <c r="A262">
        <v>160624</v>
      </c>
      <c r="B262" s="3">
        <v>42964</v>
      </c>
      <c r="C262" t="s">
        <v>462</v>
      </c>
      <c r="D262">
        <v>2017</v>
      </c>
      <c r="E262" t="s">
        <v>503</v>
      </c>
      <c r="F262" t="s">
        <v>133</v>
      </c>
      <c r="G262" t="s">
        <v>757</v>
      </c>
      <c r="H262" t="s">
        <v>367</v>
      </c>
      <c r="I262">
        <v>96100</v>
      </c>
      <c r="J262" s="9">
        <v>125500</v>
      </c>
      <c r="K262">
        <v>0.76573705199999997</v>
      </c>
      <c r="L262">
        <v>1.3059313215400625</v>
      </c>
      <c r="M262" t="s">
        <v>16</v>
      </c>
      <c r="N262" t="s">
        <v>446</v>
      </c>
    </row>
    <row r="263" spans="1:14" x14ac:dyDescent="0.35">
      <c r="A263">
        <v>160521</v>
      </c>
      <c r="B263" s="3">
        <v>42916</v>
      </c>
      <c r="C263" t="s">
        <v>454</v>
      </c>
      <c r="D263">
        <v>2017</v>
      </c>
      <c r="E263" t="s">
        <v>467</v>
      </c>
      <c r="F263" t="s">
        <v>139</v>
      </c>
      <c r="G263" t="s">
        <v>763</v>
      </c>
      <c r="H263" t="s">
        <v>369</v>
      </c>
      <c r="I263">
        <v>88000</v>
      </c>
      <c r="J263" s="9">
        <v>125000</v>
      </c>
      <c r="K263">
        <v>0.70399999999999996</v>
      </c>
      <c r="L263">
        <v>1.4204545454545454</v>
      </c>
      <c r="M263" t="s">
        <v>16</v>
      </c>
      <c r="N263" t="s">
        <v>446</v>
      </c>
    </row>
    <row r="264" spans="1:14" x14ac:dyDescent="0.35">
      <c r="A264">
        <v>130523</v>
      </c>
      <c r="B264" s="3">
        <v>41908</v>
      </c>
      <c r="C264" t="s">
        <v>473</v>
      </c>
      <c r="D264">
        <v>2014</v>
      </c>
      <c r="E264" t="s">
        <v>481</v>
      </c>
      <c r="F264" t="s">
        <v>73</v>
      </c>
      <c r="G264" t="s">
        <v>760</v>
      </c>
      <c r="H264" t="s">
        <v>354</v>
      </c>
      <c r="I264">
        <v>97940</v>
      </c>
      <c r="J264" s="9">
        <v>125000</v>
      </c>
      <c r="K264">
        <v>0.78351999999999999</v>
      </c>
      <c r="L264">
        <v>1.2762916071063917</v>
      </c>
      <c r="M264" t="s">
        <v>16</v>
      </c>
      <c r="N264" t="s">
        <v>446</v>
      </c>
    </row>
    <row r="265" spans="1:14" x14ac:dyDescent="0.35">
      <c r="A265">
        <v>160010</v>
      </c>
      <c r="B265" s="3">
        <v>42656</v>
      </c>
      <c r="C265" t="s">
        <v>469</v>
      </c>
      <c r="D265">
        <v>2016</v>
      </c>
      <c r="E265" t="s">
        <v>524</v>
      </c>
      <c r="F265" t="s">
        <v>200</v>
      </c>
      <c r="G265" t="s">
        <v>754</v>
      </c>
      <c r="H265" t="s">
        <v>370</v>
      </c>
      <c r="I265">
        <v>76930</v>
      </c>
      <c r="J265" s="9">
        <v>124500</v>
      </c>
      <c r="K265">
        <v>0.61791164700000001</v>
      </c>
      <c r="L265">
        <v>1.6183543481086702</v>
      </c>
      <c r="M265" t="s">
        <v>16</v>
      </c>
      <c r="N265" t="s">
        <v>446</v>
      </c>
    </row>
    <row r="266" spans="1:14" x14ac:dyDescent="0.35">
      <c r="A266">
        <v>70133</v>
      </c>
      <c r="B266" s="3">
        <v>39527</v>
      </c>
      <c r="C266" t="s">
        <v>471</v>
      </c>
      <c r="D266">
        <v>2008</v>
      </c>
      <c r="E266" t="s">
        <v>477</v>
      </c>
      <c r="F266" t="s">
        <v>261</v>
      </c>
      <c r="G266" t="s">
        <v>772</v>
      </c>
      <c r="H266" t="s">
        <v>297</v>
      </c>
      <c r="I266">
        <v>92820</v>
      </c>
      <c r="J266" s="9">
        <v>124000</v>
      </c>
      <c r="K266">
        <v>0.74854838700000004</v>
      </c>
      <c r="L266">
        <v>1.3359189829778064</v>
      </c>
      <c r="M266" t="s">
        <v>16</v>
      </c>
      <c r="N266" t="s">
        <v>446</v>
      </c>
    </row>
    <row r="267" spans="1:14" x14ac:dyDescent="0.35">
      <c r="A267">
        <v>200174</v>
      </c>
      <c r="B267" s="3">
        <v>44155</v>
      </c>
      <c r="C267" t="s">
        <v>475</v>
      </c>
      <c r="D267">
        <v>2020</v>
      </c>
      <c r="E267" t="s">
        <v>476</v>
      </c>
      <c r="F267" t="s">
        <v>139</v>
      </c>
      <c r="G267" t="s">
        <v>763</v>
      </c>
      <c r="H267" t="s">
        <v>251</v>
      </c>
      <c r="I267">
        <v>58020</v>
      </c>
      <c r="J267" s="9">
        <v>122500</v>
      </c>
      <c r="K267" s="10">
        <v>0.47360000000000002</v>
      </c>
      <c r="L267" s="11">
        <v>2.1113409169251982</v>
      </c>
      <c r="M267" t="s">
        <v>13</v>
      </c>
      <c r="N267" t="s">
        <v>445</v>
      </c>
    </row>
    <row r="268" spans="1:14" x14ac:dyDescent="0.35">
      <c r="A268">
        <v>160065</v>
      </c>
      <c r="B268" s="3">
        <v>42709</v>
      </c>
      <c r="C268" t="s">
        <v>450</v>
      </c>
      <c r="D268">
        <v>2016</v>
      </c>
      <c r="E268" t="s">
        <v>451</v>
      </c>
      <c r="F268" t="s">
        <v>200</v>
      </c>
      <c r="G268" t="s">
        <v>754</v>
      </c>
      <c r="H268" t="s">
        <v>387</v>
      </c>
      <c r="I268">
        <v>89950</v>
      </c>
      <c r="J268" s="9">
        <v>122500</v>
      </c>
      <c r="K268">
        <v>0.73428571399999998</v>
      </c>
      <c r="L268">
        <v>1.3618677042801557</v>
      </c>
      <c r="M268" t="s">
        <v>16</v>
      </c>
      <c r="N268" t="s">
        <v>446</v>
      </c>
    </row>
    <row r="269" spans="1:14" x14ac:dyDescent="0.35">
      <c r="A269">
        <v>201592</v>
      </c>
      <c r="B269" s="3">
        <v>44328</v>
      </c>
      <c r="C269" t="s">
        <v>456</v>
      </c>
      <c r="D269">
        <v>2021</v>
      </c>
      <c r="E269" t="s">
        <v>466</v>
      </c>
      <c r="F269" t="s">
        <v>264</v>
      </c>
      <c r="G269" t="s">
        <v>759</v>
      </c>
      <c r="H269" t="s">
        <v>265</v>
      </c>
      <c r="I269">
        <v>73860</v>
      </c>
      <c r="J269" s="9">
        <v>122000</v>
      </c>
      <c r="K269">
        <v>0.60540000000000005</v>
      </c>
      <c r="L269">
        <v>1.6517736257784998</v>
      </c>
      <c r="M269" t="s">
        <v>13</v>
      </c>
      <c r="N269" t="s">
        <v>446</v>
      </c>
    </row>
    <row r="270" spans="1:14" x14ac:dyDescent="0.35">
      <c r="A270">
        <v>100226</v>
      </c>
      <c r="B270" s="3">
        <v>40599</v>
      </c>
      <c r="C270" t="s">
        <v>460</v>
      </c>
      <c r="D270">
        <v>2011</v>
      </c>
      <c r="E270" t="s">
        <v>506</v>
      </c>
      <c r="F270" t="s">
        <v>32</v>
      </c>
      <c r="G270" t="s">
        <v>766</v>
      </c>
      <c r="H270" t="s">
        <v>340</v>
      </c>
      <c r="I270">
        <v>93450</v>
      </c>
      <c r="J270" s="9">
        <v>120000</v>
      </c>
      <c r="K270">
        <v>0.77875000000000005</v>
      </c>
      <c r="L270">
        <v>1.2841091492776886</v>
      </c>
      <c r="M270" t="s">
        <v>16</v>
      </c>
      <c r="N270" t="s">
        <v>446</v>
      </c>
    </row>
    <row r="271" spans="1:14" x14ac:dyDescent="0.35">
      <c r="A271">
        <v>100254</v>
      </c>
      <c r="B271" s="3">
        <v>40731</v>
      </c>
      <c r="C271" t="s">
        <v>458</v>
      </c>
      <c r="D271">
        <v>2011</v>
      </c>
      <c r="E271" t="s">
        <v>525</v>
      </c>
      <c r="F271" t="s">
        <v>68</v>
      </c>
      <c r="G271" t="s">
        <v>769</v>
      </c>
      <c r="H271" t="s">
        <v>312</v>
      </c>
      <c r="I271">
        <v>91000</v>
      </c>
      <c r="J271" s="9">
        <v>115000</v>
      </c>
      <c r="K271">
        <v>0.79130434800000005</v>
      </c>
      <c r="L271">
        <v>1.2637362637362637</v>
      </c>
      <c r="M271" t="s">
        <v>16</v>
      </c>
      <c r="N271" t="s">
        <v>446</v>
      </c>
    </row>
    <row r="272" spans="1:14" x14ac:dyDescent="0.35">
      <c r="A272">
        <v>90010</v>
      </c>
      <c r="B272" s="3">
        <v>40105</v>
      </c>
      <c r="C272" t="s">
        <v>469</v>
      </c>
      <c r="D272">
        <v>2009</v>
      </c>
      <c r="E272" t="s">
        <v>493</v>
      </c>
      <c r="F272" t="s">
        <v>193</v>
      </c>
      <c r="G272" t="s">
        <v>764</v>
      </c>
      <c r="H272" t="s">
        <v>317</v>
      </c>
      <c r="I272">
        <v>94260</v>
      </c>
      <c r="J272" s="9">
        <v>115000</v>
      </c>
      <c r="K272">
        <v>0.81965217400000001</v>
      </c>
      <c r="L272">
        <v>1.22002970507108</v>
      </c>
      <c r="M272" t="s">
        <v>16</v>
      </c>
      <c r="N272" t="s">
        <v>446</v>
      </c>
    </row>
    <row r="273" spans="1:14" x14ac:dyDescent="0.35">
      <c r="A273">
        <v>800234</v>
      </c>
      <c r="B273" s="3">
        <v>39967</v>
      </c>
      <c r="C273" t="s">
        <v>454</v>
      </c>
      <c r="D273">
        <v>2009</v>
      </c>
      <c r="E273" t="s">
        <v>526</v>
      </c>
      <c r="F273" t="s">
        <v>68</v>
      </c>
      <c r="G273" t="s">
        <v>769</v>
      </c>
      <c r="H273" t="s">
        <v>304</v>
      </c>
      <c r="I273">
        <v>82250</v>
      </c>
      <c r="J273" s="9">
        <v>112500</v>
      </c>
      <c r="K273">
        <v>0.73111111100000004</v>
      </c>
      <c r="L273">
        <v>1.3677811550151975</v>
      </c>
      <c r="M273" t="s">
        <v>16</v>
      </c>
      <c r="N273" t="s">
        <v>446</v>
      </c>
    </row>
    <row r="274" spans="1:14" x14ac:dyDescent="0.35">
      <c r="A274">
        <v>160444</v>
      </c>
      <c r="B274" s="3">
        <v>42926</v>
      </c>
      <c r="C274" t="s">
        <v>458</v>
      </c>
      <c r="D274">
        <v>2017</v>
      </c>
      <c r="E274" t="s">
        <v>501</v>
      </c>
      <c r="F274" t="s">
        <v>216</v>
      </c>
      <c r="G274" t="s">
        <v>762</v>
      </c>
      <c r="H274" t="s">
        <v>386</v>
      </c>
      <c r="I274">
        <v>58510</v>
      </c>
      <c r="J274" s="9">
        <v>110000</v>
      </c>
      <c r="K274">
        <v>0.53190909099999995</v>
      </c>
      <c r="L274">
        <v>1.8800205093146471</v>
      </c>
      <c r="M274" t="s">
        <v>16</v>
      </c>
      <c r="N274" t="s">
        <v>446</v>
      </c>
    </row>
    <row r="275" spans="1:14" x14ac:dyDescent="0.35">
      <c r="A275">
        <v>180650</v>
      </c>
      <c r="B275" s="3">
        <v>43489</v>
      </c>
      <c r="C275" t="s">
        <v>464</v>
      </c>
      <c r="D275">
        <v>2019</v>
      </c>
      <c r="E275" t="s">
        <v>527</v>
      </c>
      <c r="F275" t="s">
        <v>282</v>
      </c>
      <c r="G275" t="s">
        <v>766</v>
      </c>
      <c r="H275" t="s">
        <v>408</v>
      </c>
      <c r="I275">
        <v>64720</v>
      </c>
      <c r="J275" s="9">
        <v>108000</v>
      </c>
      <c r="K275">
        <v>0.59919999999999995</v>
      </c>
      <c r="L275">
        <v>1.6687268232385661</v>
      </c>
      <c r="M275" t="s">
        <v>16</v>
      </c>
      <c r="N275" t="s">
        <v>446</v>
      </c>
    </row>
    <row r="276" spans="1:14" x14ac:dyDescent="0.35">
      <c r="A276">
        <v>908206</v>
      </c>
      <c r="B276" s="3">
        <v>40431</v>
      </c>
      <c r="C276" t="s">
        <v>473</v>
      </c>
      <c r="D276">
        <v>2010</v>
      </c>
      <c r="E276" t="s">
        <v>486</v>
      </c>
      <c r="F276" t="s">
        <v>174</v>
      </c>
      <c r="G276" t="s">
        <v>759</v>
      </c>
      <c r="H276" t="s">
        <v>350</v>
      </c>
      <c r="I276">
        <v>69020</v>
      </c>
      <c r="J276" s="9">
        <v>107500</v>
      </c>
      <c r="K276">
        <v>0.64204651199999996</v>
      </c>
      <c r="L276">
        <v>1.5575195595479572</v>
      </c>
      <c r="M276" t="s">
        <v>16</v>
      </c>
      <c r="N276" t="s">
        <v>446</v>
      </c>
    </row>
    <row r="277" spans="1:14" x14ac:dyDescent="0.35">
      <c r="A277">
        <v>171321</v>
      </c>
      <c r="B277" s="3">
        <v>43234</v>
      </c>
      <c r="C277" t="s">
        <v>456</v>
      </c>
      <c r="D277">
        <v>2018</v>
      </c>
      <c r="E277" t="s">
        <v>457</v>
      </c>
      <c r="F277" t="s">
        <v>282</v>
      </c>
      <c r="G277" t="s">
        <v>766</v>
      </c>
      <c r="H277" t="s">
        <v>385</v>
      </c>
      <c r="I277">
        <v>59750</v>
      </c>
      <c r="J277" s="9">
        <v>107000</v>
      </c>
      <c r="K277">
        <v>0.55840000000000001</v>
      </c>
      <c r="L277">
        <v>1.7907949790794979</v>
      </c>
      <c r="M277" t="s">
        <v>16</v>
      </c>
      <c r="N277" t="s">
        <v>446</v>
      </c>
    </row>
    <row r="278" spans="1:14" x14ac:dyDescent="0.35">
      <c r="A278">
        <v>200953</v>
      </c>
      <c r="B278" s="3">
        <v>44344</v>
      </c>
      <c r="C278" t="s">
        <v>456</v>
      </c>
      <c r="D278">
        <v>2021</v>
      </c>
      <c r="E278" t="s">
        <v>466</v>
      </c>
      <c r="F278" t="s">
        <v>159</v>
      </c>
      <c r="G278" t="s">
        <v>757</v>
      </c>
      <c r="H278" t="s">
        <v>161</v>
      </c>
      <c r="I278">
        <v>64470</v>
      </c>
      <c r="J278" s="9">
        <v>105000</v>
      </c>
      <c r="K278">
        <v>0.61399999999999999</v>
      </c>
      <c r="L278">
        <v>1.6286644951140066</v>
      </c>
      <c r="M278" t="s">
        <v>13</v>
      </c>
      <c r="N278" t="s">
        <v>446</v>
      </c>
    </row>
    <row r="279" spans="1:14" x14ac:dyDescent="0.35">
      <c r="A279">
        <v>200007</v>
      </c>
      <c r="B279" s="3">
        <v>44106</v>
      </c>
      <c r="C279" t="s">
        <v>469</v>
      </c>
      <c r="D279">
        <v>2020</v>
      </c>
      <c r="E279" t="s">
        <v>470</v>
      </c>
      <c r="F279" t="s">
        <v>219</v>
      </c>
      <c r="G279" t="s">
        <v>762</v>
      </c>
      <c r="H279" t="s">
        <v>220</v>
      </c>
      <c r="I279">
        <v>68300</v>
      </c>
      <c r="J279" s="9">
        <v>105000</v>
      </c>
      <c r="K279">
        <v>0.65039999999999998</v>
      </c>
      <c r="L279">
        <v>1.5373352855051245</v>
      </c>
      <c r="M279" t="s">
        <v>13</v>
      </c>
      <c r="N279" t="s">
        <v>446</v>
      </c>
    </row>
    <row r="280" spans="1:14" x14ac:dyDescent="0.35">
      <c r="A280">
        <v>120151</v>
      </c>
      <c r="B280" s="3">
        <v>41530</v>
      </c>
      <c r="C280" t="s">
        <v>473</v>
      </c>
      <c r="D280">
        <v>2013</v>
      </c>
      <c r="E280" t="s">
        <v>528</v>
      </c>
      <c r="F280" t="s">
        <v>193</v>
      </c>
      <c r="G280" t="s">
        <v>764</v>
      </c>
      <c r="H280" t="s">
        <v>352</v>
      </c>
      <c r="I280">
        <v>76270</v>
      </c>
      <c r="J280" s="9">
        <v>105000</v>
      </c>
      <c r="K280">
        <v>0.72638095199999997</v>
      </c>
      <c r="L280">
        <v>1.3766880818146061</v>
      </c>
      <c r="M280" t="s">
        <v>16</v>
      </c>
      <c r="N280" t="s">
        <v>446</v>
      </c>
    </row>
    <row r="281" spans="1:14" x14ac:dyDescent="0.35">
      <c r="A281">
        <v>160052</v>
      </c>
      <c r="B281" s="3">
        <v>42767</v>
      </c>
      <c r="C281" t="s">
        <v>460</v>
      </c>
      <c r="D281">
        <v>2017</v>
      </c>
      <c r="E281" t="s">
        <v>529</v>
      </c>
      <c r="F281" t="s">
        <v>205</v>
      </c>
      <c r="G281" t="s">
        <v>759</v>
      </c>
      <c r="H281" t="s">
        <v>371</v>
      </c>
      <c r="I281">
        <v>79310</v>
      </c>
      <c r="J281" s="9">
        <v>100000</v>
      </c>
      <c r="K281">
        <v>0.79310000000000003</v>
      </c>
      <c r="L281">
        <v>1.2608750472828143</v>
      </c>
      <c r="M281" t="s">
        <v>16</v>
      </c>
      <c r="N281" t="s">
        <v>446</v>
      </c>
    </row>
    <row r="282" spans="1:14" x14ac:dyDescent="0.35">
      <c r="A282">
        <v>160606</v>
      </c>
      <c r="B282" s="3">
        <v>42934</v>
      </c>
      <c r="C282" t="s">
        <v>458</v>
      </c>
      <c r="D282">
        <v>2017</v>
      </c>
      <c r="E282" t="s">
        <v>501</v>
      </c>
      <c r="F282" t="s">
        <v>280</v>
      </c>
      <c r="G282" t="s">
        <v>762</v>
      </c>
      <c r="H282" t="s">
        <v>388</v>
      </c>
      <c r="I282">
        <v>68800</v>
      </c>
      <c r="J282" s="9">
        <v>95000</v>
      </c>
      <c r="K282">
        <v>0.72421052600000002</v>
      </c>
      <c r="L282">
        <v>1.3808139534883721</v>
      </c>
      <c r="M282" t="s">
        <v>16</v>
      </c>
      <c r="N282" t="s">
        <v>446</v>
      </c>
    </row>
    <row r="283" spans="1:14" x14ac:dyDescent="0.35">
      <c r="A283">
        <v>201212</v>
      </c>
      <c r="B283" s="3">
        <v>44431</v>
      </c>
      <c r="C283" t="s">
        <v>462</v>
      </c>
      <c r="D283">
        <v>2021</v>
      </c>
      <c r="E283" t="s">
        <v>463</v>
      </c>
      <c r="F283" t="s">
        <v>32</v>
      </c>
      <c r="G283" t="s">
        <v>766</v>
      </c>
      <c r="H283" t="s">
        <v>36</v>
      </c>
      <c r="I283">
        <v>88060</v>
      </c>
      <c r="J283" s="9">
        <v>91000</v>
      </c>
      <c r="K283">
        <v>0.96760000000000002</v>
      </c>
      <c r="L283">
        <v>1.0333863275039745</v>
      </c>
      <c r="M283" t="s">
        <v>13</v>
      </c>
      <c r="N283" t="s">
        <v>446</v>
      </c>
    </row>
    <row r="284" spans="1:14" x14ac:dyDescent="0.35">
      <c r="A284">
        <v>2020065</v>
      </c>
      <c r="B284" s="3">
        <v>44185</v>
      </c>
      <c r="C284" t="s">
        <v>450</v>
      </c>
      <c r="D284">
        <v>2020</v>
      </c>
      <c r="E284" t="s">
        <v>468</v>
      </c>
      <c r="F284" t="s">
        <v>138</v>
      </c>
      <c r="G284" t="s">
        <v>763</v>
      </c>
      <c r="H284" t="s">
        <v>248</v>
      </c>
      <c r="I284">
        <v>55200</v>
      </c>
      <c r="J284" s="9">
        <v>90000</v>
      </c>
      <c r="K284">
        <v>0.61329999999999996</v>
      </c>
      <c r="L284">
        <v>1.6304347826086956</v>
      </c>
      <c r="M284" t="s">
        <v>13</v>
      </c>
      <c r="N284" t="s">
        <v>446</v>
      </c>
    </row>
    <row r="285" spans="1:14" x14ac:dyDescent="0.35">
      <c r="A285">
        <v>200377</v>
      </c>
      <c r="B285" s="3">
        <v>44424</v>
      </c>
      <c r="C285" t="s">
        <v>462</v>
      </c>
      <c r="D285">
        <v>2021</v>
      </c>
      <c r="E285" t="s">
        <v>463</v>
      </c>
      <c r="F285" t="s">
        <v>189</v>
      </c>
      <c r="G285" t="s">
        <v>764</v>
      </c>
      <c r="H285" t="s">
        <v>190</v>
      </c>
      <c r="I285">
        <v>41090</v>
      </c>
      <c r="J285" s="9">
        <v>89900</v>
      </c>
      <c r="K285" s="10">
        <v>0.45700000000000002</v>
      </c>
      <c r="L285" s="11">
        <v>2.1878802628376732</v>
      </c>
      <c r="M285" t="s">
        <v>13</v>
      </c>
      <c r="N285" t="s">
        <v>445</v>
      </c>
    </row>
    <row r="286" spans="1:14" x14ac:dyDescent="0.35">
      <c r="A286">
        <v>2020256</v>
      </c>
      <c r="B286" s="3">
        <v>44370</v>
      </c>
      <c r="C286" t="s">
        <v>454</v>
      </c>
      <c r="D286">
        <v>2021</v>
      </c>
      <c r="E286" t="s">
        <v>455</v>
      </c>
      <c r="F286" t="s">
        <v>138</v>
      </c>
      <c r="G286" t="s">
        <v>763</v>
      </c>
      <c r="H286" t="s">
        <v>247</v>
      </c>
      <c r="I286">
        <v>55200</v>
      </c>
      <c r="J286" s="9">
        <v>89900</v>
      </c>
      <c r="K286">
        <v>0.61401557299999998</v>
      </c>
      <c r="L286">
        <v>1.6286231884057971</v>
      </c>
      <c r="M286" t="s">
        <v>13</v>
      </c>
      <c r="N286" t="s">
        <v>446</v>
      </c>
    </row>
    <row r="287" spans="1:14" x14ac:dyDescent="0.35">
      <c r="A287">
        <v>90706</v>
      </c>
      <c r="B287" s="3">
        <v>40360</v>
      </c>
      <c r="C287" t="s">
        <v>458</v>
      </c>
      <c r="D287">
        <v>2010</v>
      </c>
      <c r="E287" t="s">
        <v>530</v>
      </c>
      <c r="F287" t="s">
        <v>192</v>
      </c>
      <c r="G287" t="s">
        <v>759</v>
      </c>
      <c r="H287" t="s">
        <v>345</v>
      </c>
      <c r="I287">
        <v>76500</v>
      </c>
      <c r="J287" s="9">
        <v>86000</v>
      </c>
      <c r="K287">
        <v>0.88953488400000003</v>
      </c>
      <c r="L287">
        <v>1.1241830065359477</v>
      </c>
      <c r="M287" t="s">
        <v>16</v>
      </c>
      <c r="N287" t="s">
        <v>446</v>
      </c>
    </row>
    <row r="288" spans="1:14" x14ac:dyDescent="0.35">
      <c r="A288">
        <v>160697</v>
      </c>
      <c r="B288" s="3">
        <v>42782</v>
      </c>
      <c r="C288" t="s">
        <v>460</v>
      </c>
      <c r="D288">
        <v>2017</v>
      </c>
      <c r="E288" t="s">
        <v>529</v>
      </c>
      <c r="F288" t="s">
        <v>181</v>
      </c>
      <c r="G288" t="s">
        <v>762</v>
      </c>
      <c r="H288" t="s">
        <v>366</v>
      </c>
      <c r="I288">
        <v>47960</v>
      </c>
      <c r="J288" s="9">
        <v>85000</v>
      </c>
      <c r="K288">
        <v>0.56423529400000005</v>
      </c>
      <c r="L288">
        <v>1.7723102585487907</v>
      </c>
      <c r="M288" t="s">
        <v>16</v>
      </c>
      <c r="N288" t="s">
        <v>446</v>
      </c>
    </row>
    <row r="289" spans="1:14" x14ac:dyDescent="0.35">
      <c r="A289">
        <v>160400</v>
      </c>
      <c r="B289" s="3">
        <v>42907</v>
      </c>
      <c r="C289" t="s">
        <v>454</v>
      </c>
      <c r="D289">
        <v>2017</v>
      </c>
      <c r="E289" t="s">
        <v>467</v>
      </c>
      <c r="F289" t="s">
        <v>216</v>
      </c>
      <c r="G289" t="s">
        <v>762</v>
      </c>
      <c r="H289" t="s">
        <v>364</v>
      </c>
      <c r="I289">
        <v>57720</v>
      </c>
      <c r="J289" s="9">
        <v>85000</v>
      </c>
      <c r="K289">
        <v>0.67905882399999995</v>
      </c>
      <c r="L289">
        <v>1.4726264726264726</v>
      </c>
      <c r="M289" t="s">
        <v>16</v>
      </c>
      <c r="N289" t="s">
        <v>446</v>
      </c>
    </row>
    <row r="290" spans="1:14" x14ac:dyDescent="0.35">
      <c r="A290">
        <v>200821</v>
      </c>
      <c r="B290" s="3">
        <v>44343</v>
      </c>
      <c r="C290" t="s">
        <v>456</v>
      </c>
      <c r="D290">
        <v>2021</v>
      </c>
      <c r="E290" t="s">
        <v>466</v>
      </c>
      <c r="F290" t="s">
        <v>125</v>
      </c>
      <c r="G290" t="s">
        <v>765</v>
      </c>
      <c r="H290" t="s">
        <v>127</v>
      </c>
      <c r="I290">
        <v>67270</v>
      </c>
      <c r="J290" s="9">
        <v>82000</v>
      </c>
      <c r="K290">
        <v>0.82030000000000003</v>
      </c>
      <c r="L290">
        <v>1.2189683365541846</v>
      </c>
      <c r="M290" t="s">
        <v>13</v>
      </c>
      <c r="N290" t="s">
        <v>446</v>
      </c>
    </row>
    <row r="291" spans="1:14" x14ac:dyDescent="0.35">
      <c r="A291">
        <v>90111</v>
      </c>
      <c r="B291" s="3">
        <v>40149</v>
      </c>
      <c r="C291" t="s">
        <v>450</v>
      </c>
      <c r="D291">
        <v>2009</v>
      </c>
      <c r="E291" t="s">
        <v>494</v>
      </c>
      <c r="F291" t="s">
        <v>187</v>
      </c>
      <c r="G291" t="s">
        <v>771</v>
      </c>
      <c r="H291" t="s">
        <v>346</v>
      </c>
      <c r="I291">
        <v>62630</v>
      </c>
      <c r="J291" s="9">
        <v>74000</v>
      </c>
      <c r="K291">
        <v>0.84635135100000003</v>
      </c>
      <c r="L291">
        <v>1.1815423918250041</v>
      </c>
      <c r="M291" t="s">
        <v>16</v>
      </c>
      <c r="N291" t="s">
        <v>446</v>
      </c>
    </row>
    <row r="292" spans="1:14" x14ac:dyDescent="0.35">
      <c r="A292">
        <v>200242</v>
      </c>
      <c r="B292" s="3">
        <v>44223</v>
      </c>
      <c r="C292" t="s">
        <v>464</v>
      </c>
      <c r="D292">
        <v>2021</v>
      </c>
      <c r="E292" t="s">
        <v>465</v>
      </c>
      <c r="F292" t="s">
        <v>66</v>
      </c>
      <c r="G292" t="s">
        <v>760</v>
      </c>
      <c r="H292" t="s">
        <v>67</v>
      </c>
      <c r="I292">
        <v>28240</v>
      </c>
      <c r="J292" s="9">
        <v>73000</v>
      </c>
      <c r="K292" s="10">
        <v>0.38684931500000003</v>
      </c>
      <c r="L292" s="11">
        <v>2.5849858356940509</v>
      </c>
      <c r="M292" t="s">
        <v>13</v>
      </c>
      <c r="N292" t="s">
        <v>445</v>
      </c>
    </row>
    <row r="293" spans="1:14" x14ac:dyDescent="0.35">
      <c r="A293">
        <v>91123</v>
      </c>
      <c r="B293" s="3">
        <v>40371</v>
      </c>
      <c r="C293" t="s">
        <v>458</v>
      </c>
      <c r="D293">
        <v>2010</v>
      </c>
      <c r="E293" t="s">
        <v>530</v>
      </c>
      <c r="F293" t="s">
        <v>264</v>
      </c>
      <c r="G293" t="s">
        <v>759</v>
      </c>
      <c r="H293" t="s">
        <v>339</v>
      </c>
      <c r="I293">
        <v>52580</v>
      </c>
      <c r="J293" s="9">
        <v>65000</v>
      </c>
      <c r="K293">
        <v>0.80892307699999999</v>
      </c>
      <c r="L293">
        <v>1.2362114872575123</v>
      </c>
      <c r="M293" t="s">
        <v>16</v>
      </c>
      <c r="N293" t="s">
        <v>446</v>
      </c>
    </row>
    <row r="294" spans="1:14" x14ac:dyDescent="0.35">
      <c r="A294">
        <v>190767</v>
      </c>
      <c r="B294" s="3">
        <v>43892</v>
      </c>
      <c r="C294" t="s">
        <v>471</v>
      </c>
      <c r="D294">
        <v>2020</v>
      </c>
      <c r="E294" t="s">
        <v>531</v>
      </c>
      <c r="F294" t="s">
        <v>264</v>
      </c>
      <c r="G294" t="s">
        <v>759</v>
      </c>
      <c r="H294" t="s">
        <v>402</v>
      </c>
      <c r="I294">
        <v>28490</v>
      </c>
      <c r="J294" s="9">
        <v>61000</v>
      </c>
      <c r="K294" s="10">
        <v>0.46700000000000003</v>
      </c>
      <c r="L294" s="11">
        <v>2.1411021411021411</v>
      </c>
      <c r="M294" t="s">
        <v>16</v>
      </c>
      <c r="N294" t="s">
        <v>445</v>
      </c>
    </row>
    <row r="295" spans="1:14" x14ac:dyDescent="0.35">
      <c r="A295">
        <v>170668</v>
      </c>
      <c r="B295" s="3">
        <v>43131</v>
      </c>
      <c r="C295" t="s">
        <v>464</v>
      </c>
      <c r="D295">
        <v>2018</v>
      </c>
      <c r="E295" t="s">
        <v>532</v>
      </c>
      <c r="F295" t="s">
        <v>282</v>
      </c>
      <c r="G295" t="s">
        <v>766</v>
      </c>
      <c r="H295" t="s">
        <v>373</v>
      </c>
      <c r="I295">
        <v>27570</v>
      </c>
      <c r="J295" s="9">
        <v>59000</v>
      </c>
      <c r="K295" s="10">
        <v>0.4672</v>
      </c>
      <c r="L295" s="11">
        <v>2.1400072542618789</v>
      </c>
      <c r="M295" t="s">
        <v>16</v>
      </c>
      <c r="N295" t="s">
        <v>445</v>
      </c>
    </row>
    <row r="296" spans="1:14" x14ac:dyDescent="0.35">
      <c r="A296">
        <v>160606</v>
      </c>
      <c r="B296" s="3">
        <v>42957</v>
      </c>
      <c r="C296" t="s">
        <v>462</v>
      </c>
      <c r="D296">
        <v>2017</v>
      </c>
      <c r="E296" t="s">
        <v>503</v>
      </c>
      <c r="F296" t="s">
        <v>133</v>
      </c>
      <c r="G296" t="s">
        <v>757</v>
      </c>
      <c r="H296" t="s">
        <v>379</v>
      </c>
      <c r="I296">
        <v>41000</v>
      </c>
      <c r="J296" s="9">
        <v>55000</v>
      </c>
      <c r="K296">
        <v>0.74545454499999997</v>
      </c>
      <c r="L296">
        <v>1.3414634146341464</v>
      </c>
      <c r="M296" t="s">
        <v>16</v>
      </c>
      <c r="N296" t="s">
        <v>446</v>
      </c>
    </row>
    <row r="297" spans="1:14" x14ac:dyDescent="0.35">
      <c r="A297">
        <v>181369</v>
      </c>
      <c r="B297" s="3">
        <v>43623</v>
      </c>
      <c r="C297" t="s">
        <v>454</v>
      </c>
      <c r="D297">
        <v>2019</v>
      </c>
      <c r="E297" t="s">
        <v>533</v>
      </c>
      <c r="F297" t="s">
        <v>282</v>
      </c>
      <c r="G297" t="s">
        <v>766</v>
      </c>
      <c r="H297" t="s">
        <v>406</v>
      </c>
      <c r="I297">
        <v>36950</v>
      </c>
      <c r="J297" s="9">
        <v>52000</v>
      </c>
      <c r="K297">
        <v>0.71050000000000002</v>
      </c>
      <c r="L297">
        <v>1.4073071718538566</v>
      </c>
      <c r="M297" t="s">
        <v>16</v>
      </c>
      <c r="N297" t="s">
        <v>446</v>
      </c>
    </row>
    <row r="298" spans="1:14" x14ac:dyDescent="0.35">
      <c r="A298">
        <v>100418</v>
      </c>
      <c r="B298" s="3">
        <v>40765</v>
      </c>
      <c r="C298" t="s">
        <v>462</v>
      </c>
      <c r="D298">
        <v>2011</v>
      </c>
      <c r="E298" t="s">
        <v>534</v>
      </c>
      <c r="F298" t="s">
        <v>249</v>
      </c>
      <c r="G298" t="s">
        <v>760</v>
      </c>
      <c r="H298" t="s">
        <v>334</v>
      </c>
      <c r="I298">
        <v>38500</v>
      </c>
      <c r="J298" s="9">
        <v>50000</v>
      </c>
      <c r="K298">
        <v>0.77</v>
      </c>
      <c r="L298">
        <v>1.2987012987012987</v>
      </c>
      <c r="M298" t="s">
        <v>16</v>
      </c>
      <c r="N298" t="s">
        <v>446</v>
      </c>
    </row>
    <row r="299" spans="1:14" x14ac:dyDescent="0.35">
      <c r="A299">
        <v>10470</v>
      </c>
      <c r="B299" s="3">
        <v>40700</v>
      </c>
      <c r="C299" t="s">
        <v>454</v>
      </c>
      <c r="D299">
        <v>2011</v>
      </c>
      <c r="E299" t="s">
        <v>511</v>
      </c>
      <c r="F299" t="s">
        <v>98</v>
      </c>
      <c r="G299" t="s">
        <v>770</v>
      </c>
      <c r="H299" t="s">
        <v>329</v>
      </c>
      <c r="I299">
        <v>27874</v>
      </c>
      <c r="J299" s="9">
        <v>42000</v>
      </c>
      <c r="K299">
        <v>0.66366666699999999</v>
      </c>
      <c r="L299">
        <v>1.5067805123053741</v>
      </c>
      <c r="M299" t="s">
        <v>16</v>
      </c>
      <c r="N299" t="s">
        <v>446</v>
      </c>
    </row>
    <row r="300" spans="1:14" x14ac:dyDescent="0.35">
      <c r="A300">
        <v>17568</v>
      </c>
      <c r="B300" s="3">
        <v>43244</v>
      </c>
      <c r="C300" t="s">
        <v>456</v>
      </c>
      <c r="D300">
        <v>2018</v>
      </c>
      <c r="E300" t="s">
        <v>457</v>
      </c>
      <c r="F300" t="s">
        <v>98</v>
      </c>
      <c r="G300" t="s">
        <v>770</v>
      </c>
      <c r="H300" t="s">
        <v>380</v>
      </c>
      <c r="I300">
        <v>11620</v>
      </c>
      <c r="J300" s="9">
        <v>38500</v>
      </c>
      <c r="K300" s="10">
        <v>0.30180000000000001</v>
      </c>
      <c r="L300" s="11">
        <v>3.3132530120481927</v>
      </c>
      <c r="M300" t="s">
        <v>16</v>
      </c>
      <c r="N300" t="s">
        <v>445</v>
      </c>
    </row>
    <row r="301" spans="1:14" x14ac:dyDescent="0.35">
      <c r="A301">
        <v>61464</v>
      </c>
      <c r="B301" s="3">
        <v>39227</v>
      </c>
      <c r="C301" t="s">
        <v>456</v>
      </c>
      <c r="D301">
        <v>2007</v>
      </c>
      <c r="E301" t="s">
        <v>535</v>
      </c>
      <c r="F301" t="s">
        <v>264</v>
      </c>
      <c r="G301" t="s">
        <v>759</v>
      </c>
      <c r="H301" t="s">
        <v>291</v>
      </c>
      <c r="I301">
        <v>14770</v>
      </c>
      <c r="J301" s="9">
        <v>33000</v>
      </c>
      <c r="K301" s="10">
        <v>0.44757575799999999</v>
      </c>
      <c r="L301" s="11">
        <v>2.2342586323628977</v>
      </c>
      <c r="M301" t="s">
        <v>16</v>
      </c>
      <c r="N301" t="s">
        <v>445</v>
      </c>
    </row>
    <row r="302" spans="1:14" x14ac:dyDescent="0.35">
      <c r="A302">
        <v>180558</v>
      </c>
      <c r="B302" s="3">
        <v>43606</v>
      </c>
      <c r="C302" t="s">
        <v>456</v>
      </c>
      <c r="D302">
        <v>2019</v>
      </c>
      <c r="E302" t="s">
        <v>536</v>
      </c>
      <c r="F302" t="s">
        <v>159</v>
      </c>
      <c r="G302" t="s">
        <v>757</v>
      </c>
      <c r="H302" t="s">
        <v>404</v>
      </c>
      <c r="I302">
        <v>28910</v>
      </c>
      <c r="J302" s="9">
        <v>30000</v>
      </c>
      <c r="K302">
        <v>0.96360000000000001</v>
      </c>
      <c r="L302">
        <v>1.0377032168799722</v>
      </c>
      <c r="M302" t="s">
        <v>16</v>
      </c>
      <c r="N302" t="s">
        <v>446</v>
      </c>
    </row>
    <row r="303" spans="1:14" x14ac:dyDescent="0.35">
      <c r="A303">
        <v>2000720</v>
      </c>
      <c r="B303" s="3">
        <v>44201</v>
      </c>
      <c r="C303" t="s">
        <v>464</v>
      </c>
      <c r="D303">
        <v>2021</v>
      </c>
      <c r="E303" t="s">
        <v>465</v>
      </c>
      <c r="F303" t="s">
        <v>181</v>
      </c>
      <c r="G303" t="s">
        <v>762</v>
      </c>
      <c r="H303" t="s">
        <v>221</v>
      </c>
      <c r="I303">
        <v>19110</v>
      </c>
      <c r="J303" s="9">
        <v>27500</v>
      </c>
      <c r="K303">
        <v>0.69489999999999996</v>
      </c>
      <c r="L303">
        <v>1.4390371533228676</v>
      </c>
      <c r="M303" t="s">
        <v>13</v>
      </c>
      <c r="N303" t="s">
        <v>446</v>
      </c>
    </row>
  </sheetData>
  <phoneticPr fontId="4"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85354-73DA-4A9B-9B3F-7A3779312706}">
  <dimension ref="A1:E10"/>
  <sheetViews>
    <sheetView workbookViewId="0">
      <selection activeCell="E5" sqref="E5"/>
    </sheetView>
  </sheetViews>
  <sheetFormatPr defaultRowHeight="14.5" x14ac:dyDescent="0.35"/>
  <cols>
    <col min="1" max="1" width="15" bestFit="1" customWidth="1"/>
    <col min="2" max="2" width="15.26953125" bestFit="1" customWidth="1"/>
    <col min="5" max="5" width="13.81640625" bestFit="1" customWidth="1"/>
  </cols>
  <sheetData>
    <row r="1" spans="1:5" x14ac:dyDescent="0.35">
      <c r="A1" t="s">
        <v>447</v>
      </c>
      <c r="B1" t="s">
        <v>548</v>
      </c>
    </row>
    <row r="2" spans="1:5" x14ac:dyDescent="0.35">
      <c r="A2" t="s">
        <v>458</v>
      </c>
      <c r="B2" s="9">
        <v>18232500</v>
      </c>
    </row>
    <row r="3" spans="1:5" x14ac:dyDescent="0.35">
      <c r="A3" t="s">
        <v>452</v>
      </c>
      <c r="B3" s="9">
        <v>9336250</v>
      </c>
    </row>
    <row r="4" spans="1:5" x14ac:dyDescent="0.35">
      <c r="A4" t="s">
        <v>454</v>
      </c>
      <c r="B4" s="9">
        <v>9113300</v>
      </c>
      <c r="E4" s="14">
        <f ca="1">TODAY()</f>
        <v>46160</v>
      </c>
    </row>
    <row r="5" spans="1:5" x14ac:dyDescent="0.35">
      <c r="A5" t="s">
        <v>473</v>
      </c>
      <c r="B5" s="9">
        <v>9003365</v>
      </c>
      <c r="E5" s="3">
        <f ca="1">NOW()</f>
        <v>46160.980447800925</v>
      </c>
    </row>
    <row r="6" spans="1:5" x14ac:dyDescent="0.35">
      <c r="A6" t="s">
        <v>471</v>
      </c>
      <c r="B6" s="9">
        <v>8519700</v>
      </c>
    </row>
    <row r="7" spans="1:5" x14ac:dyDescent="0.35">
      <c r="A7" t="s">
        <v>462</v>
      </c>
      <c r="B7" s="9">
        <v>7569800</v>
      </c>
    </row>
    <row r="8" spans="1:5" x14ac:dyDescent="0.35">
      <c r="A8" t="s">
        <v>464</v>
      </c>
      <c r="B8" s="9">
        <v>7165711</v>
      </c>
    </row>
    <row r="9" spans="1:5" x14ac:dyDescent="0.35">
      <c r="A9" t="s">
        <v>456</v>
      </c>
      <c r="B9" s="9">
        <v>7091650</v>
      </c>
    </row>
    <row r="10" spans="1:5" x14ac:dyDescent="0.35">
      <c r="A10" t="s">
        <v>460</v>
      </c>
      <c r="B10" s="9">
        <v>5871800</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7C518-18E4-46B7-8072-80748BD81673}">
  <dimension ref="A1:O303"/>
  <sheetViews>
    <sheetView topLeftCell="F1" workbookViewId="0">
      <selection activeCell="K21" sqref="K21"/>
    </sheetView>
  </sheetViews>
  <sheetFormatPr defaultRowHeight="14.5" x14ac:dyDescent="0.35"/>
  <cols>
    <col min="2" max="2" width="16.453125" bestFit="1" customWidth="1"/>
    <col min="5" max="5" width="12.81640625" customWidth="1"/>
    <col min="7" max="7" width="32" bestFit="1" customWidth="1"/>
    <col min="9" max="9" width="15.26953125" bestFit="1" customWidth="1"/>
    <col min="15" max="15" width="16.26953125" bestFit="1" customWidth="1"/>
  </cols>
  <sheetData>
    <row r="1" spans="1:15" x14ac:dyDescent="0.35">
      <c r="A1" t="s">
        <v>0</v>
      </c>
      <c r="B1" t="s">
        <v>1</v>
      </c>
      <c r="C1" t="s">
        <v>447</v>
      </c>
      <c r="D1" t="s">
        <v>448</v>
      </c>
      <c r="E1" t="s">
        <v>449</v>
      </c>
      <c r="F1" t="s">
        <v>2</v>
      </c>
      <c r="G1" t="s">
        <v>3</v>
      </c>
      <c r="H1" t="s">
        <v>4</v>
      </c>
      <c r="I1" s="9" t="s">
        <v>5</v>
      </c>
      <c r="J1" t="s">
        <v>6</v>
      </c>
      <c r="K1" t="s">
        <v>438</v>
      </c>
      <c r="L1" t="s">
        <v>7</v>
      </c>
      <c r="M1" t="s">
        <v>444</v>
      </c>
    </row>
    <row r="2" spans="1:15" hidden="1" x14ac:dyDescent="0.35">
      <c r="A2">
        <v>160092</v>
      </c>
      <c r="B2" s="3">
        <v>42724</v>
      </c>
      <c r="C2" t="s">
        <v>450</v>
      </c>
      <c r="D2">
        <v>2016</v>
      </c>
      <c r="E2" t="s">
        <v>451</v>
      </c>
      <c r="F2" t="s">
        <v>200</v>
      </c>
      <c r="G2" t="s">
        <v>365</v>
      </c>
      <c r="H2">
        <v>45150</v>
      </c>
      <c r="I2" s="9">
        <v>13650000</v>
      </c>
      <c r="J2" s="10">
        <v>3.3076920000000001E-3</v>
      </c>
      <c r="K2" s="11">
        <v>302.32558139534882</v>
      </c>
      <c r="L2" t="s">
        <v>16</v>
      </c>
      <c r="M2" t="s">
        <v>445</v>
      </c>
    </row>
    <row r="3" spans="1:15" hidden="1" x14ac:dyDescent="0.35">
      <c r="A3">
        <v>170261</v>
      </c>
      <c r="B3" s="3">
        <v>43221</v>
      </c>
      <c r="C3" t="s">
        <v>456</v>
      </c>
      <c r="D3">
        <v>2018</v>
      </c>
      <c r="E3" t="s">
        <v>457</v>
      </c>
      <c r="F3" t="s">
        <v>144</v>
      </c>
      <c r="G3" t="s">
        <v>384</v>
      </c>
      <c r="H3">
        <v>30660</v>
      </c>
      <c r="I3" s="9">
        <v>3266250</v>
      </c>
      <c r="J3" s="10">
        <v>9.3869120000000007E-3</v>
      </c>
      <c r="K3" s="11">
        <v>106.53131115459882</v>
      </c>
      <c r="L3" t="s">
        <v>16</v>
      </c>
      <c r="M3" t="s">
        <v>445</v>
      </c>
    </row>
    <row r="4" spans="1:15" hidden="1" x14ac:dyDescent="0.35">
      <c r="A4">
        <v>170255</v>
      </c>
      <c r="B4" s="3">
        <v>43221</v>
      </c>
      <c r="C4" t="s">
        <v>456</v>
      </c>
      <c r="D4">
        <v>2018</v>
      </c>
      <c r="E4" t="s">
        <v>457</v>
      </c>
      <c r="F4" t="s">
        <v>144</v>
      </c>
      <c r="G4" t="s">
        <v>390</v>
      </c>
      <c r="H4">
        <v>30660</v>
      </c>
      <c r="I4" s="9">
        <v>3266250</v>
      </c>
      <c r="J4" s="10">
        <v>9.3869120000000007E-3</v>
      </c>
      <c r="K4" s="11">
        <v>106.53131115459882</v>
      </c>
      <c r="L4" t="s">
        <v>16</v>
      </c>
      <c r="M4" t="s">
        <v>445</v>
      </c>
    </row>
    <row r="5" spans="1:15" hidden="1" x14ac:dyDescent="0.35">
      <c r="A5">
        <v>162063</v>
      </c>
      <c r="B5" s="3">
        <v>43005</v>
      </c>
      <c r="C5" t="s">
        <v>473</v>
      </c>
      <c r="D5">
        <v>2017</v>
      </c>
      <c r="E5" t="s">
        <v>484</v>
      </c>
      <c r="F5" t="s">
        <v>181</v>
      </c>
      <c r="G5" t="s">
        <v>395</v>
      </c>
      <c r="H5">
        <v>8190</v>
      </c>
      <c r="I5" s="9">
        <v>427500</v>
      </c>
      <c r="J5" s="10">
        <v>1.9157895000000001E-2</v>
      </c>
      <c r="K5" s="11">
        <v>52.197802197802197</v>
      </c>
      <c r="L5" t="s">
        <v>16</v>
      </c>
      <c r="M5" t="s">
        <v>445</v>
      </c>
    </row>
    <row r="6" spans="1:15" hidden="1" x14ac:dyDescent="0.35">
      <c r="A6">
        <v>161304</v>
      </c>
      <c r="B6" s="3">
        <v>42901</v>
      </c>
      <c r="C6" t="s">
        <v>454</v>
      </c>
      <c r="D6">
        <v>2017</v>
      </c>
      <c r="E6" t="s">
        <v>467</v>
      </c>
      <c r="F6" t="s">
        <v>181</v>
      </c>
      <c r="G6" t="s">
        <v>382</v>
      </c>
      <c r="H6">
        <v>91980</v>
      </c>
      <c r="I6" s="9">
        <v>1323338</v>
      </c>
      <c r="J6" s="10">
        <v>6.9506051999999999E-2</v>
      </c>
      <c r="K6" s="11">
        <v>14.387236355729506</v>
      </c>
      <c r="L6" t="s">
        <v>16</v>
      </c>
      <c r="M6" t="s">
        <v>445</v>
      </c>
    </row>
    <row r="7" spans="1:15" hidden="1" x14ac:dyDescent="0.35">
      <c r="A7">
        <v>60890</v>
      </c>
      <c r="B7" s="3">
        <v>39190</v>
      </c>
      <c r="C7" t="s">
        <v>452</v>
      </c>
      <c r="D7">
        <v>2007</v>
      </c>
      <c r="E7" t="s">
        <v>485</v>
      </c>
      <c r="F7" t="s">
        <v>122</v>
      </c>
      <c r="G7" t="s">
        <v>287</v>
      </c>
      <c r="H7">
        <v>44653</v>
      </c>
      <c r="I7" s="9">
        <v>429000</v>
      </c>
      <c r="J7" s="10">
        <v>0.10408624700000001</v>
      </c>
      <c r="K7" s="11">
        <v>9.6074171948133387</v>
      </c>
      <c r="L7" t="s">
        <v>16</v>
      </c>
      <c r="M7" t="s">
        <v>445</v>
      </c>
    </row>
    <row r="8" spans="1:15" hidden="1" x14ac:dyDescent="0.35">
      <c r="A8">
        <v>90695</v>
      </c>
      <c r="B8" s="3">
        <v>40359</v>
      </c>
      <c r="C8" t="s">
        <v>454</v>
      </c>
      <c r="D8">
        <v>2010</v>
      </c>
      <c r="E8" t="s">
        <v>491</v>
      </c>
      <c r="F8" t="s">
        <v>122</v>
      </c>
      <c r="G8" t="s">
        <v>336</v>
      </c>
      <c r="H8">
        <v>45757</v>
      </c>
      <c r="I8" s="9">
        <v>239900</v>
      </c>
      <c r="J8" s="10">
        <v>0.19073363900000001</v>
      </c>
      <c r="K8" s="11">
        <v>5.2429136525558935</v>
      </c>
      <c r="L8" t="s">
        <v>16</v>
      </c>
      <c r="M8" t="s">
        <v>445</v>
      </c>
    </row>
    <row r="9" spans="1:15" x14ac:dyDescent="0.35">
      <c r="A9">
        <v>200195</v>
      </c>
      <c r="B9" s="3">
        <v>44312</v>
      </c>
      <c r="C9" t="s">
        <v>452</v>
      </c>
      <c r="D9">
        <v>2021</v>
      </c>
      <c r="E9" t="s">
        <v>453</v>
      </c>
      <c r="F9" t="s">
        <v>54</v>
      </c>
      <c r="G9" t="s">
        <v>415</v>
      </c>
      <c r="H9">
        <v>3360000</v>
      </c>
      <c r="I9" s="9">
        <v>5214750</v>
      </c>
      <c r="J9">
        <v>0.64429999999999998</v>
      </c>
      <c r="K9">
        <v>1.5520089285714285</v>
      </c>
      <c r="L9" t="s">
        <v>10</v>
      </c>
      <c r="M9" t="s">
        <v>446</v>
      </c>
      <c r="O9" s="12"/>
    </row>
    <row r="10" spans="1:15" x14ac:dyDescent="0.35">
      <c r="A10">
        <v>201233</v>
      </c>
      <c r="B10" s="3">
        <v>44369</v>
      </c>
      <c r="C10" t="s">
        <v>454</v>
      </c>
      <c r="D10">
        <v>2021</v>
      </c>
      <c r="E10" t="s">
        <v>455</v>
      </c>
      <c r="F10" t="s">
        <v>85</v>
      </c>
      <c r="G10" t="s">
        <v>86</v>
      </c>
      <c r="H10">
        <v>4259500</v>
      </c>
      <c r="I10" s="9">
        <v>4300000</v>
      </c>
      <c r="J10">
        <v>0.99050000000000005</v>
      </c>
      <c r="K10">
        <v>1.0095081582345347</v>
      </c>
      <c r="L10" t="s">
        <v>13</v>
      </c>
      <c r="M10" t="s">
        <v>446</v>
      </c>
    </row>
    <row r="11" spans="1:15" x14ac:dyDescent="0.35">
      <c r="A11">
        <v>201186</v>
      </c>
      <c r="B11" s="3">
        <v>44389</v>
      </c>
      <c r="C11" t="s">
        <v>458</v>
      </c>
      <c r="D11">
        <v>2021</v>
      </c>
      <c r="E11" t="s">
        <v>459</v>
      </c>
      <c r="F11" t="s">
        <v>56</v>
      </c>
      <c r="G11" t="s">
        <v>60</v>
      </c>
      <c r="H11">
        <v>695500</v>
      </c>
      <c r="I11" s="9">
        <v>3200000</v>
      </c>
      <c r="J11" s="10">
        <v>0.21734375</v>
      </c>
      <c r="K11" s="11">
        <v>4.6010064701653484</v>
      </c>
      <c r="L11" t="s">
        <v>10</v>
      </c>
      <c r="M11" t="s">
        <v>445</v>
      </c>
      <c r="O11" s="9"/>
    </row>
    <row r="12" spans="1:15" x14ac:dyDescent="0.35">
      <c r="A12">
        <v>200645</v>
      </c>
      <c r="B12" s="3">
        <v>44244</v>
      </c>
      <c r="C12" t="s">
        <v>460</v>
      </c>
      <c r="D12">
        <v>2021</v>
      </c>
      <c r="E12" t="s">
        <v>461</v>
      </c>
      <c r="F12" t="s">
        <v>85</v>
      </c>
      <c r="G12" t="s">
        <v>423</v>
      </c>
      <c r="H12">
        <v>2661200</v>
      </c>
      <c r="I12" s="9">
        <v>3000000</v>
      </c>
      <c r="J12">
        <v>0.88700000000000001</v>
      </c>
      <c r="K12">
        <v>1.1273109875244252</v>
      </c>
      <c r="L12" t="s">
        <v>13</v>
      </c>
      <c r="M12" t="s">
        <v>446</v>
      </c>
    </row>
    <row r="13" spans="1:15" x14ac:dyDescent="0.35">
      <c r="A13">
        <v>200661</v>
      </c>
      <c r="B13" s="3">
        <v>44438</v>
      </c>
      <c r="C13" t="s">
        <v>462</v>
      </c>
      <c r="D13">
        <v>2021</v>
      </c>
      <c r="E13" t="s">
        <v>463</v>
      </c>
      <c r="F13" t="s">
        <v>152</v>
      </c>
      <c r="G13" t="s">
        <v>154</v>
      </c>
      <c r="H13">
        <v>1279460</v>
      </c>
      <c r="I13" s="9">
        <v>2400000</v>
      </c>
      <c r="J13">
        <v>0.53310000000000002</v>
      </c>
      <c r="K13">
        <v>1.87579134947556</v>
      </c>
      <c r="L13" t="s">
        <v>13</v>
      </c>
      <c r="M13" t="s">
        <v>446</v>
      </c>
      <c r="O13" s="12"/>
    </row>
    <row r="14" spans="1:15" hidden="1" x14ac:dyDescent="0.35">
      <c r="A14">
        <v>17568</v>
      </c>
      <c r="B14" s="3">
        <v>43244</v>
      </c>
      <c r="C14" t="s">
        <v>456</v>
      </c>
      <c r="D14">
        <v>2018</v>
      </c>
      <c r="E14" t="s">
        <v>457</v>
      </c>
      <c r="F14" t="s">
        <v>98</v>
      </c>
      <c r="G14" t="s">
        <v>380</v>
      </c>
      <c r="H14">
        <v>11620</v>
      </c>
      <c r="I14" s="9">
        <v>38500</v>
      </c>
      <c r="J14" s="10">
        <v>0.30180000000000001</v>
      </c>
      <c r="K14" s="11">
        <v>3.3132530120481927</v>
      </c>
      <c r="L14" t="s">
        <v>16</v>
      </c>
      <c r="M14" t="s">
        <v>445</v>
      </c>
    </row>
    <row r="15" spans="1:15" x14ac:dyDescent="0.35">
      <c r="A15">
        <v>201437</v>
      </c>
      <c r="B15" s="3">
        <v>44397</v>
      </c>
      <c r="C15" t="s">
        <v>458</v>
      </c>
      <c r="D15">
        <v>2021</v>
      </c>
      <c r="E15" t="s">
        <v>459</v>
      </c>
      <c r="F15" t="s">
        <v>85</v>
      </c>
      <c r="G15" t="s">
        <v>87</v>
      </c>
      <c r="H15">
        <v>1337630</v>
      </c>
      <c r="I15" s="9">
        <v>2300000</v>
      </c>
      <c r="J15">
        <v>0.58150000000000002</v>
      </c>
      <c r="K15">
        <v>1.7194590432331811</v>
      </c>
      <c r="L15" t="s">
        <v>13</v>
      </c>
      <c r="M15" t="s">
        <v>446</v>
      </c>
    </row>
    <row r="16" spans="1:15" x14ac:dyDescent="0.35">
      <c r="A16">
        <v>200055</v>
      </c>
      <c r="B16" s="3">
        <v>44221</v>
      </c>
      <c r="C16" t="s">
        <v>464</v>
      </c>
      <c r="D16">
        <v>2021</v>
      </c>
      <c r="E16" t="s">
        <v>465</v>
      </c>
      <c r="F16" t="s">
        <v>262</v>
      </c>
      <c r="G16" t="s">
        <v>263</v>
      </c>
      <c r="H16">
        <v>1030330</v>
      </c>
      <c r="I16" s="9">
        <v>2285000</v>
      </c>
      <c r="J16" s="10">
        <v>0.45090000000000002</v>
      </c>
      <c r="K16" s="11">
        <v>2.2177360651441771</v>
      </c>
      <c r="L16" t="s">
        <v>13</v>
      </c>
      <c r="M16" t="s">
        <v>445</v>
      </c>
    </row>
    <row r="17" spans="1:13" x14ac:dyDescent="0.35">
      <c r="A17">
        <v>2016743</v>
      </c>
      <c r="B17" s="3">
        <v>44396</v>
      </c>
      <c r="C17" t="s">
        <v>458</v>
      </c>
      <c r="D17">
        <v>2021</v>
      </c>
      <c r="E17" t="s">
        <v>459</v>
      </c>
      <c r="F17" t="s">
        <v>197</v>
      </c>
      <c r="G17" t="s">
        <v>198</v>
      </c>
      <c r="H17">
        <v>1769800</v>
      </c>
      <c r="I17" s="9">
        <v>1800000</v>
      </c>
      <c r="J17">
        <v>0.98319999999999996</v>
      </c>
      <c r="K17">
        <v>1.0170640750367272</v>
      </c>
      <c r="L17" t="s">
        <v>10</v>
      </c>
      <c r="M17" t="s">
        <v>446</v>
      </c>
    </row>
    <row r="18" spans="1:13" x14ac:dyDescent="0.35">
      <c r="A18">
        <v>200320</v>
      </c>
      <c r="B18" s="3">
        <v>44326</v>
      </c>
      <c r="C18" t="s">
        <v>456</v>
      </c>
      <c r="D18">
        <v>2021</v>
      </c>
      <c r="E18" t="s">
        <v>466</v>
      </c>
      <c r="F18" t="s">
        <v>69</v>
      </c>
      <c r="G18" t="s">
        <v>71</v>
      </c>
      <c r="H18">
        <v>776230</v>
      </c>
      <c r="I18" s="9">
        <v>1525000</v>
      </c>
      <c r="J18">
        <v>0.50900000000000001</v>
      </c>
      <c r="K18">
        <v>1.9646238872499131</v>
      </c>
      <c r="L18" t="s">
        <v>10</v>
      </c>
      <c r="M18" t="s">
        <v>446</v>
      </c>
    </row>
    <row r="19" spans="1:13" x14ac:dyDescent="0.35">
      <c r="A19">
        <v>200377</v>
      </c>
      <c r="B19" s="3">
        <v>44379</v>
      </c>
      <c r="C19" t="s">
        <v>458</v>
      </c>
      <c r="D19">
        <v>2021</v>
      </c>
      <c r="E19" t="s">
        <v>459</v>
      </c>
      <c r="F19" t="s">
        <v>14</v>
      </c>
      <c r="G19" t="s">
        <v>17</v>
      </c>
      <c r="H19">
        <v>862330</v>
      </c>
      <c r="I19" s="9">
        <v>1447500</v>
      </c>
      <c r="J19">
        <v>0.59570000000000001</v>
      </c>
      <c r="K19">
        <v>1.6785917224264493</v>
      </c>
      <c r="L19" t="s">
        <v>13</v>
      </c>
      <c r="M19" t="s">
        <v>446</v>
      </c>
    </row>
    <row r="20" spans="1:13" x14ac:dyDescent="0.35">
      <c r="A20">
        <v>201494</v>
      </c>
      <c r="B20" s="3">
        <v>44405</v>
      </c>
      <c r="C20" t="s">
        <v>458</v>
      </c>
      <c r="D20">
        <v>2021</v>
      </c>
      <c r="E20" t="s">
        <v>459</v>
      </c>
      <c r="F20" t="s">
        <v>85</v>
      </c>
      <c r="G20" t="s">
        <v>88</v>
      </c>
      <c r="H20">
        <v>632170</v>
      </c>
      <c r="I20" s="9">
        <v>1250000</v>
      </c>
      <c r="J20">
        <v>0.50570000000000004</v>
      </c>
      <c r="K20">
        <v>1.9773162282297483</v>
      </c>
      <c r="L20" t="s">
        <v>13</v>
      </c>
      <c r="M20" t="s">
        <v>446</v>
      </c>
    </row>
    <row r="21" spans="1:13" x14ac:dyDescent="0.35">
      <c r="A21">
        <v>2001101</v>
      </c>
      <c r="B21" s="3">
        <v>44259</v>
      </c>
      <c r="C21" t="s">
        <v>471</v>
      </c>
      <c r="D21">
        <v>2021</v>
      </c>
      <c r="E21" t="s">
        <v>472</v>
      </c>
      <c r="F21" t="s">
        <v>181</v>
      </c>
      <c r="G21" t="s">
        <v>223</v>
      </c>
      <c r="H21">
        <v>599810</v>
      </c>
      <c r="I21" s="9">
        <v>950000</v>
      </c>
      <c r="J21">
        <v>0.63129999999999997</v>
      </c>
      <c r="K21">
        <v>1.5838348810456644</v>
      </c>
      <c r="L21" t="s">
        <v>13</v>
      </c>
      <c r="M21" t="s">
        <v>446</v>
      </c>
    </row>
    <row r="22" spans="1:13" x14ac:dyDescent="0.35">
      <c r="A22">
        <v>200427</v>
      </c>
      <c r="B22" s="3">
        <v>44232</v>
      </c>
      <c r="C22" t="s">
        <v>460</v>
      </c>
      <c r="D22">
        <v>2021</v>
      </c>
      <c r="E22" t="s">
        <v>461</v>
      </c>
      <c r="F22" t="s">
        <v>133</v>
      </c>
      <c r="G22" t="s">
        <v>177</v>
      </c>
      <c r="H22">
        <v>587600</v>
      </c>
      <c r="I22" s="9">
        <v>939000</v>
      </c>
      <c r="J22">
        <v>0.62570000000000003</v>
      </c>
      <c r="K22">
        <v>1.5980258679373724</v>
      </c>
      <c r="L22" t="s">
        <v>10</v>
      </c>
      <c r="M22" t="s">
        <v>446</v>
      </c>
    </row>
    <row r="23" spans="1:13" x14ac:dyDescent="0.35">
      <c r="A23">
        <v>2001570</v>
      </c>
      <c r="B23" s="3">
        <v>44330</v>
      </c>
      <c r="C23" t="s">
        <v>456</v>
      </c>
      <c r="D23">
        <v>2021</v>
      </c>
      <c r="E23" t="s">
        <v>466</v>
      </c>
      <c r="F23" t="s">
        <v>181</v>
      </c>
      <c r="G23" t="s">
        <v>227</v>
      </c>
      <c r="H23">
        <v>486230</v>
      </c>
      <c r="I23" s="9">
        <v>930000</v>
      </c>
      <c r="J23">
        <v>0.52280000000000004</v>
      </c>
      <c r="K23">
        <v>1.9126750714682352</v>
      </c>
      <c r="L23" t="s">
        <v>10</v>
      </c>
      <c r="M23" t="s">
        <v>446</v>
      </c>
    </row>
    <row r="24" spans="1:13" x14ac:dyDescent="0.35">
      <c r="A24">
        <v>20771</v>
      </c>
      <c r="B24" s="3">
        <v>44455</v>
      </c>
      <c r="C24" t="s">
        <v>473</v>
      </c>
      <c r="D24">
        <v>2021</v>
      </c>
      <c r="E24" t="s">
        <v>474</v>
      </c>
      <c r="F24" t="s">
        <v>166</v>
      </c>
      <c r="G24" t="s">
        <v>169</v>
      </c>
      <c r="H24">
        <v>451770</v>
      </c>
      <c r="I24" s="9">
        <v>910000</v>
      </c>
      <c r="J24" s="10">
        <v>0.49645054900000002</v>
      </c>
      <c r="K24" s="11">
        <v>2.0142993115966088</v>
      </c>
      <c r="L24" t="s">
        <v>13</v>
      </c>
      <c r="M24" t="s">
        <v>445</v>
      </c>
    </row>
    <row r="25" spans="1:13" x14ac:dyDescent="0.35">
      <c r="A25">
        <v>200627</v>
      </c>
      <c r="B25" s="3">
        <v>44397</v>
      </c>
      <c r="C25" t="s">
        <v>458</v>
      </c>
      <c r="D25">
        <v>2021</v>
      </c>
      <c r="E25" t="s">
        <v>459</v>
      </c>
      <c r="F25" t="s">
        <v>252</v>
      </c>
      <c r="G25" t="s">
        <v>255</v>
      </c>
      <c r="H25">
        <v>475160</v>
      </c>
      <c r="I25" s="9">
        <v>905000</v>
      </c>
      <c r="J25">
        <v>0.52500000000000002</v>
      </c>
      <c r="K25">
        <v>1.9046216011448776</v>
      </c>
      <c r="L25" t="s">
        <v>13</v>
      </c>
      <c r="M25" t="s">
        <v>446</v>
      </c>
    </row>
    <row r="26" spans="1:13" hidden="1" x14ac:dyDescent="0.35">
      <c r="A26">
        <v>200421</v>
      </c>
      <c r="B26" s="3">
        <v>44189</v>
      </c>
      <c r="C26" t="s">
        <v>450</v>
      </c>
      <c r="D26">
        <v>2020</v>
      </c>
      <c r="E26" t="s">
        <v>468</v>
      </c>
      <c r="F26" t="s">
        <v>85</v>
      </c>
      <c r="G26" t="s">
        <v>89</v>
      </c>
      <c r="H26">
        <v>288190</v>
      </c>
      <c r="I26" s="9">
        <v>705000</v>
      </c>
      <c r="J26" s="10">
        <v>0.40870000000000001</v>
      </c>
      <c r="K26" s="11">
        <v>2.4463027863562234</v>
      </c>
      <c r="L26" t="s">
        <v>13</v>
      </c>
      <c r="M26" t="s">
        <v>445</v>
      </c>
    </row>
    <row r="27" spans="1:13" hidden="1" x14ac:dyDescent="0.35">
      <c r="A27">
        <v>200192</v>
      </c>
      <c r="B27" s="3">
        <v>44155</v>
      </c>
      <c r="C27" t="s">
        <v>475</v>
      </c>
      <c r="D27">
        <v>2020</v>
      </c>
      <c r="E27" t="s">
        <v>476</v>
      </c>
      <c r="F27" t="s">
        <v>159</v>
      </c>
      <c r="G27" t="s">
        <v>164</v>
      </c>
      <c r="H27">
        <v>71150</v>
      </c>
      <c r="I27" s="9">
        <v>170000</v>
      </c>
      <c r="J27" s="10">
        <v>0.41849999999999998</v>
      </c>
      <c r="K27" s="11">
        <v>2.3893183415319745</v>
      </c>
      <c r="L27" t="s">
        <v>13</v>
      </c>
      <c r="M27" t="s">
        <v>445</v>
      </c>
    </row>
    <row r="28" spans="1:13" x14ac:dyDescent="0.35">
      <c r="A28">
        <v>200243</v>
      </c>
      <c r="B28" s="3">
        <v>44299</v>
      </c>
      <c r="C28" t="s">
        <v>452</v>
      </c>
      <c r="D28">
        <v>2021</v>
      </c>
      <c r="E28" t="s">
        <v>453</v>
      </c>
      <c r="F28" t="s">
        <v>14</v>
      </c>
      <c r="G28" t="s">
        <v>410</v>
      </c>
      <c r="H28">
        <v>619290</v>
      </c>
      <c r="I28" s="9">
        <v>890000</v>
      </c>
      <c r="J28">
        <v>0.69579999999999997</v>
      </c>
      <c r="K28">
        <v>1.4371296161733598</v>
      </c>
      <c r="L28" t="s">
        <v>13</v>
      </c>
      <c r="M28" t="s">
        <v>446</v>
      </c>
    </row>
    <row r="29" spans="1:13" hidden="1" x14ac:dyDescent="0.35">
      <c r="A29">
        <v>160539</v>
      </c>
      <c r="B29" s="3">
        <v>42741</v>
      </c>
      <c r="C29" t="s">
        <v>464</v>
      </c>
      <c r="D29">
        <v>2017</v>
      </c>
      <c r="E29" t="s">
        <v>504</v>
      </c>
      <c r="F29" t="s">
        <v>181</v>
      </c>
      <c r="G29" t="s">
        <v>397</v>
      </c>
      <c r="H29">
        <v>74670</v>
      </c>
      <c r="I29" s="9">
        <v>176500</v>
      </c>
      <c r="J29" s="10">
        <v>0.42305948999999998</v>
      </c>
      <c r="K29" s="11">
        <v>2.36373376188563</v>
      </c>
      <c r="L29" t="s">
        <v>16</v>
      </c>
      <c r="M29" t="s">
        <v>445</v>
      </c>
    </row>
    <row r="30" spans="1:13" x14ac:dyDescent="0.35">
      <c r="A30">
        <v>20129</v>
      </c>
      <c r="B30" s="3">
        <v>44285</v>
      </c>
      <c r="C30" t="s">
        <v>471</v>
      </c>
      <c r="D30">
        <v>2021</v>
      </c>
      <c r="E30" t="s">
        <v>472</v>
      </c>
      <c r="F30" t="s">
        <v>64</v>
      </c>
      <c r="G30" t="s">
        <v>65</v>
      </c>
      <c r="H30">
        <v>351260</v>
      </c>
      <c r="I30" s="9">
        <v>873000</v>
      </c>
      <c r="J30" s="10">
        <v>0.40229999999999999</v>
      </c>
      <c r="K30" s="11">
        <v>2.4853384957011899</v>
      </c>
      <c r="L30" t="s">
        <v>10</v>
      </c>
      <c r="M30" t="s">
        <v>445</v>
      </c>
    </row>
    <row r="31" spans="1:13" x14ac:dyDescent="0.35">
      <c r="A31">
        <v>200338</v>
      </c>
      <c r="B31" s="3">
        <v>44309</v>
      </c>
      <c r="C31" t="s">
        <v>452</v>
      </c>
      <c r="D31">
        <v>2021</v>
      </c>
      <c r="E31" t="s">
        <v>453</v>
      </c>
      <c r="F31" t="s">
        <v>152</v>
      </c>
      <c r="G31" t="s">
        <v>153</v>
      </c>
      <c r="H31">
        <v>620760</v>
      </c>
      <c r="I31" s="9">
        <v>850000</v>
      </c>
      <c r="J31">
        <v>0.73029999999999995</v>
      </c>
      <c r="K31">
        <v>1.3692892583285006</v>
      </c>
      <c r="L31" t="s">
        <v>13</v>
      </c>
      <c r="M31" t="s">
        <v>446</v>
      </c>
    </row>
    <row r="32" spans="1:13" x14ac:dyDescent="0.35">
      <c r="A32">
        <v>201207</v>
      </c>
      <c r="B32" s="3">
        <v>44398</v>
      </c>
      <c r="C32" t="s">
        <v>458</v>
      </c>
      <c r="D32">
        <v>2021</v>
      </c>
      <c r="E32" t="s">
        <v>459</v>
      </c>
      <c r="F32" t="s">
        <v>159</v>
      </c>
      <c r="G32" t="s">
        <v>162</v>
      </c>
      <c r="H32">
        <v>368130</v>
      </c>
      <c r="I32" s="9">
        <v>850000</v>
      </c>
      <c r="J32" s="10">
        <v>0.433</v>
      </c>
      <c r="K32" s="11">
        <v>2.3089669410262679</v>
      </c>
      <c r="L32" t="s">
        <v>13</v>
      </c>
      <c r="M32" t="s">
        <v>445</v>
      </c>
    </row>
    <row r="33" spans="1:13" hidden="1" x14ac:dyDescent="0.35">
      <c r="A33">
        <v>61464</v>
      </c>
      <c r="B33" s="3">
        <v>39227</v>
      </c>
      <c r="C33" t="s">
        <v>456</v>
      </c>
      <c r="D33">
        <v>2007</v>
      </c>
      <c r="E33" t="s">
        <v>535</v>
      </c>
      <c r="F33" t="s">
        <v>264</v>
      </c>
      <c r="G33" t="s">
        <v>291</v>
      </c>
      <c r="H33">
        <v>14770</v>
      </c>
      <c r="I33" s="9">
        <v>33000</v>
      </c>
      <c r="J33" s="10">
        <v>0.44757575799999999</v>
      </c>
      <c r="K33" s="11">
        <v>2.2342586323628977</v>
      </c>
      <c r="L33" t="s">
        <v>16</v>
      </c>
      <c r="M33" t="s">
        <v>445</v>
      </c>
    </row>
    <row r="34" spans="1:13" x14ac:dyDescent="0.35">
      <c r="A34">
        <v>202000106</v>
      </c>
      <c r="B34" s="3">
        <v>44224</v>
      </c>
      <c r="C34" t="s">
        <v>464</v>
      </c>
      <c r="D34">
        <v>2021</v>
      </c>
      <c r="E34" t="s">
        <v>465</v>
      </c>
      <c r="F34" t="s">
        <v>193</v>
      </c>
      <c r="G34" t="s">
        <v>194</v>
      </c>
      <c r="H34">
        <v>596470</v>
      </c>
      <c r="I34" s="9">
        <v>833111</v>
      </c>
      <c r="J34">
        <v>0.71589999999999998</v>
      </c>
      <c r="K34">
        <v>1.3967357955974316</v>
      </c>
      <c r="L34" t="s">
        <v>10</v>
      </c>
      <c r="M34" t="s">
        <v>446</v>
      </c>
    </row>
    <row r="35" spans="1:13" x14ac:dyDescent="0.35">
      <c r="A35">
        <v>2001250</v>
      </c>
      <c r="B35" s="3">
        <v>44280</v>
      </c>
      <c r="C35" t="s">
        <v>471</v>
      </c>
      <c r="D35">
        <v>2021</v>
      </c>
      <c r="E35" t="s">
        <v>472</v>
      </c>
      <c r="F35" t="s">
        <v>181</v>
      </c>
      <c r="G35" t="s">
        <v>224</v>
      </c>
      <c r="H35">
        <v>403190</v>
      </c>
      <c r="I35" s="9">
        <v>810000</v>
      </c>
      <c r="J35" s="10">
        <v>0.49769999999999998</v>
      </c>
      <c r="K35" s="11">
        <v>2.0089783972816786</v>
      </c>
      <c r="L35" t="s">
        <v>13</v>
      </c>
      <c r="M35" t="s">
        <v>445</v>
      </c>
    </row>
    <row r="36" spans="1:13" x14ac:dyDescent="0.35">
      <c r="A36">
        <v>2002453</v>
      </c>
      <c r="B36" s="3">
        <v>44435</v>
      </c>
      <c r="C36" t="s">
        <v>462</v>
      </c>
      <c r="D36">
        <v>2021</v>
      </c>
      <c r="E36" t="s">
        <v>463</v>
      </c>
      <c r="F36" t="s">
        <v>181</v>
      </c>
      <c r="G36" t="s">
        <v>233</v>
      </c>
      <c r="H36">
        <v>596290</v>
      </c>
      <c r="I36" s="9">
        <v>800000</v>
      </c>
      <c r="J36">
        <v>0.74529999999999996</v>
      </c>
      <c r="K36">
        <v>1.3416290731020142</v>
      </c>
      <c r="L36" t="s">
        <v>10</v>
      </c>
      <c r="M36" t="s">
        <v>446</v>
      </c>
    </row>
    <row r="37" spans="1:13" x14ac:dyDescent="0.35">
      <c r="A37">
        <v>201027</v>
      </c>
      <c r="B37" s="3">
        <v>44396</v>
      </c>
      <c r="C37" t="s">
        <v>458</v>
      </c>
      <c r="D37">
        <v>2021</v>
      </c>
      <c r="E37" t="s">
        <v>459</v>
      </c>
      <c r="F37" t="s">
        <v>117</v>
      </c>
      <c r="G37" t="s">
        <v>121</v>
      </c>
      <c r="H37">
        <v>517700</v>
      </c>
      <c r="I37" s="9">
        <v>800000</v>
      </c>
      <c r="J37">
        <v>0.64710000000000001</v>
      </c>
      <c r="K37">
        <v>1.5452965037666602</v>
      </c>
      <c r="L37" t="s">
        <v>10</v>
      </c>
      <c r="M37" t="s">
        <v>446</v>
      </c>
    </row>
    <row r="38" spans="1:13" x14ac:dyDescent="0.35">
      <c r="A38">
        <v>200097</v>
      </c>
      <c r="B38" s="3">
        <v>44351</v>
      </c>
      <c r="C38" t="s">
        <v>454</v>
      </c>
      <c r="D38">
        <v>2021</v>
      </c>
      <c r="E38" t="s">
        <v>455</v>
      </c>
      <c r="F38" t="s">
        <v>21</v>
      </c>
      <c r="G38" t="s">
        <v>22</v>
      </c>
      <c r="H38">
        <v>511000</v>
      </c>
      <c r="I38" s="9">
        <v>795000</v>
      </c>
      <c r="J38">
        <v>0.64270000000000005</v>
      </c>
      <c r="K38">
        <v>1.5557729941291585</v>
      </c>
      <c r="L38" t="s">
        <v>10</v>
      </c>
      <c r="M38" t="s">
        <v>446</v>
      </c>
    </row>
    <row r="39" spans="1:13" hidden="1" x14ac:dyDescent="0.35">
      <c r="A39">
        <v>200046</v>
      </c>
      <c r="B39" s="3">
        <v>44179</v>
      </c>
      <c r="C39" t="s">
        <v>450</v>
      </c>
      <c r="D39">
        <v>2020</v>
      </c>
      <c r="E39" t="s">
        <v>468</v>
      </c>
      <c r="F39" t="s">
        <v>244</v>
      </c>
      <c r="G39" t="s">
        <v>246</v>
      </c>
      <c r="H39">
        <v>133210</v>
      </c>
      <c r="I39" s="9">
        <v>289900</v>
      </c>
      <c r="J39" s="10">
        <v>0.45950000000000002</v>
      </c>
      <c r="K39" s="11">
        <v>2.1762630433150663</v>
      </c>
      <c r="L39" t="s">
        <v>13</v>
      </c>
      <c r="M39" t="s">
        <v>445</v>
      </c>
    </row>
    <row r="40" spans="1:13" x14ac:dyDescent="0.35">
      <c r="A40">
        <v>2002537</v>
      </c>
      <c r="B40" s="3">
        <v>44446</v>
      </c>
      <c r="C40" t="s">
        <v>473</v>
      </c>
      <c r="D40">
        <v>2021</v>
      </c>
      <c r="E40" t="s">
        <v>474</v>
      </c>
      <c r="F40" t="s">
        <v>181</v>
      </c>
      <c r="G40" t="s">
        <v>229</v>
      </c>
      <c r="H40">
        <v>441560</v>
      </c>
      <c r="I40" s="9">
        <v>785000</v>
      </c>
      <c r="J40">
        <v>0.56240000000000001</v>
      </c>
      <c r="K40">
        <v>1.7777878431017302</v>
      </c>
      <c r="L40" t="s">
        <v>13</v>
      </c>
      <c r="M40" t="s">
        <v>446</v>
      </c>
    </row>
    <row r="41" spans="1:13" x14ac:dyDescent="0.35">
      <c r="A41">
        <v>20274</v>
      </c>
      <c r="B41" s="3">
        <v>44204</v>
      </c>
      <c r="C41" t="s">
        <v>464</v>
      </c>
      <c r="D41">
        <v>2021</v>
      </c>
      <c r="E41" t="s">
        <v>465</v>
      </c>
      <c r="F41" t="s">
        <v>166</v>
      </c>
      <c r="G41" t="s">
        <v>167</v>
      </c>
      <c r="H41">
        <v>419590</v>
      </c>
      <c r="I41" s="9">
        <v>779000</v>
      </c>
      <c r="J41">
        <v>0.53859999999999997</v>
      </c>
      <c r="K41">
        <v>1.8565742748873901</v>
      </c>
      <c r="L41" t="s">
        <v>13</v>
      </c>
      <c r="M41" t="s">
        <v>446</v>
      </c>
    </row>
    <row r="42" spans="1:13" x14ac:dyDescent="0.35">
      <c r="A42">
        <v>201328</v>
      </c>
      <c r="B42" s="3">
        <v>44414</v>
      </c>
      <c r="C42" t="s">
        <v>462</v>
      </c>
      <c r="D42">
        <v>2021</v>
      </c>
      <c r="E42" t="s">
        <v>463</v>
      </c>
      <c r="F42" t="s">
        <v>54</v>
      </c>
      <c r="G42" t="s">
        <v>55</v>
      </c>
      <c r="H42">
        <v>410670</v>
      </c>
      <c r="I42" s="9">
        <v>740000</v>
      </c>
      <c r="J42">
        <v>0.55489999999999995</v>
      </c>
      <c r="K42">
        <v>1.8019334258650499</v>
      </c>
      <c r="L42" t="s">
        <v>13</v>
      </c>
      <c r="M42" t="s">
        <v>446</v>
      </c>
    </row>
    <row r="43" spans="1:13" hidden="1" x14ac:dyDescent="0.35">
      <c r="A43">
        <v>90073</v>
      </c>
      <c r="B43" s="3">
        <v>40142</v>
      </c>
      <c r="C43" t="s">
        <v>475</v>
      </c>
      <c r="D43">
        <v>2009</v>
      </c>
      <c r="E43" t="s">
        <v>498</v>
      </c>
      <c r="F43" t="s">
        <v>215</v>
      </c>
      <c r="G43" t="s">
        <v>335</v>
      </c>
      <c r="H43">
        <v>111300</v>
      </c>
      <c r="I43" s="9">
        <v>238521</v>
      </c>
      <c r="J43" s="10">
        <v>0.46662557999999998</v>
      </c>
      <c r="K43" s="11">
        <v>2.143045822102426</v>
      </c>
      <c r="L43" t="s">
        <v>16</v>
      </c>
      <c r="M43" t="s">
        <v>445</v>
      </c>
    </row>
    <row r="44" spans="1:13" hidden="1" x14ac:dyDescent="0.35">
      <c r="A44">
        <v>190767</v>
      </c>
      <c r="B44" s="3">
        <v>43892</v>
      </c>
      <c r="C44" t="s">
        <v>471</v>
      </c>
      <c r="D44">
        <v>2020</v>
      </c>
      <c r="E44" t="s">
        <v>531</v>
      </c>
      <c r="F44" t="s">
        <v>264</v>
      </c>
      <c r="G44" t="s">
        <v>402</v>
      </c>
      <c r="H44">
        <v>28490</v>
      </c>
      <c r="I44" s="9">
        <v>61000</v>
      </c>
      <c r="J44" s="10">
        <v>0.46700000000000003</v>
      </c>
      <c r="K44" s="11">
        <v>2.1411021411021411</v>
      </c>
      <c r="L44" t="s">
        <v>16</v>
      </c>
      <c r="M44" t="s">
        <v>445</v>
      </c>
    </row>
    <row r="45" spans="1:13" hidden="1" x14ac:dyDescent="0.35">
      <c r="A45">
        <v>170668</v>
      </c>
      <c r="B45" s="3">
        <v>43131</v>
      </c>
      <c r="C45" t="s">
        <v>464</v>
      </c>
      <c r="D45">
        <v>2018</v>
      </c>
      <c r="E45" t="s">
        <v>532</v>
      </c>
      <c r="F45" t="s">
        <v>282</v>
      </c>
      <c r="G45" t="s">
        <v>373</v>
      </c>
      <c r="H45">
        <v>27570</v>
      </c>
      <c r="I45" s="9">
        <v>59000</v>
      </c>
      <c r="J45" s="10">
        <v>0.4672</v>
      </c>
      <c r="K45" s="11">
        <v>2.1400072542618789</v>
      </c>
      <c r="L45" t="s">
        <v>16</v>
      </c>
      <c r="M45" t="s">
        <v>445</v>
      </c>
    </row>
    <row r="46" spans="1:13" x14ac:dyDescent="0.35">
      <c r="A46">
        <v>200170</v>
      </c>
      <c r="B46" s="3">
        <v>44361</v>
      </c>
      <c r="C46" t="s">
        <v>454</v>
      </c>
      <c r="D46">
        <v>2021</v>
      </c>
      <c r="E46" t="s">
        <v>455</v>
      </c>
      <c r="F46" t="s">
        <v>271</v>
      </c>
      <c r="G46" t="s">
        <v>272</v>
      </c>
      <c r="H46">
        <v>271120</v>
      </c>
      <c r="I46" s="9">
        <v>725000</v>
      </c>
      <c r="J46" s="10">
        <v>0.37390000000000001</v>
      </c>
      <c r="K46" s="11">
        <v>2.6740926526999114</v>
      </c>
      <c r="L46" t="s">
        <v>13</v>
      </c>
      <c r="M46" t="s">
        <v>445</v>
      </c>
    </row>
    <row r="47" spans="1:13" x14ac:dyDescent="0.35">
      <c r="A47">
        <v>20458</v>
      </c>
      <c r="B47" s="3">
        <v>44365</v>
      </c>
      <c r="C47" t="s">
        <v>454</v>
      </c>
      <c r="D47">
        <v>2021</v>
      </c>
      <c r="E47" t="s">
        <v>455</v>
      </c>
      <c r="F47" t="s">
        <v>268</v>
      </c>
      <c r="G47" t="s">
        <v>269</v>
      </c>
      <c r="H47">
        <v>271240</v>
      </c>
      <c r="I47" s="9">
        <v>710000</v>
      </c>
      <c r="J47" s="10">
        <v>0.38200000000000001</v>
      </c>
      <c r="K47" s="11">
        <v>2.6176080224155731</v>
      </c>
      <c r="L47" t="s">
        <v>13</v>
      </c>
      <c r="M47" t="s">
        <v>445</v>
      </c>
    </row>
    <row r="48" spans="1:13" hidden="1" x14ac:dyDescent="0.35">
      <c r="A48">
        <v>200174</v>
      </c>
      <c r="B48" s="3">
        <v>44155</v>
      </c>
      <c r="C48" t="s">
        <v>475</v>
      </c>
      <c r="D48">
        <v>2020</v>
      </c>
      <c r="E48" t="s">
        <v>476</v>
      </c>
      <c r="F48" t="s">
        <v>139</v>
      </c>
      <c r="G48" t="s">
        <v>251</v>
      </c>
      <c r="H48">
        <v>58020</v>
      </c>
      <c r="I48" s="9">
        <v>122500</v>
      </c>
      <c r="J48" s="10">
        <v>0.47360000000000002</v>
      </c>
      <c r="K48" s="11">
        <v>2.1113409169251982</v>
      </c>
      <c r="L48" t="s">
        <v>13</v>
      </c>
      <c r="M48" t="s">
        <v>445</v>
      </c>
    </row>
    <row r="49" spans="1:13" x14ac:dyDescent="0.35">
      <c r="A49">
        <v>200258</v>
      </c>
      <c r="B49" s="3">
        <v>44218</v>
      </c>
      <c r="C49" t="s">
        <v>464</v>
      </c>
      <c r="D49">
        <v>2021</v>
      </c>
      <c r="E49" t="s">
        <v>465</v>
      </c>
      <c r="F49" t="s">
        <v>29</v>
      </c>
      <c r="G49" t="s">
        <v>30</v>
      </c>
      <c r="H49">
        <v>530500</v>
      </c>
      <c r="I49" s="9">
        <v>700000</v>
      </c>
      <c r="J49">
        <v>0.75780000000000003</v>
      </c>
      <c r="K49">
        <v>1.3195098963242224</v>
      </c>
      <c r="L49" t="s">
        <v>13</v>
      </c>
      <c r="M49" t="s">
        <v>446</v>
      </c>
    </row>
    <row r="50" spans="1:13" hidden="1" x14ac:dyDescent="0.35">
      <c r="A50">
        <v>200098</v>
      </c>
      <c r="B50" s="3">
        <v>44141</v>
      </c>
      <c r="C50" t="s">
        <v>475</v>
      </c>
      <c r="D50">
        <v>2020</v>
      </c>
      <c r="E50" t="s">
        <v>476</v>
      </c>
      <c r="F50" t="s">
        <v>92</v>
      </c>
      <c r="G50" t="s">
        <v>424</v>
      </c>
      <c r="H50">
        <v>354550</v>
      </c>
      <c r="I50" s="9">
        <v>742500</v>
      </c>
      <c r="J50" s="10">
        <v>0.47749999999999998</v>
      </c>
      <c r="K50" s="11">
        <v>2.094203920462558</v>
      </c>
      <c r="L50" t="s">
        <v>13</v>
      </c>
      <c r="M50" t="s">
        <v>445</v>
      </c>
    </row>
    <row r="51" spans="1:13" x14ac:dyDescent="0.35">
      <c r="A51">
        <v>2020313</v>
      </c>
      <c r="B51" s="3">
        <v>44378</v>
      </c>
      <c r="C51" t="s">
        <v>458</v>
      </c>
      <c r="D51">
        <v>2021</v>
      </c>
      <c r="E51" t="s">
        <v>459</v>
      </c>
      <c r="F51" t="s">
        <v>19</v>
      </c>
      <c r="G51" t="s">
        <v>411</v>
      </c>
      <c r="H51">
        <v>412000</v>
      </c>
      <c r="I51" s="9">
        <v>677500</v>
      </c>
      <c r="J51">
        <v>0.60809999999999997</v>
      </c>
      <c r="K51">
        <v>1.6444174757281553</v>
      </c>
      <c r="L51" t="s">
        <v>13</v>
      </c>
      <c r="M51" t="s">
        <v>446</v>
      </c>
    </row>
    <row r="52" spans="1:13" hidden="1" x14ac:dyDescent="0.35">
      <c r="A52">
        <v>70280</v>
      </c>
      <c r="B52" s="3">
        <v>39650</v>
      </c>
      <c r="C52" t="s">
        <v>458</v>
      </c>
      <c r="D52">
        <v>2008</v>
      </c>
      <c r="E52" t="s">
        <v>500</v>
      </c>
      <c r="F52" t="s">
        <v>43</v>
      </c>
      <c r="G52" t="s">
        <v>302</v>
      </c>
      <c r="H52">
        <v>98180</v>
      </c>
      <c r="I52" s="9">
        <v>204900</v>
      </c>
      <c r="J52" s="10">
        <v>0.47916056600000001</v>
      </c>
      <c r="K52" s="11">
        <v>2.0869830922794868</v>
      </c>
      <c r="L52" t="s">
        <v>16</v>
      </c>
      <c r="M52" t="s">
        <v>445</v>
      </c>
    </row>
    <row r="53" spans="1:13" x14ac:dyDescent="0.35">
      <c r="A53">
        <v>2001286</v>
      </c>
      <c r="B53" s="3">
        <v>44285</v>
      </c>
      <c r="C53" t="s">
        <v>471</v>
      </c>
      <c r="D53">
        <v>2021</v>
      </c>
      <c r="E53" t="s">
        <v>472</v>
      </c>
      <c r="F53" t="s">
        <v>181</v>
      </c>
      <c r="G53" t="s">
        <v>225</v>
      </c>
      <c r="H53">
        <v>438860</v>
      </c>
      <c r="I53" s="9">
        <v>652000</v>
      </c>
      <c r="J53">
        <v>0.67300000000000004</v>
      </c>
      <c r="K53">
        <v>1.4856674110194594</v>
      </c>
      <c r="L53" t="s">
        <v>13</v>
      </c>
      <c r="M53" t="s">
        <v>446</v>
      </c>
    </row>
    <row r="54" spans="1:13" hidden="1" x14ac:dyDescent="0.35">
      <c r="A54">
        <v>70535</v>
      </c>
      <c r="B54" s="3">
        <v>39570</v>
      </c>
      <c r="C54" t="s">
        <v>456</v>
      </c>
      <c r="D54">
        <v>2008</v>
      </c>
      <c r="E54" t="s">
        <v>483</v>
      </c>
      <c r="F54" t="s">
        <v>192</v>
      </c>
      <c r="G54" t="s">
        <v>305</v>
      </c>
      <c r="H54">
        <v>235800</v>
      </c>
      <c r="I54" s="9">
        <v>487710</v>
      </c>
      <c r="J54" s="10">
        <v>0.483484038</v>
      </c>
      <c r="K54" s="11">
        <v>2.0683206106870231</v>
      </c>
      <c r="L54" t="s">
        <v>16</v>
      </c>
      <c r="M54" t="s">
        <v>445</v>
      </c>
    </row>
    <row r="55" spans="1:13" x14ac:dyDescent="0.35">
      <c r="A55">
        <v>20200578</v>
      </c>
      <c r="B55" s="3">
        <v>44244</v>
      </c>
      <c r="C55" t="s">
        <v>460</v>
      </c>
      <c r="D55">
        <v>2021</v>
      </c>
      <c r="E55" t="s">
        <v>461</v>
      </c>
      <c r="F55" t="s">
        <v>129</v>
      </c>
      <c r="G55" t="s">
        <v>238</v>
      </c>
      <c r="H55">
        <v>429800</v>
      </c>
      <c r="I55" s="9">
        <v>650000</v>
      </c>
      <c r="J55">
        <v>0.66120000000000001</v>
      </c>
      <c r="K55">
        <v>1.5123313168915775</v>
      </c>
      <c r="L55" t="s">
        <v>10</v>
      </c>
      <c r="M55" t="s">
        <v>446</v>
      </c>
    </row>
    <row r="56" spans="1:13" x14ac:dyDescent="0.35">
      <c r="A56">
        <v>200639</v>
      </c>
      <c r="B56" s="3">
        <v>44405</v>
      </c>
      <c r="C56" t="s">
        <v>458</v>
      </c>
      <c r="D56">
        <v>2021</v>
      </c>
      <c r="E56" t="s">
        <v>459</v>
      </c>
      <c r="F56" t="s">
        <v>92</v>
      </c>
      <c r="G56" t="s">
        <v>94</v>
      </c>
      <c r="H56">
        <v>259770</v>
      </c>
      <c r="I56" s="9">
        <v>650000</v>
      </c>
      <c r="J56" s="10">
        <v>0.39964615399999998</v>
      </c>
      <c r="K56" s="11">
        <v>2.5022134965546443</v>
      </c>
      <c r="L56" t="s">
        <v>13</v>
      </c>
      <c r="M56" t="s">
        <v>445</v>
      </c>
    </row>
    <row r="57" spans="1:13" x14ac:dyDescent="0.35">
      <c r="A57">
        <v>200804</v>
      </c>
      <c r="B57" s="3">
        <v>44467</v>
      </c>
      <c r="C57" t="s">
        <v>473</v>
      </c>
      <c r="D57">
        <v>2021</v>
      </c>
      <c r="E57" t="s">
        <v>474</v>
      </c>
      <c r="F57" t="s">
        <v>29</v>
      </c>
      <c r="G57" t="s">
        <v>31</v>
      </c>
      <c r="H57">
        <v>455100</v>
      </c>
      <c r="I57" s="9">
        <v>650000</v>
      </c>
      <c r="J57">
        <v>0.70009999999999994</v>
      </c>
      <c r="K57">
        <v>1.4282575258185015</v>
      </c>
      <c r="L57" t="s">
        <v>10</v>
      </c>
      <c r="M57" t="s">
        <v>446</v>
      </c>
    </row>
    <row r="58" spans="1:13" x14ac:dyDescent="0.35">
      <c r="A58">
        <v>200042</v>
      </c>
      <c r="B58" s="3">
        <v>44335</v>
      </c>
      <c r="C58" t="s">
        <v>456</v>
      </c>
      <c r="D58">
        <v>2021</v>
      </c>
      <c r="E58" t="s">
        <v>466</v>
      </c>
      <c r="F58" t="s">
        <v>413</v>
      </c>
      <c r="G58" t="s">
        <v>40</v>
      </c>
      <c r="H58">
        <v>355800</v>
      </c>
      <c r="I58" s="9">
        <v>599000</v>
      </c>
      <c r="J58">
        <v>0.59389999999999998</v>
      </c>
      <c r="K58">
        <v>1.6835300730747611</v>
      </c>
      <c r="L58" t="s">
        <v>13</v>
      </c>
      <c r="M58" t="s">
        <v>446</v>
      </c>
    </row>
    <row r="59" spans="1:13" x14ac:dyDescent="0.35">
      <c r="A59">
        <v>200742</v>
      </c>
      <c r="B59" s="3">
        <v>44284</v>
      </c>
      <c r="C59" t="s">
        <v>471</v>
      </c>
      <c r="D59">
        <v>2021</v>
      </c>
      <c r="E59" t="s">
        <v>472</v>
      </c>
      <c r="F59" t="s">
        <v>56</v>
      </c>
      <c r="G59" t="s">
        <v>57</v>
      </c>
      <c r="H59">
        <v>339100</v>
      </c>
      <c r="I59" s="9">
        <v>550000</v>
      </c>
      <c r="J59">
        <v>0.61650000000000005</v>
      </c>
      <c r="K59">
        <v>1.6219404305514598</v>
      </c>
      <c r="L59" t="s">
        <v>13</v>
      </c>
      <c r="M59" t="s">
        <v>446</v>
      </c>
    </row>
    <row r="60" spans="1:13" x14ac:dyDescent="0.35">
      <c r="A60">
        <v>20249</v>
      </c>
      <c r="B60" s="3">
        <v>44469</v>
      </c>
      <c r="C60" t="s">
        <v>473</v>
      </c>
      <c r="D60">
        <v>2021</v>
      </c>
      <c r="E60" t="s">
        <v>474</v>
      </c>
      <c r="F60" t="s">
        <v>151</v>
      </c>
      <c r="G60" t="s">
        <v>183</v>
      </c>
      <c r="H60">
        <v>297700</v>
      </c>
      <c r="I60" s="9">
        <v>550000</v>
      </c>
      <c r="J60">
        <v>0.54120000000000001</v>
      </c>
      <c r="K60">
        <v>1.8474974806852535</v>
      </c>
      <c r="L60" t="s">
        <v>13</v>
      </c>
      <c r="M60" t="s">
        <v>446</v>
      </c>
    </row>
    <row r="61" spans="1:13" x14ac:dyDescent="0.35">
      <c r="A61">
        <v>2001590</v>
      </c>
      <c r="B61" s="3">
        <v>44333</v>
      </c>
      <c r="C61" t="s">
        <v>456</v>
      </c>
      <c r="D61">
        <v>2021</v>
      </c>
      <c r="E61" t="s">
        <v>466</v>
      </c>
      <c r="F61" t="s">
        <v>181</v>
      </c>
      <c r="G61" t="s">
        <v>228</v>
      </c>
      <c r="H61">
        <v>423700</v>
      </c>
      <c r="I61" s="9">
        <v>533350</v>
      </c>
      <c r="J61">
        <v>0.7944</v>
      </c>
      <c r="K61">
        <v>1.2587915978286524</v>
      </c>
      <c r="L61" t="s">
        <v>13</v>
      </c>
      <c r="M61" t="s">
        <v>446</v>
      </c>
    </row>
    <row r="62" spans="1:13" x14ac:dyDescent="0.35">
      <c r="A62">
        <v>201023</v>
      </c>
      <c r="B62" s="3">
        <v>44403</v>
      </c>
      <c r="C62" t="s">
        <v>458</v>
      </c>
      <c r="D62">
        <v>2021</v>
      </c>
      <c r="E62" t="s">
        <v>459</v>
      </c>
      <c r="F62" t="s">
        <v>98</v>
      </c>
      <c r="G62" t="s">
        <v>104</v>
      </c>
      <c r="H62">
        <v>435610</v>
      </c>
      <c r="I62" s="9">
        <v>525000</v>
      </c>
      <c r="J62">
        <v>0.82969999999999999</v>
      </c>
      <c r="K62">
        <v>1.2052064920456371</v>
      </c>
      <c r="L62" t="s">
        <v>10</v>
      </c>
      <c r="M62" t="s">
        <v>446</v>
      </c>
    </row>
    <row r="63" spans="1:13" hidden="1" x14ac:dyDescent="0.35">
      <c r="A63">
        <v>200011</v>
      </c>
      <c r="B63" s="3">
        <v>44117</v>
      </c>
      <c r="C63" t="s">
        <v>469</v>
      </c>
      <c r="D63">
        <v>2020</v>
      </c>
      <c r="E63" t="s">
        <v>470</v>
      </c>
      <c r="F63" t="s">
        <v>252</v>
      </c>
      <c r="G63" t="s">
        <v>256</v>
      </c>
      <c r="H63">
        <v>183190</v>
      </c>
      <c r="I63" s="9">
        <v>370000</v>
      </c>
      <c r="J63" s="10">
        <v>0.49509999999999998</v>
      </c>
      <c r="K63" s="11">
        <v>2.0197609039794751</v>
      </c>
      <c r="L63" t="s">
        <v>13</v>
      </c>
      <c r="M63" t="s">
        <v>445</v>
      </c>
    </row>
    <row r="64" spans="1:13" x14ac:dyDescent="0.35">
      <c r="A64">
        <v>200374</v>
      </c>
      <c r="B64" s="3">
        <v>44256</v>
      </c>
      <c r="C64" t="s">
        <v>471</v>
      </c>
      <c r="D64">
        <v>2021</v>
      </c>
      <c r="E64" t="s">
        <v>472</v>
      </c>
      <c r="F64" t="s">
        <v>206</v>
      </c>
      <c r="G64" t="s">
        <v>209</v>
      </c>
      <c r="H64">
        <v>227500</v>
      </c>
      <c r="I64" s="9">
        <v>525000</v>
      </c>
      <c r="J64" s="10">
        <v>0.43330000000000002</v>
      </c>
      <c r="K64" s="11">
        <v>2.3076923076923075</v>
      </c>
      <c r="L64" t="s">
        <v>13</v>
      </c>
      <c r="M64" t="s">
        <v>445</v>
      </c>
    </row>
    <row r="65" spans="1:13" x14ac:dyDescent="0.35">
      <c r="A65">
        <v>201580</v>
      </c>
      <c r="B65" s="3">
        <v>44466</v>
      </c>
      <c r="C65" t="s">
        <v>473</v>
      </c>
      <c r="D65">
        <v>2021</v>
      </c>
      <c r="E65" t="s">
        <v>474</v>
      </c>
      <c r="F65" t="s">
        <v>56</v>
      </c>
      <c r="G65" t="s">
        <v>62</v>
      </c>
      <c r="H65">
        <v>192300</v>
      </c>
      <c r="I65" s="9">
        <v>525000</v>
      </c>
      <c r="J65" s="10">
        <v>0.36628571399999998</v>
      </c>
      <c r="K65" s="11">
        <v>2.7301092043681749</v>
      </c>
      <c r="L65" t="s">
        <v>13</v>
      </c>
      <c r="M65" t="s">
        <v>445</v>
      </c>
    </row>
    <row r="66" spans="1:13" x14ac:dyDescent="0.35">
      <c r="A66">
        <v>200140</v>
      </c>
      <c r="B66" s="3">
        <v>44314</v>
      </c>
      <c r="C66" t="s">
        <v>452</v>
      </c>
      <c r="D66">
        <v>2021</v>
      </c>
      <c r="E66" t="s">
        <v>453</v>
      </c>
      <c r="F66" t="s">
        <v>77</v>
      </c>
      <c r="G66" t="s">
        <v>421</v>
      </c>
      <c r="H66">
        <v>335800</v>
      </c>
      <c r="I66" s="9">
        <v>520000</v>
      </c>
      <c r="J66">
        <v>0.64570000000000005</v>
      </c>
      <c r="K66">
        <v>1.5485407980941037</v>
      </c>
      <c r="L66" t="s">
        <v>13</v>
      </c>
      <c r="M66" t="s">
        <v>446</v>
      </c>
    </row>
    <row r="67" spans="1:13" hidden="1" x14ac:dyDescent="0.35">
      <c r="A67">
        <v>200080</v>
      </c>
      <c r="B67" s="3">
        <v>44140</v>
      </c>
      <c r="C67" t="s">
        <v>475</v>
      </c>
      <c r="D67">
        <v>2020</v>
      </c>
      <c r="E67" t="s">
        <v>476</v>
      </c>
      <c r="F67" t="s">
        <v>96</v>
      </c>
      <c r="G67" t="s">
        <v>425</v>
      </c>
      <c r="H67">
        <v>239550</v>
      </c>
      <c r="I67" s="9">
        <v>480000</v>
      </c>
      <c r="J67" s="10">
        <v>0.499</v>
      </c>
      <c r="K67" s="11">
        <v>2.0037570444583594</v>
      </c>
      <c r="L67" t="s">
        <v>13</v>
      </c>
      <c r="M67" t="s">
        <v>445</v>
      </c>
    </row>
    <row r="68" spans="1:13" hidden="1" x14ac:dyDescent="0.35">
      <c r="A68">
        <v>200408</v>
      </c>
      <c r="B68" s="3">
        <v>44189</v>
      </c>
      <c r="C68" t="s">
        <v>450</v>
      </c>
      <c r="D68">
        <v>2020</v>
      </c>
      <c r="E68" t="s">
        <v>468</v>
      </c>
      <c r="F68" t="s">
        <v>56</v>
      </c>
      <c r="G68" t="s">
        <v>63</v>
      </c>
      <c r="H68">
        <v>130800</v>
      </c>
      <c r="I68" s="9">
        <v>260000</v>
      </c>
      <c r="J68" s="10">
        <v>0.503</v>
      </c>
      <c r="K68" s="11">
        <v>1.9877675840978593</v>
      </c>
      <c r="L68" t="s">
        <v>13</v>
      </c>
      <c r="M68" t="s">
        <v>446</v>
      </c>
    </row>
    <row r="69" spans="1:13" hidden="1" x14ac:dyDescent="0.35">
      <c r="A69">
        <v>70125</v>
      </c>
      <c r="B69" s="3">
        <v>39472</v>
      </c>
      <c r="C69" t="s">
        <v>464</v>
      </c>
      <c r="D69">
        <v>2008</v>
      </c>
      <c r="E69" t="s">
        <v>507</v>
      </c>
      <c r="F69" t="s">
        <v>277</v>
      </c>
      <c r="G69" t="s">
        <v>307</v>
      </c>
      <c r="H69">
        <v>87500</v>
      </c>
      <c r="I69">
        <v>173700</v>
      </c>
      <c r="J69">
        <v>0.50374208399999998</v>
      </c>
      <c r="K69">
        <v>1.9851428571428571</v>
      </c>
      <c r="L69" t="s">
        <v>16</v>
      </c>
      <c r="M69" t="s">
        <v>446</v>
      </c>
    </row>
    <row r="70" spans="1:13" x14ac:dyDescent="0.35">
      <c r="A70">
        <v>200827</v>
      </c>
      <c r="B70" s="3">
        <v>44446</v>
      </c>
      <c r="C70" t="s">
        <v>473</v>
      </c>
      <c r="D70">
        <v>2021</v>
      </c>
      <c r="E70" t="s">
        <v>474</v>
      </c>
      <c r="F70" t="s">
        <v>83</v>
      </c>
      <c r="G70" t="s">
        <v>422</v>
      </c>
      <c r="H70">
        <v>332000</v>
      </c>
      <c r="I70" s="9">
        <v>520000</v>
      </c>
      <c r="J70">
        <v>0.63839999999999997</v>
      </c>
      <c r="K70">
        <v>1.5662650602409638</v>
      </c>
      <c r="L70" t="s">
        <v>13</v>
      </c>
      <c r="M70" t="s">
        <v>446</v>
      </c>
    </row>
    <row r="71" spans="1:13" x14ac:dyDescent="0.35">
      <c r="A71">
        <v>200499</v>
      </c>
      <c r="B71" s="3">
        <v>44449</v>
      </c>
      <c r="C71" t="s">
        <v>473</v>
      </c>
      <c r="D71">
        <v>2021</v>
      </c>
      <c r="E71" t="s">
        <v>474</v>
      </c>
      <c r="F71" t="s">
        <v>69</v>
      </c>
      <c r="G71" t="s">
        <v>418</v>
      </c>
      <c r="H71">
        <v>233660</v>
      </c>
      <c r="I71" s="9">
        <v>517000</v>
      </c>
      <c r="J71" s="10">
        <v>0.45190000000000002</v>
      </c>
      <c r="K71" s="11">
        <v>2.2126166224428658</v>
      </c>
      <c r="L71" t="s">
        <v>13</v>
      </c>
      <c r="M71" t="s">
        <v>445</v>
      </c>
    </row>
    <row r="72" spans="1:13" x14ac:dyDescent="0.35">
      <c r="A72">
        <v>20588</v>
      </c>
      <c r="B72" s="3">
        <v>44406</v>
      </c>
      <c r="C72" t="s">
        <v>458</v>
      </c>
      <c r="D72">
        <v>2021</v>
      </c>
      <c r="E72" t="s">
        <v>459</v>
      </c>
      <c r="F72" t="s">
        <v>216</v>
      </c>
      <c r="G72" t="s">
        <v>218</v>
      </c>
      <c r="H72">
        <v>235950</v>
      </c>
      <c r="I72" s="9">
        <v>510000</v>
      </c>
      <c r="J72" s="10">
        <v>0.46260000000000001</v>
      </c>
      <c r="K72" s="11">
        <v>2.1614748887476161</v>
      </c>
      <c r="L72" t="s">
        <v>13</v>
      </c>
      <c r="M72" t="s">
        <v>445</v>
      </c>
    </row>
    <row r="73" spans="1:13" hidden="1" x14ac:dyDescent="0.35">
      <c r="A73">
        <v>20139</v>
      </c>
      <c r="B73" s="3">
        <v>44181</v>
      </c>
      <c r="C73" t="s">
        <v>450</v>
      </c>
      <c r="D73">
        <v>2020</v>
      </c>
      <c r="E73" t="s">
        <v>468</v>
      </c>
      <c r="F73" t="s">
        <v>23</v>
      </c>
      <c r="G73" t="s">
        <v>24</v>
      </c>
      <c r="H73">
        <v>171360</v>
      </c>
      <c r="I73">
        <v>335000</v>
      </c>
      <c r="J73">
        <v>0.51149999999999995</v>
      </c>
      <c r="K73">
        <v>1.9549486461251167</v>
      </c>
      <c r="L73" t="s">
        <v>13</v>
      </c>
      <c r="M73" t="s">
        <v>446</v>
      </c>
    </row>
    <row r="74" spans="1:13" x14ac:dyDescent="0.35">
      <c r="A74">
        <v>20742</v>
      </c>
      <c r="B74" s="3">
        <v>44438</v>
      </c>
      <c r="C74" t="s">
        <v>462</v>
      </c>
      <c r="D74">
        <v>2021</v>
      </c>
      <c r="E74" t="s">
        <v>463</v>
      </c>
      <c r="F74" t="s">
        <v>166</v>
      </c>
      <c r="G74" t="s">
        <v>168</v>
      </c>
      <c r="H74">
        <v>325640</v>
      </c>
      <c r="I74" s="9">
        <v>508000</v>
      </c>
      <c r="J74">
        <v>0.64100000000000001</v>
      </c>
      <c r="K74">
        <v>1.5600049134013021</v>
      </c>
      <c r="L74" t="s">
        <v>13</v>
      </c>
      <c r="M74" t="s">
        <v>446</v>
      </c>
    </row>
    <row r="75" spans="1:13" hidden="1" x14ac:dyDescent="0.35">
      <c r="A75">
        <v>160197</v>
      </c>
      <c r="B75" s="3">
        <v>42675</v>
      </c>
      <c r="C75" t="s">
        <v>475</v>
      </c>
      <c r="D75">
        <v>2016</v>
      </c>
      <c r="E75" t="s">
        <v>492</v>
      </c>
      <c r="F75" t="s">
        <v>181</v>
      </c>
      <c r="G75" t="s">
        <v>368</v>
      </c>
      <c r="H75">
        <v>143650</v>
      </c>
      <c r="I75">
        <v>278000</v>
      </c>
      <c r="J75">
        <v>0.51672661900000005</v>
      </c>
      <c r="K75">
        <v>1.9352593108249216</v>
      </c>
      <c r="L75" t="s">
        <v>16</v>
      </c>
      <c r="M75" t="s">
        <v>446</v>
      </c>
    </row>
    <row r="76" spans="1:13" x14ac:dyDescent="0.35">
      <c r="A76">
        <v>200282</v>
      </c>
      <c r="B76" s="3">
        <v>44392</v>
      </c>
      <c r="C76" t="s">
        <v>458</v>
      </c>
      <c r="D76">
        <v>2021</v>
      </c>
      <c r="E76" t="s">
        <v>459</v>
      </c>
      <c r="F76" t="s">
        <v>52</v>
      </c>
      <c r="G76" t="s">
        <v>414</v>
      </c>
      <c r="H76">
        <v>359800</v>
      </c>
      <c r="I76" s="9">
        <v>480000</v>
      </c>
      <c r="J76">
        <v>0.74950000000000006</v>
      </c>
      <c r="K76">
        <v>1.3340744858254585</v>
      </c>
      <c r="L76" t="s">
        <v>10</v>
      </c>
      <c r="M76" t="s">
        <v>446</v>
      </c>
    </row>
    <row r="77" spans="1:13" x14ac:dyDescent="0.35">
      <c r="A77">
        <v>200145</v>
      </c>
      <c r="B77" s="3">
        <v>44417</v>
      </c>
      <c r="C77" t="s">
        <v>462</v>
      </c>
      <c r="D77">
        <v>2021</v>
      </c>
      <c r="E77" t="s">
        <v>463</v>
      </c>
      <c r="F77" t="s">
        <v>157</v>
      </c>
      <c r="G77" t="s">
        <v>158</v>
      </c>
      <c r="H77">
        <v>238980</v>
      </c>
      <c r="I77" s="9">
        <v>460000</v>
      </c>
      <c r="J77">
        <v>0.51949999999999996</v>
      </c>
      <c r="K77">
        <v>1.9248472675537702</v>
      </c>
      <c r="L77" t="s">
        <v>13</v>
      </c>
      <c r="M77" t="s">
        <v>446</v>
      </c>
    </row>
    <row r="78" spans="1:13" x14ac:dyDescent="0.35">
      <c r="A78">
        <v>200359</v>
      </c>
      <c r="B78" s="3">
        <v>44263</v>
      </c>
      <c r="C78" t="s">
        <v>471</v>
      </c>
      <c r="D78">
        <v>2021</v>
      </c>
      <c r="E78" t="s">
        <v>472</v>
      </c>
      <c r="F78" t="s">
        <v>252</v>
      </c>
      <c r="G78" t="s">
        <v>253</v>
      </c>
      <c r="H78">
        <v>256550</v>
      </c>
      <c r="I78" s="9">
        <v>451000</v>
      </c>
      <c r="J78">
        <v>0.56879999999999997</v>
      </c>
      <c r="K78">
        <v>1.7579419216526992</v>
      </c>
      <c r="L78" t="s">
        <v>13</v>
      </c>
      <c r="M78" t="s">
        <v>446</v>
      </c>
    </row>
    <row r="79" spans="1:13" x14ac:dyDescent="0.35">
      <c r="A79">
        <v>201007</v>
      </c>
      <c r="B79" s="3">
        <v>44277</v>
      </c>
      <c r="C79" t="s">
        <v>471</v>
      </c>
      <c r="D79">
        <v>2021</v>
      </c>
      <c r="E79" t="s">
        <v>472</v>
      </c>
      <c r="F79" t="s">
        <v>122</v>
      </c>
      <c r="G79" t="s">
        <v>172</v>
      </c>
      <c r="H79">
        <v>261800</v>
      </c>
      <c r="I79" s="9">
        <v>450000</v>
      </c>
      <c r="J79">
        <v>0.58169999999999999</v>
      </c>
      <c r="K79">
        <v>1.7188693659281895</v>
      </c>
      <c r="L79" t="s">
        <v>13</v>
      </c>
      <c r="M79" t="s">
        <v>446</v>
      </c>
    </row>
    <row r="80" spans="1:13" x14ac:dyDescent="0.35">
      <c r="A80">
        <v>20761</v>
      </c>
      <c r="B80" s="3">
        <v>44344</v>
      </c>
      <c r="C80" t="s">
        <v>456</v>
      </c>
      <c r="D80">
        <v>2021</v>
      </c>
      <c r="E80" t="s">
        <v>466</v>
      </c>
      <c r="F80" t="s">
        <v>146</v>
      </c>
      <c r="G80" t="s">
        <v>148</v>
      </c>
      <c r="H80">
        <v>212310</v>
      </c>
      <c r="I80" s="9">
        <v>450000</v>
      </c>
      <c r="J80" s="10">
        <v>0.4718</v>
      </c>
      <c r="K80" s="11">
        <v>2.1195421788893598</v>
      </c>
      <c r="L80" t="s">
        <v>103</v>
      </c>
      <c r="M80" t="s">
        <v>445</v>
      </c>
    </row>
    <row r="81" spans="1:13" hidden="1" x14ac:dyDescent="0.35">
      <c r="A81">
        <v>62389</v>
      </c>
      <c r="B81" s="3">
        <v>39318</v>
      </c>
      <c r="C81" t="s">
        <v>462</v>
      </c>
      <c r="D81">
        <v>2007</v>
      </c>
      <c r="E81" t="s">
        <v>516</v>
      </c>
      <c r="F81" t="s">
        <v>282</v>
      </c>
      <c r="G81" t="s">
        <v>289</v>
      </c>
      <c r="H81">
        <v>80521</v>
      </c>
      <c r="I81">
        <v>154500</v>
      </c>
      <c r="J81">
        <v>0.52117152099999997</v>
      </c>
      <c r="K81">
        <v>1.9187541138336583</v>
      </c>
      <c r="L81" t="s">
        <v>16</v>
      </c>
      <c r="M81" t="s">
        <v>446</v>
      </c>
    </row>
    <row r="82" spans="1:13" x14ac:dyDescent="0.35">
      <c r="A82">
        <v>202281</v>
      </c>
      <c r="B82" s="3">
        <v>44446</v>
      </c>
      <c r="C82" t="s">
        <v>473</v>
      </c>
      <c r="D82">
        <v>2021</v>
      </c>
      <c r="E82" t="s">
        <v>474</v>
      </c>
      <c r="F82" t="s">
        <v>170</v>
      </c>
      <c r="G82" t="s">
        <v>171</v>
      </c>
      <c r="H82">
        <v>276010</v>
      </c>
      <c r="I82" s="9">
        <v>443165</v>
      </c>
      <c r="J82">
        <v>0.62280000000000002</v>
      </c>
      <c r="K82">
        <v>1.6056121155030614</v>
      </c>
      <c r="L82" t="s">
        <v>13</v>
      </c>
      <c r="M82" t="s">
        <v>446</v>
      </c>
    </row>
    <row r="83" spans="1:13" x14ac:dyDescent="0.35">
      <c r="A83">
        <v>20360</v>
      </c>
      <c r="B83" s="3">
        <v>44218</v>
      </c>
      <c r="C83" t="s">
        <v>464</v>
      </c>
      <c r="D83">
        <v>2021</v>
      </c>
      <c r="E83" t="s">
        <v>465</v>
      </c>
      <c r="F83" t="s">
        <v>98</v>
      </c>
      <c r="G83" t="s">
        <v>99</v>
      </c>
      <c r="H83">
        <v>173670</v>
      </c>
      <c r="I83" s="9">
        <v>439900</v>
      </c>
      <c r="J83" s="10">
        <v>0.3947</v>
      </c>
      <c r="K83" s="11">
        <v>2.5329648183336211</v>
      </c>
      <c r="L83" t="s">
        <v>10</v>
      </c>
      <c r="M83" t="s">
        <v>445</v>
      </c>
    </row>
    <row r="84" spans="1:13" hidden="1" x14ac:dyDescent="0.35">
      <c r="A84">
        <v>200289</v>
      </c>
      <c r="B84" s="3">
        <v>44158</v>
      </c>
      <c r="C84" t="s">
        <v>475</v>
      </c>
      <c r="D84">
        <v>2020</v>
      </c>
      <c r="E84" t="s">
        <v>476</v>
      </c>
      <c r="F84" t="s">
        <v>122</v>
      </c>
      <c r="G84" t="s">
        <v>176</v>
      </c>
      <c r="H84">
        <v>173040</v>
      </c>
      <c r="I84">
        <v>330000</v>
      </c>
      <c r="J84">
        <v>0.52429999999999999</v>
      </c>
      <c r="K84">
        <v>1.9070735090152566</v>
      </c>
      <c r="L84" t="s">
        <v>13</v>
      </c>
      <c r="M84" t="s">
        <v>446</v>
      </c>
    </row>
    <row r="85" spans="1:13" x14ac:dyDescent="0.35">
      <c r="A85">
        <v>200552</v>
      </c>
      <c r="B85" s="3">
        <v>44462</v>
      </c>
      <c r="C85" t="s">
        <v>473</v>
      </c>
      <c r="D85">
        <v>2021</v>
      </c>
      <c r="E85" t="s">
        <v>474</v>
      </c>
      <c r="F85" t="s">
        <v>180</v>
      </c>
      <c r="G85" t="s">
        <v>237</v>
      </c>
      <c r="H85">
        <v>213100</v>
      </c>
      <c r="I85" s="9">
        <v>435000</v>
      </c>
      <c r="J85" s="10">
        <v>0.48980000000000001</v>
      </c>
      <c r="K85" s="11">
        <v>2.0412951665884562</v>
      </c>
      <c r="L85" t="s">
        <v>13</v>
      </c>
      <c r="M85" t="s">
        <v>445</v>
      </c>
    </row>
    <row r="86" spans="1:13" x14ac:dyDescent="0.35">
      <c r="A86">
        <v>200125</v>
      </c>
      <c r="B86" s="3">
        <v>44286</v>
      </c>
      <c r="C86" t="s">
        <v>471</v>
      </c>
      <c r="D86">
        <v>2021</v>
      </c>
      <c r="E86" t="s">
        <v>472</v>
      </c>
      <c r="F86" t="s">
        <v>77</v>
      </c>
      <c r="G86" t="s">
        <v>78</v>
      </c>
      <c r="H86">
        <v>220500</v>
      </c>
      <c r="I86" s="9">
        <v>425000</v>
      </c>
      <c r="J86">
        <v>0.51880000000000004</v>
      </c>
      <c r="K86">
        <v>1.9274376417233561</v>
      </c>
      <c r="L86" t="s">
        <v>13</v>
      </c>
      <c r="M86" t="s">
        <v>446</v>
      </c>
    </row>
    <row r="87" spans="1:13" x14ac:dyDescent="0.35">
      <c r="A87">
        <v>200236</v>
      </c>
      <c r="B87" s="3">
        <v>44273</v>
      </c>
      <c r="C87" t="s">
        <v>471</v>
      </c>
      <c r="D87">
        <v>2021</v>
      </c>
      <c r="E87" t="s">
        <v>472</v>
      </c>
      <c r="F87" t="s">
        <v>69</v>
      </c>
      <c r="G87" t="s">
        <v>70</v>
      </c>
      <c r="H87">
        <v>238140</v>
      </c>
      <c r="I87" s="9">
        <v>421000</v>
      </c>
      <c r="J87">
        <v>0.56559999999999999</v>
      </c>
      <c r="K87">
        <v>1.7678676408835139</v>
      </c>
      <c r="L87" t="s">
        <v>13</v>
      </c>
      <c r="M87" t="s">
        <v>446</v>
      </c>
    </row>
    <row r="88" spans="1:13" hidden="1" x14ac:dyDescent="0.35">
      <c r="A88">
        <v>160444</v>
      </c>
      <c r="B88" s="3">
        <v>42926</v>
      </c>
      <c r="C88" t="s">
        <v>458</v>
      </c>
      <c r="D88">
        <v>2017</v>
      </c>
      <c r="E88" t="s">
        <v>501</v>
      </c>
      <c r="F88" t="s">
        <v>216</v>
      </c>
      <c r="G88" t="s">
        <v>386</v>
      </c>
      <c r="H88">
        <v>58510</v>
      </c>
      <c r="I88">
        <v>110000</v>
      </c>
      <c r="J88">
        <v>0.53190909099999995</v>
      </c>
      <c r="K88">
        <v>1.8800205093146471</v>
      </c>
      <c r="L88" t="s">
        <v>16</v>
      </c>
      <c r="M88" t="s">
        <v>446</v>
      </c>
    </row>
    <row r="89" spans="1:13" x14ac:dyDescent="0.35">
      <c r="A89">
        <v>200599</v>
      </c>
      <c r="B89" s="3">
        <v>44379</v>
      </c>
      <c r="C89" t="s">
        <v>458</v>
      </c>
      <c r="D89">
        <v>2021</v>
      </c>
      <c r="E89" t="s">
        <v>459</v>
      </c>
      <c r="F89" t="s">
        <v>252</v>
      </c>
      <c r="G89" t="s">
        <v>254</v>
      </c>
      <c r="H89">
        <v>237440</v>
      </c>
      <c r="I89" s="9">
        <v>420000</v>
      </c>
      <c r="J89">
        <v>0.56530000000000002</v>
      </c>
      <c r="K89">
        <v>1.7688679245283019</v>
      </c>
      <c r="L89" t="s">
        <v>13</v>
      </c>
      <c r="M89" t="s">
        <v>446</v>
      </c>
    </row>
    <row r="90" spans="1:13" x14ac:dyDescent="0.35">
      <c r="A90">
        <v>200078</v>
      </c>
      <c r="B90" s="3">
        <v>44459</v>
      </c>
      <c r="C90" t="s">
        <v>473</v>
      </c>
      <c r="D90">
        <v>2021</v>
      </c>
      <c r="E90" t="s">
        <v>474</v>
      </c>
      <c r="F90" t="s">
        <v>46</v>
      </c>
      <c r="G90" t="s">
        <v>47</v>
      </c>
      <c r="H90">
        <v>250100</v>
      </c>
      <c r="I90" s="9">
        <v>418800</v>
      </c>
      <c r="J90">
        <v>0.59709999999999996</v>
      </c>
      <c r="K90">
        <v>1.67453018792483</v>
      </c>
      <c r="L90" t="s">
        <v>13</v>
      </c>
      <c r="M90" t="s">
        <v>446</v>
      </c>
    </row>
    <row r="91" spans="1:13" x14ac:dyDescent="0.35">
      <c r="A91">
        <v>200305</v>
      </c>
      <c r="B91" s="3">
        <v>44222</v>
      </c>
      <c r="C91" t="s">
        <v>464</v>
      </c>
      <c r="D91">
        <v>2021</v>
      </c>
      <c r="E91" t="s">
        <v>465</v>
      </c>
      <c r="F91" t="s">
        <v>73</v>
      </c>
      <c r="G91" t="s">
        <v>419</v>
      </c>
      <c r="H91">
        <v>233660</v>
      </c>
      <c r="I91" s="9">
        <v>410000</v>
      </c>
      <c r="J91">
        <v>0.56989999999999996</v>
      </c>
      <c r="K91">
        <v>1.7546862963279979</v>
      </c>
      <c r="L91" t="s">
        <v>13</v>
      </c>
      <c r="M91" t="s">
        <v>446</v>
      </c>
    </row>
    <row r="92" spans="1:13" x14ac:dyDescent="0.35">
      <c r="A92">
        <v>201057</v>
      </c>
      <c r="B92" s="3">
        <v>44420</v>
      </c>
      <c r="C92" t="s">
        <v>462</v>
      </c>
      <c r="D92">
        <v>2021</v>
      </c>
      <c r="E92" t="s">
        <v>463</v>
      </c>
      <c r="F92" t="s">
        <v>146</v>
      </c>
      <c r="G92" t="s">
        <v>149</v>
      </c>
      <c r="H92">
        <v>264390</v>
      </c>
      <c r="I92" s="9">
        <v>400000</v>
      </c>
      <c r="J92">
        <v>0.66090000000000004</v>
      </c>
      <c r="K92">
        <v>1.5129165248307426</v>
      </c>
      <c r="L92" t="s">
        <v>10</v>
      </c>
      <c r="M92" t="s">
        <v>446</v>
      </c>
    </row>
    <row r="93" spans="1:13" x14ac:dyDescent="0.35">
      <c r="A93">
        <v>2001493</v>
      </c>
      <c r="B93" s="3">
        <v>44319</v>
      </c>
      <c r="C93" t="s">
        <v>456</v>
      </c>
      <c r="D93">
        <v>2021</v>
      </c>
      <c r="E93" t="s">
        <v>466</v>
      </c>
      <c r="F93" t="s">
        <v>181</v>
      </c>
      <c r="G93" t="s">
        <v>226</v>
      </c>
      <c r="H93">
        <v>238890</v>
      </c>
      <c r="I93" s="9">
        <v>400000</v>
      </c>
      <c r="J93">
        <v>0.59719999999999995</v>
      </c>
      <c r="K93">
        <v>1.6744108166938758</v>
      </c>
      <c r="L93" t="s">
        <v>13</v>
      </c>
      <c r="M93" t="s">
        <v>446</v>
      </c>
    </row>
    <row r="94" spans="1:13" x14ac:dyDescent="0.35">
      <c r="A94">
        <v>20200824</v>
      </c>
      <c r="B94" s="3">
        <v>44319</v>
      </c>
      <c r="C94" t="s">
        <v>456</v>
      </c>
      <c r="D94">
        <v>2021</v>
      </c>
      <c r="E94" t="s">
        <v>466</v>
      </c>
      <c r="F94" t="s">
        <v>129</v>
      </c>
      <c r="G94" t="s">
        <v>239</v>
      </c>
      <c r="H94">
        <v>193340</v>
      </c>
      <c r="I94" s="9">
        <v>395000</v>
      </c>
      <c r="J94" s="10">
        <v>0.4894</v>
      </c>
      <c r="K94" s="11">
        <v>2.0430329988621083</v>
      </c>
      <c r="L94" t="s">
        <v>13</v>
      </c>
      <c r="M94" t="s">
        <v>445</v>
      </c>
    </row>
    <row r="95" spans="1:13" x14ac:dyDescent="0.35">
      <c r="A95">
        <v>200510</v>
      </c>
      <c r="B95" s="3">
        <v>44454</v>
      </c>
      <c r="C95" t="s">
        <v>473</v>
      </c>
      <c r="D95">
        <v>2021</v>
      </c>
      <c r="E95" t="s">
        <v>474</v>
      </c>
      <c r="F95" t="s">
        <v>69</v>
      </c>
      <c r="G95" t="s">
        <v>72</v>
      </c>
      <c r="H95">
        <v>212100</v>
      </c>
      <c r="I95" s="9">
        <v>390500</v>
      </c>
      <c r="J95">
        <v>0.54310000000000003</v>
      </c>
      <c r="K95">
        <v>1.8411126826968411</v>
      </c>
      <c r="L95" t="s">
        <v>13</v>
      </c>
      <c r="M95" t="s">
        <v>446</v>
      </c>
    </row>
    <row r="96" spans="1:13" x14ac:dyDescent="0.35">
      <c r="A96">
        <v>200074</v>
      </c>
      <c r="B96" s="3">
        <v>44440</v>
      </c>
      <c r="C96" t="s">
        <v>473</v>
      </c>
      <c r="D96">
        <v>2021</v>
      </c>
      <c r="E96" t="s">
        <v>474</v>
      </c>
      <c r="F96" t="s">
        <v>50</v>
      </c>
      <c r="G96" t="s">
        <v>51</v>
      </c>
      <c r="H96">
        <v>246100</v>
      </c>
      <c r="I96" s="9">
        <v>385000</v>
      </c>
      <c r="J96">
        <v>0.63919999999999999</v>
      </c>
      <c r="K96">
        <v>1.564404713531085</v>
      </c>
      <c r="L96" t="s">
        <v>10</v>
      </c>
      <c r="M96" t="s">
        <v>446</v>
      </c>
    </row>
    <row r="97" spans="1:13" hidden="1" x14ac:dyDescent="0.35">
      <c r="A97">
        <v>60190</v>
      </c>
      <c r="B97" s="3">
        <v>39062</v>
      </c>
      <c r="C97" t="s">
        <v>450</v>
      </c>
      <c r="D97">
        <v>2006</v>
      </c>
      <c r="E97" t="s">
        <v>520</v>
      </c>
      <c r="F97" t="s">
        <v>283</v>
      </c>
      <c r="G97" t="s">
        <v>288</v>
      </c>
      <c r="H97">
        <v>78260</v>
      </c>
      <c r="I97">
        <v>143000</v>
      </c>
      <c r="J97">
        <v>0.54727272699999996</v>
      </c>
      <c r="K97">
        <v>1.8272425249169435</v>
      </c>
      <c r="L97" t="s">
        <v>16</v>
      </c>
      <c r="M97" t="s">
        <v>446</v>
      </c>
    </row>
    <row r="98" spans="1:13" hidden="1" x14ac:dyDescent="0.35">
      <c r="A98">
        <v>20086</v>
      </c>
      <c r="B98" s="3">
        <v>44126</v>
      </c>
      <c r="C98" t="s">
        <v>469</v>
      </c>
      <c r="D98">
        <v>2020</v>
      </c>
      <c r="E98" t="s">
        <v>470</v>
      </c>
      <c r="F98" t="s">
        <v>146</v>
      </c>
      <c r="G98" t="s">
        <v>429</v>
      </c>
      <c r="H98">
        <v>122220</v>
      </c>
      <c r="I98">
        <v>223000</v>
      </c>
      <c r="J98">
        <v>0.54800000000000004</v>
      </c>
      <c r="K98">
        <v>1.82457862870234</v>
      </c>
      <c r="L98" t="s">
        <v>13</v>
      </c>
      <c r="M98" t="s">
        <v>446</v>
      </c>
    </row>
    <row r="99" spans="1:13" hidden="1" x14ac:dyDescent="0.35">
      <c r="A99">
        <v>200043</v>
      </c>
      <c r="B99" s="3">
        <v>44174</v>
      </c>
      <c r="C99" t="s">
        <v>450</v>
      </c>
      <c r="D99">
        <v>2020</v>
      </c>
      <c r="E99" t="s">
        <v>468</v>
      </c>
      <c r="F99" t="s">
        <v>111</v>
      </c>
      <c r="G99" t="s">
        <v>112</v>
      </c>
      <c r="H99">
        <v>354040</v>
      </c>
      <c r="I99">
        <v>645000</v>
      </c>
      <c r="J99">
        <v>0.54879999999999995</v>
      </c>
      <c r="K99">
        <v>1.8218280420291493</v>
      </c>
      <c r="L99" t="s">
        <v>13</v>
      </c>
      <c r="M99" t="s">
        <v>446</v>
      </c>
    </row>
    <row r="100" spans="1:13" hidden="1" x14ac:dyDescent="0.35">
      <c r="A100">
        <v>17128</v>
      </c>
      <c r="B100" s="3">
        <v>43203</v>
      </c>
      <c r="C100" t="s">
        <v>452</v>
      </c>
      <c r="D100">
        <v>2018</v>
      </c>
      <c r="E100" t="s">
        <v>497</v>
      </c>
      <c r="F100" t="s">
        <v>284</v>
      </c>
      <c r="G100" t="s">
        <v>377</v>
      </c>
      <c r="H100">
        <v>132650</v>
      </c>
      <c r="I100">
        <v>241368</v>
      </c>
      <c r="J100">
        <v>0.54949999999999999</v>
      </c>
      <c r="K100">
        <v>1.8195853750471165</v>
      </c>
      <c r="L100" t="s">
        <v>16</v>
      </c>
      <c r="M100" t="s">
        <v>446</v>
      </c>
    </row>
    <row r="101" spans="1:13" x14ac:dyDescent="0.35">
      <c r="A101">
        <v>200245</v>
      </c>
      <c r="B101" s="3">
        <v>44202</v>
      </c>
      <c r="C101" t="s">
        <v>464</v>
      </c>
      <c r="D101">
        <v>2021</v>
      </c>
      <c r="E101" t="s">
        <v>465</v>
      </c>
      <c r="F101" t="s">
        <v>206</v>
      </c>
      <c r="G101" t="s">
        <v>208</v>
      </c>
      <c r="H101">
        <v>310660</v>
      </c>
      <c r="I101" s="9">
        <v>375000</v>
      </c>
      <c r="J101">
        <v>0.82840000000000003</v>
      </c>
      <c r="K101">
        <v>1.2071074486576965</v>
      </c>
      <c r="L101" t="s">
        <v>10</v>
      </c>
      <c r="M101" t="s">
        <v>446</v>
      </c>
    </row>
    <row r="102" spans="1:13" x14ac:dyDescent="0.35">
      <c r="A102">
        <v>2000230</v>
      </c>
      <c r="B102" s="3">
        <v>44271</v>
      </c>
      <c r="C102" t="s">
        <v>471</v>
      </c>
      <c r="D102">
        <v>2021</v>
      </c>
      <c r="E102" t="s">
        <v>472</v>
      </c>
      <c r="F102" t="s">
        <v>43</v>
      </c>
      <c r="G102" t="s">
        <v>44</v>
      </c>
      <c r="H102">
        <v>210940</v>
      </c>
      <c r="I102" s="9">
        <v>365000</v>
      </c>
      <c r="J102">
        <v>0.57789999999999997</v>
      </c>
      <c r="K102">
        <v>1.7303498625201479</v>
      </c>
      <c r="L102" t="s">
        <v>13</v>
      </c>
      <c r="M102" t="s">
        <v>446</v>
      </c>
    </row>
    <row r="103" spans="1:13" x14ac:dyDescent="0.35">
      <c r="A103">
        <v>201129</v>
      </c>
      <c r="B103" s="3">
        <v>44427</v>
      </c>
      <c r="C103" t="s">
        <v>462</v>
      </c>
      <c r="D103">
        <v>2021</v>
      </c>
      <c r="E103" t="s">
        <v>463</v>
      </c>
      <c r="F103" t="s">
        <v>98</v>
      </c>
      <c r="G103" t="s">
        <v>105</v>
      </c>
      <c r="H103">
        <v>114954</v>
      </c>
      <c r="I103" s="9">
        <v>360000</v>
      </c>
      <c r="J103" s="10">
        <v>0.31929999999999997</v>
      </c>
      <c r="K103" s="11">
        <v>3.1316874575917324</v>
      </c>
      <c r="L103" t="s">
        <v>13</v>
      </c>
      <c r="M103" t="s">
        <v>445</v>
      </c>
    </row>
    <row r="104" spans="1:13" hidden="1" x14ac:dyDescent="0.35">
      <c r="A104">
        <v>200233</v>
      </c>
      <c r="B104" s="3">
        <v>44196</v>
      </c>
      <c r="C104" t="s">
        <v>450</v>
      </c>
      <c r="D104">
        <v>2020</v>
      </c>
      <c r="E104" t="s">
        <v>468</v>
      </c>
      <c r="F104" t="s">
        <v>252</v>
      </c>
      <c r="G104" t="s">
        <v>257</v>
      </c>
      <c r="H104">
        <v>202160</v>
      </c>
      <c r="I104">
        <v>365000</v>
      </c>
      <c r="J104">
        <v>0.55379999999999996</v>
      </c>
      <c r="K104">
        <v>1.8055005935892363</v>
      </c>
      <c r="L104" t="s">
        <v>13</v>
      </c>
      <c r="M104" t="s">
        <v>446</v>
      </c>
    </row>
    <row r="105" spans="1:13" x14ac:dyDescent="0.35">
      <c r="A105">
        <v>20293</v>
      </c>
      <c r="B105" s="3">
        <v>44354</v>
      </c>
      <c r="C105" t="s">
        <v>454</v>
      </c>
      <c r="D105">
        <v>2021</v>
      </c>
      <c r="E105" t="s">
        <v>455</v>
      </c>
      <c r="F105" t="s">
        <v>184</v>
      </c>
      <c r="G105" t="s">
        <v>186</v>
      </c>
      <c r="H105">
        <v>193560</v>
      </c>
      <c r="I105" s="9">
        <v>360000</v>
      </c>
      <c r="J105">
        <v>0.53759999999999997</v>
      </c>
      <c r="K105">
        <v>1.8598884066955983</v>
      </c>
      <c r="L105" t="s">
        <v>13</v>
      </c>
      <c r="M105" t="s">
        <v>446</v>
      </c>
    </row>
    <row r="106" spans="1:13" x14ac:dyDescent="0.35">
      <c r="A106">
        <v>200652</v>
      </c>
      <c r="B106" s="3">
        <v>44376</v>
      </c>
      <c r="C106" t="s">
        <v>454</v>
      </c>
      <c r="D106">
        <v>2021</v>
      </c>
      <c r="E106" t="s">
        <v>455</v>
      </c>
      <c r="F106" t="s">
        <v>73</v>
      </c>
      <c r="G106" t="s">
        <v>75</v>
      </c>
      <c r="H106">
        <v>203470</v>
      </c>
      <c r="I106" s="9">
        <v>360000</v>
      </c>
      <c r="J106">
        <v>0.56510000000000005</v>
      </c>
      <c r="K106">
        <v>1.7693025998918759</v>
      </c>
      <c r="L106" t="s">
        <v>13</v>
      </c>
      <c r="M106" t="s">
        <v>446</v>
      </c>
    </row>
    <row r="107" spans="1:13" hidden="1" x14ac:dyDescent="0.35">
      <c r="A107">
        <v>200175</v>
      </c>
      <c r="B107" s="3">
        <v>44133</v>
      </c>
      <c r="C107" t="s">
        <v>469</v>
      </c>
      <c r="D107">
        <v>2020</v>
      </c>
      <c r="E107" t="s">
        <v>470</v>
      </c>
      <c r="F107" t="s">
        <v>108</v>
      </c>
      <c r="G107" t="s">
        <v>134</v>
      </c>
      <c r="H107">
        <v>180950</v>
      </c>
      <c r="I107">
        <v>325000</v>
      </c>
      <c r="J107">
        <v>0.55669999999999997</v>
      </c>
      <c r="K107">
        <v>1.7960762641613706</v>
      </c>
      <c r="L107" t="s">
        <v>13</v>
      </c>
      <c r="M107" t="s">
        <v>446</v>
      </c>
    </row>
    <row r="108" spans="1:13" x14ac:dyDescent="0.35">
      <c r="A108">
        <v>200125</v>
      </c>
      <c r="B108" s="3">
        <v>44446</v>
      </c>
      <c r="C108" t="s">
        <v>473</v>
      </c>
      <c r="D108">
        <v>2021</v>
      </c>
      <c r="E108" t="s">
        <v>474</v>
      </c>
      <c r="F108" t="s">
        <v>106</v>
      </c>
      <c r="G108" t="s">
        <v>107</v>
      </c>
      <c r="H108">
        <v>194790</v>
      </c>
      <c r="I108" s="9">
        <v>360000</v>
      </c>
      <c r="J108">
        <v>0.54100000000000004</v>
      </c>
      <c r="K108">
        <v>1.8481441552441091</v>
      </c>
      <c r="L108" t="s">
        <v>13</v>
      </c>
      <c r="M108" t="s">
        <v>446</v>
      </c>
    </row>
    <row r="109" spans="1:13" hidden="1" x14ac:dyDescent="0.35">
      <c r="A109">
        <v>171321</v>
      </c>
      <c r="B109" s="3">
        <v>43234</v>
      </c>
      <c r="C109" t="s">
        <v>456</v>
      </c>
      <c r="D109">
        <v>2018</v>
      </c>
      <c r="E109" t="s">
        <v>457</v>
      </c>
      <c r="F109" t="s">
        <v>282</v>
      </c>
      <c r="G109" t="s">
        <v>385</v>
      </c>
      <c r="H109">
        <v>59750</v>
      </c>
      <c r="I109">
        <v>107000</v>
      </c>
      <c r="J109">
        <v>0.55840000000000001</v>
      </c>
      <c r="K109">
        <v>1.7907949790794979</v>
      </c>
      <c r="L109" t="s">
        <v>16</v>
      </c>
      <c r="M109" t="s">
        <v>446</v>
      </c>
    </row>
    <row r="110" spans="1:13" hidden="1" x14ac:dyDescent="0.35">
      <c r="A110">
        <v>2000022</v>
      </c>
      <c r="B110" s="3">
        <v>44117</v>
      </c>
      <c r="C110" t="s">
        <v>469</v>
      </c>
      <c r="D110">
        <v>2020</v>
      </c>
      <c r="E110" t="s">
        <v>470</v>
      </c>
      <c r="F110" t="s">
        <v>140</v>
      </c>
      <c r="G110" t="s">
        <v>145</v>
      </c>
      <c r="H110">
        <v>108070</v>
      </c>
      <c r="I110">
        <v>193500</v>
      </c>
      <c r="J110">
        <v>0.5585</v>
      </c>
      <c r="K110">
        <v>1.7905061534190803</v>
      </c>
      <c r="L110" t="s">
        <v>13</v>
      </c>
      <c r="M110" t="s">
        <v>446</v>
      </c>
    </row>
    <row r="111" spans="1:13" x14ac:dyDescent="0.35">
      <c r="A111">
        <v>2002299</v>
      </c>
      <c r="B111" s="3">
        <v>44412</v>
      </c>
      <c r="C111" t="s">
        <v>462</v>
      </c>
      <c r="D111">
        <v>2021</v>
      </c>
      <c r="E111" t="s">
        <v>463</v>
      </c>
      <c r="F111" t="s">
        <v>181</v>
      </c>
      <c r="G111" t="s">
        <v>234</v>
      </c>
      <c r="H111">
        <v>169050</v>
      </c>
      <c r="I111" s="9">
        <v>355000</v>
      </c>
      <c r="J111" s="10">
        <v>0.47610000000000002</v>
      </c>
      <c r="K111" s="11">
        <v>2.0999704229517895</v>
      </c>
      <c r="L111" t="s">
        <v>13</v>
      </c>
      <c r="M111" t="s">
        <v>445</v>
      </c>
    </row>
    <row r="112" spans="1:13" x14ac:dyDescent="0.35">
      <c r="A112">
        <v>202876</v>
      </c>
      <c r="B112" s="3">
        <v>44426</v>
      </c>
      <c r="C112" t="s">
        <v>462</v>
      </c>
      <c r="D112">
        <v>2021</v>
      </c>
      <c r="E112" t="s">
        <v>463</v>
      </c>
      <c r="F112" t="s">
        <v>122</v>
      </c>
      <c r="G112" t="s">
        <v>175</v>
      </c>
      <c r="H112">
        <v>256270</v>
      </c>
      <c r="I112" s="9">
        <v>355000</v>
      </c>
      <c r="J112">
        <v>0.7218</v>
      </c>
      <c r="K112">
        <v>1.3852577359815819</v>
      </c>
      <c r="L112" t="s">
        <v>13</v>
      </c>
      <c r="M112" t="s">
        <v>446</v>
      </c>
    </row>
    <row r="113" spans="1:13" x14ac:dyDescent="0.35">
      <c r="A113">
        <v>200656</v>
      </c>
      <c r="B113" s="3">
        <v>44316</v>
      </c>
      <c r="C113" t="s">
        <v>452</v>
      </c>
      <c r="D113">
        <v>2021</v>
      </c>
      <c r="E113" t="s">
        <v>453</v>
      </c>
      <c r="F113" t="s">
        <v>133</v>
      </c>
      <c r="G113" t="s">
        <v>179</v>
      </c>
      <c r="H113">
        <v>262300</v>
      </c>
      <c r="I113" s="9">
        <v>352000</v>
      </c>
      <c r="J113">
        <v>0.74509999999999998</v>
      </c>
      <c r="K113">
        <v>1.341974837971788</v>
      </c>
      <c r="L113" t="s">
        <v>10</v>
      </c>
      <c r="M113" t="s">
        <v>446</v>
      </c>
    </row>
    <row r="114" spans="1:13" hidden="1" x14ac:dyDescent="0.35">
      <c r="A114">
        <v>200106</v>
      </c>
      <c r="B114" s="3">
        <v>44137</v>
      </c>
      <c r="C114" t="s">
        <v>475</v>
      </c>
      <c r="D114">
        <v>2020</v>
      </c>
      <c r="E114" t="s">
        <v>476</v>
      </c>
      <c r="F114" t="s">
        <v>139</v>
      </c>
      <c r="G114" t="s">
        <v>250</v>
      </c>
      <c r="H114">
        <v>126570</v>
      </c>
      <c r="I114">
        <v>225005</v>
      </c>
      <c r="J114">
        <v>0.5625</v>
      </c>
      <c r="K114">
        <v>1.7777119380579915</v>
      </c>
      <c r="L114" t="s">
        <v>13</v>
      </c>
      <c r="M114" t="s">
        <v>446</v>
      </c>
    </row>
    <row r="115" spans="1:13" hidden="1" x14ac:dyDescent="0.35">
      <c r="A115">
        <v>160697</v>
      </c>
      <c r="B115" s="3">
        <v>42782</v>
      </c>
      <c r="C115" t="s">
        <v>460</v>
      </c>
      <c r="D115">
        <v>2017</v>
      </c>
      <c r="E115" t="s">
        <v>529</v>
      </c>
      <c r="F115" t="s">
        <v>181</v>
      </c>
      <c r="G115" t="s">
        <v>366</v>
      </c>
      <c r="H115">
        <v>47960</v>
      </c>
      <c r="I115">
        <v>85000</v>
      </c>
      <c r="J115">
        <v>0.56423529400000005</v>
      </c>
      <c r="K115">
        <v>1.7723102585487907</v>
      </c>
      <c r="L115" t="s">
        <v>16</v>
      </c>
      <c r="M115" t="s">
        <v>446</v>
      </c>
    </row>
    <row r="116" spans="1:13" x14ac:dyDescent="0.35">
      <c r="A116">
        <v>200086</v>
      </c>
      <c r="B116" s="3">
        <v>44418</v>
      </c>
      <c r="C116" t="s">
        <v>462</v>
      </c>
      <c r="D116">
        <v>2021</v>
      </c>
      <c r="E116" t="s">
        <v>463</v>
      </c>
      <c r="F116" t="s">
        <v>25</v>
      </c>
      <c r="G116" t="s">
        <v>26</v>
      </c>
      <c r="H116">
        <v>168900</v>
      </c>
      <c r="I116" s="9">
        <v>352000</v>
      </c>
      <c r="J116" s="10">
        <v>0.4798</v>
      </c>
      <c r="K116" s="11">
        <v>2.0840734162226169</v>
      </c>
      <c r="L116" t="s">
        <v>13</v>
      </c>
      <c r="M116" t="s">
        <v>445</v>
      </c>
    </row>
    <row r="117" spans="1:13" x14ac:dyDescent="0.35">
      <c r="A117">
        <v>200210</v>
      </c>
      <c r="B117" s="3">
        <v>44389</v>
      </c>
      <c r="C117" t="s">
        <v>458</v>
      </c>
      <c r="D117">
        <v>2021</v>
      </c>
      <c r="E117" t="s">
        <v>459</v>
      </c>
      <c r="F117" t="s">
        <v>123</v>
      </c>
      <c r="G117" t="s">
        <v>124</v>
      </c>
      <c r="H117">
        <v>169400</v>
      </c>
      <c r="I117" s="9">
        <v>345000</v>
      </c>
      <c r="J117" s="10">
        <v>0.49099999999999999</v>
      </c>
      <c r="K117" s="11">
        <v>2.0365997638724913</v>
      </c>
      <c r="L117" t="s">
        <v>13</v>
      </c>
      <c r="M117" t="s">
        <v>445</v>
      </c>
    </row>
    <row r="118" spans="1:13" x14ac:dyDescent="0.35">
      <c r="A118">
        <v>200149</v>
      </c>
      <c r="B118" s="3">
        <v>44389</v>
      </c>
      <c r="C118" t="s">
        <v>458</v>
      </c>
      <c r="D118">
        <v>2021</v>
      </c>
      <c r="E118" t="s">
        <v>459</v>
      </c>
      <c r="F118" t="s">
        <v>244</v>
      </c>
      <c r="G118" t="s">
        <v>245</v>
      </c>
      <c r="H118">
        <v>204000</v>
      </c>
      <c r="I118" s="9">
        <v>337500</v>
      </c>
      <c r="J118">
        <v>0.60440000000000005</v>
      </c>
      <c r="K118">
        <v>1.6544117647058822</v>
      </c>
      <c r="L118" t="s">
        <v>13</v>
      </c>
      <c r="M118" t="s">
        <v>446</v>
      </c>
    </row>
    <row r="119" spans="1:13" hidden="1" x14ac:dyDescent="0.35">
      <c r="A119">
        <v>20200059</v>
      </c>
      <c r="B119" s="3">
        <v>44117</v>
      </c>
      <c r="C119" t="s">
        <v>469</v>
      </c>
      <c r="D119">
        <v>2020</v>
      </c>
      <c r="E119" t="s">
        <v>470</v>
      </c>
      <c r="F119" t="s">
        <v>129</v>
      </c>
      <c r="G119" t="s">
        <v>240</v>
      </c>
      <c r="H119">
        <v>156380</v>
      </c>
      <c r="I119">
        <v>276000</v>
      </c>
      <c r="J119">
        <v>0.5665</v>
      </c>
      <c r="K119">
        <v>1.7649315769279958</v>
      </c>
      <c r="L119" t="s">
        <v>13</v>
      </c>
      <c r="M119" t="s">
        <v>446</v>
      </c>
    </row>
    <row r="120" spans="1:13" hidden="1" x14ac:dyDescent="0.35">
      <c r="A120">
        <v>161740</v>
      </c>
      <c r="B120" s="3">
        <v>42951</v>
      </c>
      <c r="C120" t="s">
        <v>462</v>
      </c>
      <c r="D120">
        <v>2017</v>
      </c>
      <c r="E120" t="s">
        <v>503</v>
      </c>
      <c r="F120" t="s">
        <v>181</v>
      </c>
      <c r="G120" t="s">
        <v>392</v>
      </c>
      <c r="H120">
        <v>102440</v>
      </c>
      <c r="I120">
        <v>180450</v>
      </c>
      <c r="J120">
        <v>0.56769188100000001</v>
      </c>
      <c r="K120">
        <v>1.761518937914877</v>
      </c>
      <c r="L120" t="s">
        <v>16</v>
      </c>
      <c r="M120" t="s">
        <v>446</v>
      </c>
    </row>
    <row r="121" spans="1:13" x14ac:dyDescent="0.35">
      <c r="A121">
        <v>200522</v>
      </c>
      <c r="B121" s="3">
        <v>44259</v>
      </c>
      <c r="C121" t="s">
        <v>471</v>
      </c>
      <c r="D121">
        <v>2021</v>
      </c>
      <c r="E121" t="s">
        <v>472</v>
      </c>
      <c r="F121" t="s">
        <v>133</v>
      </c>
      <c r="G121" t="s">
        <v>178</v>
      </c>
      <c r="H121">
        <v>174400</v>
      </c>
      <c r="I121" s="9">
        <v>335000</v>
      </c>
      <c r="J121">
        <v>0.52049999999999996</v>
      </c>
      <c r="K121">
        <v>1.9208715596330275</v>
      </c>
      <c r="L121" t="s">
        <v>13</v>
      </c>
      <c r="M121" t="s">
        <v>446</v>
      </c>
    </row>
    <row r="122" spans="1:13" hidden="1" x14ac:dyDescent="0.35">
      <c r="A122">
        <v>20102</v>
      </c>
      <c r="B122" s="3">
        <v>44174</v>
      </c>
      <c r="C122" t="s">
        <v>450</v>
      </c>
      <c r="D122">
        <v>2020</v>
      </c>
      <c r="E122" t="s">
        <v>468</v>
      </c>
      <c r="F122" t="s">
        <v>191</v>
      </c>
      <c r="G122" t="s">
        <v>270</v>
      </c>
      <c r="H122">
        <v>127000</v>
      </c>
      <c r="I122">
        <v>223000</v>
      </c>
      <c r="J122">
        <v>0.56950000000000001</v>
      </c>
      <c r="K122">
        <v>1.7559055118110236</v>
      </c>
      <c r="L122" t="s">
        <v>13</v>
      </c>
      <c r="M122" t="s">
        <v>446</v>
      </c>
    </row>
    <row r="123" spans="1:13" x14ac:dyDescent="0.35">
      <c r="A123">
        <v>200494</v>
      </c>
      <c r="B123" s="3">
        <v>44246</v>
      </c>
      <c r="C123" t="s">
        <v>460</v>
      </c>
      <c r="D123">
        <v>2021</v>
      </c>
      <c r="E123" t="s">
        <v>461</v>
      </c>
      <c r="F123" t="s">
        <v>192</v>
      </c>
      <c r="G123" t="s">
        <v>275</v>
      </c>
      <c r="H123">
        <v>181720</v>
      </c>
      <c r="I123" s="9">
        <v>327900</v>
      </c>
      <c r="J123">
        <v>0.55410000000000004</v>
      </c>
      <c r="K123">
        <v>1.8044243891701519</v>
      </c>
      <c r="L123" t="s">
        <v>13</v>
      </c>
      <c r="M123" t="s">
        <v>446</v>
      </c>
    </row>
    <row r="124" spans="1:13" x14ac:dyDescent="0.35">
      <c r="A124">
        <v>2020348</v>
      </c>
      <c r="B124" s="3">
        <v>44452</v>
      </c>
      <c r="C124" t="s">
        <v>473</v>
      </c>
      <c r="D124">
        <v>2021</v>
      </c>
      <c r="E124" t="s">
        <v>474</v>
      </c>
      <c r="F124" t="s">
        <v>8</v>
      </c>
      <c r="G124" t="s">
        <v>9</v>
      </c>
      <c r="H124">
        <v>150500</v>
      </c>
      <c r="I124" s="9">
        <v>325000</v>
      </c>
      <c r="J124" s="10">
        <v>0.46300000000000002</v>
      </c>
      <c r="K124" s="11">
        <v>2.1594684385382061</v>
      </c>
      <c r="L124" t="s">
        <v>10</v>
      </c>
      <c r="M124" t="s">
        <v>445</v>
      </c>
    </row>
    <row r="125" spans="1:13" x14ac:dyDescent="0.35">
      <c r="A125">
        <v>201443</v>
      </c>
      <c r="B125" s="3">
        <v>44440</v>
      </c>
      <c r="C125" t="s">
        <v>473</v>
      </c>
      <c r="D125">
        <v>2021</v>
      </c>
      <c r="E125" t="s">
        <v>474</v>
      </c>
      <c r="F125" t="s">
        <v>56</v>
      </c>
      <c r="G125" t="s">
        <v>61</v>
      </c>
      <c r="H125">
        <v>158700</v>
      </c>
      <c r="I125" s="9">
        <v>325000</v>
      </c>
      <c r="J125" s="10">
        <v>0.48830000000000001</v>
      </c>
      <c r="K125" s="11">
        <v>2.0478890989287963</v>
      </c>
      <c r="L125" t="s">
        <v>13</v>
      </c>
      <c r="M125" t="s">
        <v>445</v>
      </c>
    </row>
    <row r="126" spans="1:13" hidden="1" x14ac:dyDescent="0.35">
      <c r="A126">
        <v>200035</v>
      </c>
      <c r="B126" s="3">
        <v>44133</v>
      </c>
      <c r="C126" t="s">
        <v>469</v>
      </c>
      <c r="D126">
        <v>2020</v>
      </c>
      <c r="E126" t="s">
        <v>470</v>
      </c>
      <c r="F126" t="s">
        <v>48</v>
      </c>
      <c r="G126" t="s">
        <v>49</v>
      </c>
      <c r="H126">
        <v>223900</v>
      </c>
      <c r="I126">
        <v>392000</v>
      </c>
      <c r="J126">
        <v>0.57110000000000005</v>
      </c>
      <c r="K126">
        <v>1.7507815989280928</v>
      </c>
      <c r="L126" t="s">
        <v>13</v>
      </c>
      <c r="M126" t="s">
        <v>446</v>
      </c>
    </row>
    <row r="127" spans="1:13" hidden="1" x14ac:dyDescent="0.35">
      <c r="A127">
        <v>201078</v>
      </c>
      <c r="B127" s="3">
        <v>44186</v>
      </c>
      <c r="C127" t="s">
        <v>450</v>
      </c>
      <c r="D127">
        <v>2020</v>
      </c>
      <c r="E127" t="s">
        <v>468</v>
      </c>
      <c r="F127" t="s">
        <v>90</v>
      </c>
      <c r="G127" t="s">
        <v>91</v>
      </c>
      <c r="H127">
        <v>173040</v>
      </c>
      <c r="I127">
        <v>302000</v>
      </c>
      <c r="J127">
        <v>0.57289999999999996</v>
      </c>
      <c r="K127">
        <v>1.7452612112806287</v>
      </c>
      <c r="L127" t="s">
        <v>13</v>
      </c>
      <c r="M127" t="s">
        <v>446</v>
      </c>
    </row>
    <row r="128" spans="1:13" x14ac:dyDescent="0.35">
      <c r="A128">
        <v>2000448</v>
      </c>
      <c r="B128" s="3">
        <v>44364</v>
      </c>
      <c r="C128" t="s">
        <v>454</v>
      </c>
      <c r="D128">
        <v>2021</v>
      </c>
      <c r="E128" t="s">
        <v>455</v>
      </c>
      <c r="F128" t="s">
        <v>277</v>
      </c>
      <c r="G128" t="s">
        <v>278</v>
      </c>
      <c r="H128">
        <v>158870</v>
      </c>
      <c r="I128" s="9">
        <v>315000</v>
      </c>
      <c r="J128">
        <v>0.50429999999999997</v>
      </c>
      <c r="K128">
        <v>1.9827531944357022</v>
      </c>
      <c r="L128" t="s">
        <v>13</v>
      </c>
      <c r="M128" t="s">
        <v>446</v>
      </c>
    </row>
    <row r="129" spans="1:13" x14ac:dyDescent="0.35">
      <c r="A129">
        <v>20492</v>
      </c>
      <c r="B129" s="3">
        <v>44427</v>
      </c>
      <c r="C129" t="s">
        <v>462</v>
      </c>
      <c r="D129">
        <v>2021</v>
      </c>
      <c r="E129" t="s">
        <v>463</v>
      </c>
      <c r="F129" t="s">
        <v>184</v>
      </c>
      <c r="G129" t="s">
        <v>188</v>
      </c>
      <c r="H129">
        <v>142910</v>
      </c>
      <c r="I129" s="9">
        <v>310000</v>
      </c>
      <c r="J129" s="10">
        <v>0.46100000000000002</v>
      </c>
      <c r="K129" s="11">
        <v>2.1691973969631237</v>
      </c>
      <c r="L129" t="s">
        <v>13</v>
      </c>
      <c r="M129" t="s">
        <v>445</v>
      </c>
    </row>
    <row r="130" spans="1:13" x14ac:dyDescent="0.35">
      <c r="A130">
        <v>200700</v>
      </c>
      <c r="B130" s="3">
        <v>44390</v>
      </c>
      <c r="C130" t="s">
        <v>458</v>
      </c>
      <c r="D130">
        <v>2021</v>
      </c>
      <c r="E130" t="s">
        <v>459</v>
      </c>
      <c r="F130" t="s">
        <v>73</v>
      </c>
      <c r="G130" t="s">
        <v>420</v>
      </c>
      <c r="H130">
        <v>161590</v>
      </c>
      <c r="I130" s="9">
        <v>310000</v>
      </c>
      <c r="J130">
        <v>0.5212</v>
      </c>
      <c r="K130">
        <v>1.9184355467541307</v>
      </c>
      <c r="L130" t="s">
        <v>13</v>
      </c>
      <c r="M130" t="s">
        <v>446</v>
      </c>
    </row>
    <row r="131" spans="1:13" x14ac:dyDescent="0.35">
      <c r="A131">
        <v>200376</v>
      </c>
      <c r="B131" s="3">
        <v>44200</v>
      </c>
      <c r="C131" t="s">
        <v>464</v>
      </c>
      <c r="D131">
        <v>2021</v>
      </c>
      <c r="E131" t="s">
        <v>465</v>
      </c>
      <c r="F131" t="s">
        <v>192</v>
      </c>
      <c r="G131" t="s">
        <v>274</v>
      </c>
      <c r="H131">
        <v>216580</v>
      </c>
      <c r="I131" s="9">
        <v>305000</v>
      </c>
      <c r="J131">
        <v>0.71</v>
      </c>
      <c r="K131">
        <v>1.4082556099362822</v>
      </c>
      <c r="L131" t="s">
        <v>13</v>
      </c>
      <c r="M131" t="s">
        <v>446</v>
      </c>
    </row>
    <row r="132" spans="1:13" hidden="1" x14ac:dyDescent="0.35">
      <c r="A132">
        <v>70073</v>
      </c>
      <c r="B132" s="3">
        <v>39521</v>
      </c>
      <c r="C132" t="s">
        <v>471</v>
      </c>
      <c r="D132">
        <v>2008</v>
      </c>
      <c r="E132" t="s">
        <v>477</v>
      </c>
      <c r="F132" t="s">
        <v>41</v>
      </c>
      <c r="G132" t="s">
        <v>301</v>
      </c>
      <c r="H132">
        <v>126000</v>
      </c>
      <c r="I132">
        <v>217500</v>
      </c>
      <c r="J132">
        <v>0.579310345</v>
      </c>
      <c r="K132">
        <v>1.7261904761904763</v>
      </c>
      <c r="L132" t="s">
        <v>16</v>
      </c>
      <c r="M132" t="s">
        <v>446</v>
      </c>
    </row>
    <row r="133" spans="1:13" hidden="1" x14ac:dyDescent="0.35">
      <c r="A133">
        <v>200354</v>
      </c>
      <c r="B133" s="3">
        <v>44194</v>
      </c>
      <c r="C133" t="s">
        <v>450</v>
      </c>
      <c r="D133">
        <v>2020</v>
      </c>
      <c r="E133" t="s">
        <v>468</v>
      </c>
      <c r="F133" t="s">
        <v>32</v>
      </c>
      <c r="G133" t="s">
        <v>34</v>
      </c>
      <c r="H133">
        <v>173740</v>
      </c>
      <c r="I133">
        <v>299000</v>
      </c>
      <c r="J133">
        <v>0.58099999999999996</v>
      </c>
      <c r="K133">
        <v>1.720962357545758</v>
      </c>
      <c r="L133" t="s">
        <v>13</v>
      </c>
      <c r="M133" t="s">
        <v>446</v>
      </c>
    </row>
    <row r="134" spans="1:13" x14ac:dyDescent="0.35">
      <c r="A134">
        <v>200961</v>
      </c>
      <c r="B134" s="3">
        <v>44378</v>
      </c>
      <c r="C134" t="s">
        <v>458</v>
      </c>
      <c r="D134">
        <v>2021</v>
      </c>
      <c r="E134" t="s">
        <v>459</v>
      </c>
      <c r="F134" t="s">
        <v>125</v>
      </c>
      <c r="G134" t="s">
        <v>128</v>
      </c>
      <c r="H134">
        <v>130340</v>
      </c>
      <c r="I134" s="9">
        <v>305000</v>
      </c>
      <c r="J134" s="10">
        <v>0.42730000000000001</v>
      </c>
      <c r="K134" s="11">
        <v>2.340033757864048</v>
      </c>
      <c r="L134" t="s">
        <v>13</v>
      </c>
      <c r="M134" t="s">
        <v>445</v>
      </c>
    </row>
    <row r="135" spans="1:13" x14ac:dyDescent="0.35">
      <c r="A135">
        <v>200557</v>
      </c>
      <c r="B135" s="3">
        <v>44267</v>
      </c>
      <c r="C135" t="s">
        <v>471</v>
      </c>
      <c r="D135">
        <v>2021</v>
      </c>
      <c r="E135" t="s">
        <v>472</v>
      </c>
      <c r="F135" t="s">
        <v>192</v>
      </c>
      <c r="G135" t="s">
        <v>276</v>
      </c>
      <c r="H135">
        <v>166670</v>
      </c>
      <c r="I135" s="9">
        <v>305000</v>
      </c>
      <c r="J135">
        <v>0.5464</v>
      </c>
      <c r="K135">
        <v>1.8299634007319854</v>
      </c>
      <c r="L135" t="s">
        <v>13</v>
      </c>
      <c r="M135" t="s">
        <v>446</v>
      </c>
    </row>
    <row r="136" spans="1:13" hidden="1" x14ac:dyDescent="0.35">
      <c r="A136">
        <v>2000212</v>
      </c>
      <c r="B136" s="3">
        <v>44132</v>
      </c>
      <c r="C136" t="s">
        <v>469</v>
      </c>
      <c r="D136">
        <v>2020</v>
      </c>
      <c r="E136" t="s">
        <v>470</v>
      </c>
      <c r="F136" t="s">
        <v>181</v>
      </c>
      <c r="G136" t="s">
        <v>231</v>
      </c>
      <c r="H136">
        <v>199330</v>
      </c>
      <c r="I136">
        <v>342500</v>
      </c>
      <c r="J136">
        <v>0.58189999999999997</v>
      </c>
      <c r="K136">
        <v>1.7182561581297346</v>
      </c>
      <c r="L136" t="s">
        <v>13</v>
      </c>
      <c r="M136" t="s">
        <v>446</v>
      </c>
    </row>
    <row r="137" spans="1:13" x14ac:dyDescent="0.35">
      <c r="A137">
        <v>200484</v>
      </c>
      <c r="B137" s="3">
        <v>44389</v>
      </c>
      <c r="C137" t="s">
        <v>458</v>
      </c>
      <c r="D137">
        <v>2021</v>
      </c>
      <c r="E137" t="s">
        <v>459</v>
      </c>
      <c r="F137" t="s">
        <v>187</v>
      </c>
      <c r="G137" t="s">
        <v>259</v>
      </c>
      <c r="H137">
        <v>126800</v>
      </c>
      <c r="I137" s="9">
        <v>300000</v>
      </c>
      <c r="J137" s="10">
        <v>0.42259999999999998</v>
      </c>
      <c r="K137" s="11">
        <v>2.3659305993690851</v>
      </c>
      <c r="L137" t="s">
        <v>13</v>
      </c>
      <c r="M137" t="s">
        <v>445</v>
      </c>
    </row>
    <row r="138" spans="1:13" hidden="1" x14ac:dyDescent="0.35">
      <c r="A138">
        <v>70130</v>
      </c>
      <c r="B138" s="3">
        <v>39689</v>
      </c>
      <c r="C138" t="s">
        <v>462</v>
      </c>
      <c r="D138">
        <v>2008</v>
      </c>
      <c r="E138" t="s">
        <v>514</v>
      </c>
      <c r="F138" t="s">
        <v>119</v>
      </c>
      <c r="G138" t="s">
        <v>430</v>
      </c>
      <c r="H138">
        <v>91700</v>
      </c>
      <c r="I138">
        <v>157000</v>
      </c>
      <c r="J138">
        <v>0.58407643300000001</v>
      </c>
      <c r="K138">
        <v>1.7121046892039258</v>
      </c>
      <c r="L138" t="s">
        <v>16</v>
      </c>
      <c r="M138" t="s">
        <v>446</v>
      </c>
    </row>
    <row r="139" spans="1:13" hidden="1" x14ac:dyDescent="0.35">
      <c r="A139">
        <v>130962</v>
      </c>
      <c r="B139" s="3">
        <v>41890</v>
      </c>
      <c r="C139" t="s">
        <v>473</v>
      </c>
      <c r="D139">
        <v>2014</v>
      </c>
      <c r="E139" t="s">
        <v>481</v>
      </c>
      <c r="F139" t="s">
        <v>260</v>
      </c>
      <c r="G139" t="s">
        <v>356</v>
      </c>
      <c r="H139">
        <v>301070</v>
      </c>
      <c r="I139">
        <v>515000</v>
      </c>
      <c r="J139">
        <v>0.58460194200000004</v>
      </c>
      <c r="K139">
        <v>1.7105656491845751</v>
      </c>
      <c r="L139" t="s">
        <v>16</v>
      </c>
      <c r="M139" t="s">
        <v>446</v>
      </c>
    </row>
    <row r="140" spans="1:13" hidden="1" x14ac:dyDescent="0.35">
      <c r="A140">
        <v>90347</v>
      </c>
      <c r="B140" s="3">
        <v>40177</v>
      </c>
      <c r="C140" t="s">
        <v>450</v>
      </c>
      <c r="D140">
        <v>2009</v>
      </c>
      <c r="E140" t="s">
        <v>494</v>
      </c>
      <c r="F140" t="s">
        <v>264</v>
      </c>
      <c r="G140" t="s">
        <v>348</v>
      </c>
      <c r="H140">
        <v>87700</v>
      </c>
      <c r="I140">
        <v>149850</v>
      </c>
      <c r="J140">
        <v>0.58525191899999995</v>
      </c>
      <c r="K140">
        <v>1.7086659064994298</v>
      </c>
      <c r="L140" t="s">
        <v>16</v>
      </c>
      <c r="M140" t="s">
        <v>446</v>
      </c>
    </row>
    <row r="141" spans="1:13" x14ac:dyDescent="0.35">
      <c r="A141">
        <v>20200070</v>
      </c>
      <c r="B141" s="3">
        <v>44294</v>
      </c>
      <c r="C141" t="s">
        <v>452</v>
      </c>
      <c r="D141">
        <v>2021</v>
      </c>
      <c r="E141" t="s">
        <v>453</v>
      </c>
      <c r="F141" t="s">
        <v>135</v>
      </c>
      <c r="G141" t="s">
        <v>204</v>
      </c>
      <c r="H141">
        <v>170200</v>
      </c>
      <c r="I141" s="9">
        <v>287000</v>
      </c>
      <c r="J141">
        <v>0.59299999999999997</v>
      </c>
      <c r="K141">
        <v>1.6862514688601644</v>
      </c>
      <c r="L141" t="s">
        <v>13</v>
      </c>
      <c r="M141" t="s">
        <v>446</v>
      </c>
    </row>
    <row r="142" spans="1:13" hidden="1" x14ac:dyDescent="0.35">
      <c r="A142">
        <v>20002</v>
      </c>
      <c r="B142" s="3">
        <v>44106</v>
      </c>
      <c r="C142" t="s">
        <v>469</v>
      </c>
      <c r="D142">
        <v>2020</v>
      </c>
      <c r="E142" t="s">
        <v>470</v>
      </c>
      <c r="F142" t="s">
        <v>11</v>
      </c>
      <c r="G142" t="s">
        <v>12</v>
      </c>
      <c r="H142">
        <v>253000</v>
      </c>
      <c r="I142">
        <v>430000</v>
      </c>
      <c r="J142">
        <v>0.58830000000000005</v>
      </c>
      <c r="K142">
        <v>1.6996047430830039</v>
      </c>
      <c r="L142" t="s">
        <v>13</v>
      </c>
      <c r="M142" t="s">
        <v>446</v>
      </c>
    </row>
    <row r="143" spans="1:13" x14ac:dyDescent="0.35">
      <c r="A143">
        <v>200709</v>
      </c>
      <c r="B143" s="3">
        <v>44302</v>
      </c>
      <c r="C143" t="s">
        <v>452</v>
      </c>
      <c r="D143">
        <v>2021</v>
      </c>
      <c r="E143" t="s">
        <v>453</v>
      </c>
      <c r="F143" t="s">
        <v>117</v>
      </c>
      <c r="G143" t="s">
        <v>118</v>
      </c>
      <c r="H143">
        <v>138100</v>
      </c>
      <c r="I143" s="9">
        <v>282500</v>
      </c>
      <c r="J143" s="10">
        <v>0.48884955800000002</v>
      </c>
      <c r="K143" s="11">
        <v>2.0456191165821869</v>
      </c>
      <c r="L143" t="s">
        <v>13</v>
      </c>
      <c r="M143" t="s">
        <v>445</v>
      </c>
    </row>
    <row r="144" spans="1:13" x14ac:dyDescent="0.35">
      <c r="A144">
        <v>200117</v>
      </c>
      <c r="B144" s="3">
        <v>44298</v>
      </c>
      <c r="C144" t="s">
        <v>452</v>
      </c>
      <c r="D144">
        <v>2021</v>
      </c>
      <c r="E144" t="s">
        <v>453</v>
      </c>
      <c r="F144" t="s">
        <v>41</v>
      </c>
      <c r="G144" t="s">
        <v>42</v>
      </c>
      <c r="H144">
        <v>160850</v>
      </c>
      <c r="I144" s="9">
        <v>280000</v>
      </c>
      <c r="J144">
        <v>0.57440000000000002</v>
      </c>
      <c r="K144">
        <v>1.7407522536524713</v>
      </c>
      <c r="L144" t="s">
        <v>13</v>
      </c>
      <c r="M144" t="s">
        <v>446</v>
      </c>
    </row>
    <row r="145" spans="1:13" x14ac:dyDescent="0.35">
      <c r="A145">
        <v>20899</v>
      </c>
      <c r="B145" s="3">
        <v>44368</v>
      </c>
      <c r="C145" t="s">
        <v>454</v>
      </c>
      <c r="D145">
        <v>2021</v>
      </c>
      <c r="E145" t="s">
        <v>455</v>
      </c>
      <c r="F145" t="s">
        <v>98</v>
      </c>
      <c r="G145" t="s">
        <v>427</v>
      </c>
      <c r="H145">
        <v>137270</v>
      </c>
      <c r="I145" s="9">
        <v>278500</v>
      </c>
      <c r="J145" s="10">
        <v>0.49280000000000002</v>
      </c>
      <c r="K145" s="11">
        <v>2.0288482552633496</v>
      </c>
      <c r="L145" t="s">
        <v>103</v>
      </c>
      <c r="M145" t="s">
        <v>445</v>
      </c>
    </row>
    <row r="146" spans="1:13" hidden="1" x14ac:dyDescent="0.35">
      <c r="A146">
        <v>70101</v>
      </c>
      <c r="B146" s="3">
        <v>39510</v>
      </c>
      <c r="C146" t="s">
        <v>471</v>
      </c>
      <c r="D146">
        <v>2008</v>
      </c>
      <c r="E146" t="s">
        <v>477</v>
      </c>
      <c r="F146" t="s">
        <v>136</v>
      </c>
      <c r="G146" t="s">
        <v>300</v>
      </c>
      <c r="H146">
        <v>342230</v>
      </c>
      <c r="I146">
        <v>575000</v>
      </c>
      <c r="J146">
        <v>0.59518260899999997</v>
      </c>
      <c r="K146">
        <v>1.6801566198170821</v>
      </c>
      <c r="L146" t="s">
        <v>16</v>
      </c>
      <c r="M146" t="s">
        <v>446</v>
      </c>
    </row>
    <row r="147" spans="1:13" x14ac:dyDescent="0.35">
      <c r="A147">
        <v>2000327</v>
      </c>
      <c r="B147" s="3">
        <v>44258</v>
      </c>
      <c r="C147" t="s">
        <v>471</v>
      </c>
      <c r="D147">
        <v>2021</v>
      </c>
      <c r="E147" t="s">
        <v>472</v>
      </c>
      <c r="F147" t="s">
        <v>140</v>
      </c>
      <c r="G147" t="s">
        <v>428</v>
      </c>
      <c r="H147">
        <v>157810</v>
      </c>
      <c r="I147" s="9">
        <v>276500</v>
      </c>
      <c r="J147">
        <v>0.57069999999999999</v>
      </c>
      <c r="K147">
        <v>1.7521069640707179</v>
      </c>
      <c r="L147" t="s">
        <v>13</v>
      </c>
      <c r="M147" t="s">
        <v>446</v>
      </c>
    </row>
    <row r="148" spans="1:13" x14ac:dyDescent="0.35">
      <c r="A148">
        <v>201245</v>
      </c>
      <c r="B148" s="3">
        <v>44453</v>
      </c>
      <c r="C148" t="s">
        <v>473</v>
      </c>
      <c r="D148">
        <v>2021</v>
      </c>
      <c r="E148" t="s">
        <v>474</v>
      </c>
      <c r="F148" t="s">
        <v>125</v>
      </c>
      <c r="G148" t="s">
        <v>131</v>
      </c>
      <c r="H148">
        <v>128170</v>
      </c>
      <c r="I148" s="9">
        <v>260000</v>
      </c>
      <c r="J148" s="10">
        <v>0.4929</v>
      </c>
      <c r="K148" s="11">
        <v>2.0285558242958572</v>
      </c>
      <c r="L148" t="s">
        <v>13</v>
      </c>
      <c r="M148" t="s">
        <v>445</v>
      </c>
    </row>
    <row r="149" spans="1:13" x14ac:dyDescent="0.35">
      <c r="A149">
        <v>2000513</v>
      </c>
      <c r="B149" s="3">
        <v>44397</v>
      </c>
      <c r="C149" t="s">
        <v>458</v>
      </c>
      <c r="D149">
        <v>2021</v>
      </c>
      <c r="E149" t="s">
        <v>459</v>
      </c>
      <c r="F149" t="s">
        <v>277</v>
      </c>
      <c r="G149" t="s">
        <v>279</v>
      </c>
      <c r="H149">
        <v>144050</v>
      </c>
      <c r="I149" s="9">
        <v>257500</v>
      </c>
      <c r="J149">
        <v>0.55940000000000001</v>
      </c>
      <c r="K149">
        <v>1.7875737591114196</v>
      </c>
      <c r="L149" t="s">
        <v>13</v>
      </c>
      <c r="M149" t="s">
        <v>446</v>
      </c>
    </row>
    <row r="150" spans="1:13" hidden="1" x14ac:dyDescent="0.35">
      <c r="A150">
        <v>141056</v>
      </c>
      <c r="B150" s="3">
        <v>42157</v>
      </c>
      <c r="C150" t="s">
        <v>454</v>
      </c>
      <c r="D150">
        <v>2015</v>
      </c>
      <c r="E150" t="s">
        <v>480</v>
      </c>
      <c r="F150" t="s">
        <v>181</v>
      </c>
      <c r="G150" t="s">
        <v>359</v>
      </c>
      <c r="H150">
        <v>314280</v>
      </c>
      <c r="I150">
        <v>526000</v>
      </c>
      <c r="J150">
        <v>0.59749049399999998</v>
      </c>
      <c r="K150">
        <v>1.673666793941708</v>
      </c>
      <c r="L150" t="s">
        <v>16</v>
      </c>
      <c r="M150" t="s">
        <v>446</v>
      </c>
    </row>
    <row r="151" spans="1:13" x14ac:dyDescent="0.35">
      <c r="A151">
        <v>20118</v>
      </c>
      <c r="B151" s="3">
        <v>44469</v>
      </c>
      <c r="C151" t="s">
        <v>473</v>
      </c>
      <c r="D151">
        <v>2021</v>
      </c>
      <c r="E151" t="s">
        <v>474</v>
      </c>
      <c r="F151" t="s">
        <v>235</v>
      </c>
      <c r="G151" t="s">
        <v>236</v>
      </c>
      <c r="H151">
        <v>92890</v>
      </c>
      <c r="I151" s="9">
        <v>255000</v>
      </c>
      <c r="J151" s="10">
        <v>0.36420000000000002</v>
      </c>
      <c r="K151" s="11">
        <v>2.7451824738938528</v>
      </c>
      <c r="L151" t="s">
        <v>13</v>
      </c>
      <c r="M151" t="s">
        <v>445</v>
      </c>
    </row>
    <row r="152" spans="1:13" hidden="1" x14ac:dyDescent="0.35">
      <c r="A152">
        <v>180650</v>
      </c>
      <c r="B152" s="3">
        <v>43489</v>
      </c>
      <c r="C152" t="s">
        <v>464</v>
      </c>
      <c r="D152">
        <v>2019</v>
      </c>
      <c r="E152" t="s">
        <v>527</v>
      </c>
      <c r="F152" t="s">
        <v>282</v>
      </c>
      <c r="G152" t="s">
        <v>408</v>
      </c>
      <c r="H152">
        <v>64720</v>
      </c>
      <c r="I152">
        <v>108000</v>
      </c>
      <c r="J152">
        <v>0.59919999999999995</v>
      </c>
      <c r="K152">
        <v>1.6687268232385661</v>
      </c>
      <c r="L152" t="s">
        <v>16</v>
      </c>
      <c r="M152" t="s">
        <v>446</v>
      </c>
    </row>
    <row r="153" spans="1:13" hidden="1" x14ac:dyDescent="0.35">
      <c r="A153">
        <v>190443</v>
      </c>
      <c r="B153" s="3">
        <v>43950</v>
      </c>
      <c r="C153" t="s">
        <v>452</v>
      </c>
      <c r="D153">
        <v>2020</v>
      </c>
      <c r="E153" t="s">
        <v>518</v>
      </c>
      <c r="F153" t="s">
        <v>281</v>
      </c>
      <c r="G153" t="s">
        <v>401</v>
      </c>
      <c r="H153">
        <v>92280</v>
      </c>
      <c r="I153">
        <v>153000</v>
      </c>
      <c r="J153">
        <v>0.60309999999999997</v>
      </c>
      <c r="K153">
        <v>1.6579973992197659</v>
      </c>
      <c r="L153" t="s">
        <v>16</v>
      </c>
      <c r="M153" t="s">
        <v>446</v>
      </c>
    </row>
    <row r="154" spans="1:13" hidden="1" x14ac:dyDescent="0.35">
      <c r="A154">
        <v>161101</v>
      </c>
      <c r="B154" s="3">
        <v>42864</v>
      </c>
      <c r="C154" t="s">
        <v>456</v>
      </c>
      <c r="D154">
        <v>2017</v>
      </c>
      <c r="E154" t="s">
        <v>488</v>
      </c>
      <c r="F154" t="s">
        <v>181</v>
      </c>
      <c r="G154" t="s">
        <v>399</v>
      </c>
      <c r="H154">
        <v>180350</v>
      </c>
      <c r="I154">
        <v>299000</v>
      </c>
      <c r="J154">
        <v>0.60317725799999999</v>
      </c>
      <c r="K154">
        <v>1.6578874410867757</v>
      </c>
      <c r="L154" t="s">
        <v>16</v>
      </c>
      <c r="M154" t="s">
        <v>446</v>
      </c>
    </row>
    <row r="155" spans="1:13" hidden="1" x14ac:dyDescent="0.35">
      <c r="A155">
        <v>70491</v>
      </c>
      <c r="B155" s="3">
        <v>39596</v>
      </c>
      <c r="C155" t="s">
        <v>456</v>
      </c>
      <c r="D155">
        <v>2008</v>
      </c>
      <c r="E155" t="s">
        <v>483</v>
      </c>
      <c r="F155" t="s">
        <v>84</v>
      </c>
      <c r="G155" t="s">
        <v>294</v>
      </c>
      <c r="H155">
        <v>101990</v>
      </c>
      <c r="I155">
        <v>169000</v>
      </c>
      <c r="J155">
        <v>0.60349112400000005</v>
      </c>
      <c r="K155">
        <v>1.6570251985488773</v>
      </c>
      <c r="L155" t="s">
        <v>16</v>
      </c>
      <c r="M155" t="s">
        <v>446</v>
      </c>
    </row>
    <row r="156" spans="1:13" x14ac:dyDescent="0.35">
      <c r="A156">
        <v>2000381</v>
      </c>
      <c r="B156" s="3">
        <v>44452</v>
      </c>
      <c r="C156" t="s">
        <v>473</v>
      </c>
      <c r="D156">
        <v>2021</v>
      </c>
      <c r="E156" t="s">
        <v>474</v>
      </c>
      <c r="F156" t="s">
        <v>27</v>
      </c>
      <c r="G156" t="s">
        <v>28</v>
      </c>
      <c r="H156">
        <v>163730</v>
      </c>
      <c r="I156" s="9">
        <v>250000</v>
      </c>
      <c r="J156">
        <v>0.65490000000000004</v>
      </c>
      <c r="K156">
        <v>1.5269040493495389</v>
      </c>
      <c r="L156" t="s">
        <v>13</v>
      </c>
      <c r="M156" t="s">
        <v>446</v>
      </c>
    </row>
    <row r="157" spans="1:13" hidden="1" x14ac:dyDescent="0.35">
      <c r="A157">
        <v>160293</v>
      </c>
      <c r="B157" s="3">
        <v>42845</v>
      </c>
      <c r="C157" t="s">
        <v>452</v>
      </c>
      <c r="D157">
        <v>2017</v>
      </c>
      <c r="E157" t="s">
        <v>509</v>
      </c>
      <c r="F157" t="s">
        <v>216</v>
      </c>
      <c r="G157" t="s">
        <v>383</v>
      </c>
      <c r="H157">
        <v>102830</v>
      </c>
      <c r="I157">
        <v>170000</v>
      </c>
      <c r="J157">
        <v>0.60488235300000004</v>
      </c>
      <c r="K157">
        <v>1.6532140425945736</v>
      </c>
      <c r="L157" t="s">
        <v>16</v>
      </c>
      <c r="M157" t="s">
        <v>446</v>
      </c>
    </row>
    <row r="158" spans="1:13" x14ac:dyDescent="0.35">
      <c r="A158">
        <v>201295</v>
      </c>
      <c r="B158" s="3">
        <v>44448</v>
      </c>
      <c r="C158" t="s">
        <v>473</v>
      </c>
      <c r="D158">
        <v>2021</v>
      </c>
      <c r="E158" t="s">
        <v>474</v>
      </c>
      <c r="F158" t="s">
        <v>32</v>
      </c>
      <c r="G158" t="s">
        <v>412</v>
      </c>
      <c r="H158">
        <v>144340</v>
      </c>
      <c r="I158" s="9">
        <v>249900</v>
      </c>
      <c r="J158">
        <v>0.57750000000000001</v>
      </c>
      <c r="K158">
        <v>1.7313288069835111</v>
      </c>
      <c r="L158" t="s">
        <v>13</v>
      </c>
      <c r="M158" t="s">
        <v>446</v>
      </c>
    </row>
    <row r="159" spans="1:13" hidden="1" x14ac:dyDescent="0.35">
      <c r="A159">
        <v>160943</v>
      </c>
      <c r="B159" s="3">
        <v>42874</v>
      </c>
      <c r="C159" t="s">
        <v>456</v>
      </c>
      <c r="D159">
        <v>2017</v>
      </c>
      <c r="E159" t="s">
        <v>488</v>
      </c>
      <c r="F159" t="s">
        <v>122</v>
      </c>
      <c r="G159" t="s">
        <v>375</v>
      </c>
      <c r="H159">
        <v>189500</v>
      </c>
      <c r="I159">
        <v>313000</v>
      </c>
      <c r="J159">
        <v>0.60543130999999994</v>
      </c>
      <c r="K159">
        <v>1.6517150395778364</v>
      </c>
      <c r="L159" t="s">
        <v>16</v>
      </c>
      <c r="M159" t="s">
        <v>446</v>
      </c>
    </row>
    <row r="160" spans="1:13" hidden="1" x14ac:dyDescent="0.35">
      <c r="A160">
        <v>200226</v>
      </c>
      <c r="B160" s="3">
        <v>44183</v>
      </c>
      <c r="C160" t="s">
        <v>450</v>
      </c>
      <c r="D160">
        <v>2020</v>
      </c>
      <c r="E160" t="s">
        <v>468</v>
      </c>
      <c r="F160" t="s">
        <v>73</v>
      </c>
      <c r="G160" t="s">
        <v>76</v>
      </c>
      <c r="H160">
        <v>145570</v>
      </c>
      <c r="I160">
        <v>240000</v>
      </c>
      <c r="J160">
        <v>0.60650000000000004</v>
      </c>
      <c r="K160">
        <v>1.6486913512399533</v>
      </c>
      <c r="L160" t="s">
        <v>13</v>
      </c>
      <c r="M160" t="s">
        <v>446</v>
      </c>
    </row>
    <row r="161" spans="1:13" x14ac:dyDescent="0.35">
      <c r="A161">
        <v>20565</v>
      </c>
      <c r="B161" s="3">
        <v>44284</v>
      </c>
      <c r="C161" t="s">
        <v>471</v>
      </c>
      <c r="D161">
        <v>2021</v>
      </c>
      <c r="E161" t="s">
        <v>472</v>
      </c>
      <c r="F161" t="s">
        <v>98</v>
      </c>
      <c r="G161" t="s">
        <v>426</v>
      </c>
      <c r="H161">
        <v>61915</v>
      </c>
      <c r="I161" s="9">
        <v>249000</v>
      </c>
      <c r="J161" s="10">
        <v>0.24859999999999999</v>
      </c>
      <c r="K161" s="11">
        <v>4.021642574497295</v>
      </c>
      <c r="L161" t="s">
        <v>13</v>
      </c>
      <c r="M161" t="s">
        <v>445</v>
      </c>
    </row>
    <row r="162" spans="1:13" hidden="1" x14ac:dyDescent="0.35">
      <c r="A162">
        <v>200025</v>
      </c>
      <c r="B162" s="3">
        <v>44124</v>
      </c>
      <c r="C162" t="s">
        <v>469</v>
      </c>
      <c r="D162">
        <v>2020</v>
      </c>
      <c r="E162" t="s">
        <v>470</v>
      </c>
      <c r="F162" t="s">
        <v>241</v>
      </c>
      <c r="G162" t="s">
        <v>243</v>
      </c>
      <c r="H162">
        <v>159180</v>
      </c>
      <c r="I162">
        <v>261000</v>
      </c>
      <c r="J162">
        <v>0.60980000000000001</v>
      </c>
      <c r="K162">
        <v>1.6396532227666791</v>
      </c>
      <c r="L162" t="s">
        <v>13</v>
      </c>
      <c r="M162" t="s">
        <v>446</v>
      </c>
    </row>
    <row r="163" spans="1:13" hidden="1" x14ac:dyDescent="0.35">
      <c r="A163">
        <v>200032</v>
      </c>
      <c r="B163" s="3">
        <v>44112</v>
      </c>
      <c r="C163" t="s">
        <v>469</v>
      </c>
      <c r="D163">
        <v>2020</v>
      </c>
      <c r="E163" t="s">
        <v>470</v>
      </c>
      <c r="F163" t="s">
        <v>32</v>
      </c>
      <c r="G163" t="s">
        <v>33</v>
      </c>
      <c r="H163">
        <v>94920</v>
      </c>
      <c r="I163">
        <v>155000</v>
      </c>
      <c r="J163">
        <v>0.61229999999999996</v>
      </c>
      <c r="K163">
        <v>1.6329540665823852</v>
      </c>
      <c r="L163" t="s">
        <v>13</v>
      </c>
      <c r="M163" t="s">
        <v>446</v>
      </c>
    </row>
    <row r="164" spans="1:13" x14ac:dyDescent="0.35">
      <c r="A164">
        <v>200101</v>
      </c>
      <c r="B164" s="3">
        <v>44203</v>
      </c>
      <c r="C164" t="s">
        <v>464</v>
      </c>
      <c r="D164">
        <v>2021</v>
      </c>
      <c r="E164" t="s">
        <v>465</v>
      </c>
      <c r="F164" t="s">
        <v>52</v>
      </c>
      <c r="G164" t="s">
        <v>53</v>
      </c>
      <c r="H164">
        <v>142800</v>
      </c>
      <c r="I164" s="9">
        <v>245000</v>
      </c>
      <c r="J164">
        <v>0.58279999999999998</v>
      </c>
      <c r="K164">
        <v>1.7156862745098038</v>
      </c>
      <c r="L164" t="s">
        <v>13</v>
      </c>
      <c r="M164" t="s">
        <v>446</v>
      </c>
    </row>
    <row r="165" spans="1:13" hidden="1" x14ac:dyDescent="0.35">
      <c r="A165">
        <v>161240</v>
      </c>
      <c r="B165" s="3">
        <v>42942</v>
      </c>
      <c r="C165" t="s">
        <v>458</v>
      </c>
      <c r="D165">
        <v>2017</v>
      </c>
      <c r="E165" t="s">
        <v>501</v>
      </c>
      <c r="F165" t="s">
        <v>122</v>
      </c>
      <c r="G165" t="s">
        <v>374</v>
      </c>
      <c r="H165">
        <v>95050</v>
      </c>
      <c r="I165">
        <v>155000</v>
      </c>
      <c r="J165">
        <v>0.61322580599999998</v>
      </c>
      <c r="K165">
        <v>1.6307206733298265</v>
      </c>
      <c r="L165" t="s">
        <v>16</v>
      </c>
      <c r="M165" t="s">
        <v>446</v>
      </c>
    </row>
    <row r="166" spans="1:13" hidden="1" x14ac:dyDescent="0.35">
      <c r="A166">
        <v>2020065</v>
      </c>
      <c r="B166" s="3">
        <v>44185</v>
      </c>
      <c r="C166" t="s">
        <v>450</v>
      </c>
      <c r="D166">
        <v>2020</v>
      </c>
      <c r="E166" t="s">
        <v>468</v>
      </c>
      <c r="F166" t="s">
        <v>138</v>
      </c>
      <c r="G166" t="s">
        <v>248</v>
      </c>
      <c r="H166">
        <v>55200</v>
      </c>
      <c r="I166">
        <v>90000</v>
      </c>
      <c r="J166">
        <v>0.61329999999999996</v>
      </c>
      <c r="K166">
        <v>1.6304347826086956</v>
      </c>
      <c r="L166" t="s">
        <v>13</v>
      </c>
      <c r="M166" t="s">
        <v>446</v>
      </c>
    </row>
    <row r="167" spans="1:13" hidden="1" x14ac:dyDescent="0.35">
      <c r="A167">
        <v>150034</v>
      </c>
      <c r="B167" s="3">
        <v>42494</v>
      </c>
      <c r="C167" t="s">
        <v>456</v>
      </c>
      <c r="D167">
        <v>2016</v>
      </c>
      <c r="E167" t="s">
        <v>482</v>
      </c>
      <c r="F167" t="s">
        <v>135</v>
      </c>
      <c r="G167" t="s">
        <v>431</v>
      </c>
      <c r="H167">
        <v>309800</v>
      </c>
      <c r="I167">
        <v>505000</v>
      </c>
      <c r="J167">
        <v>0.61346534699999999</v>
      </c>
      <c r="K167">
        <v>1.6300839251129762</v>
      </c>
      <c r="L167" t="s">
        <v>16</v>
      </c>
      <c r="M167" t="s">
        <v>446</v>
      </c>
    </row>
    <row r="168" spans="1:13" x14ac:dyDescent="0.35">
      <c r="A168">
        <v>200537</v>
      </c>
      <c r="B168" s="3">
        <v>44337</v>
      </c>
      <c r="C168" t="s">
        <v>456</v>
      </c>
      <c r="D168">
        <v>2021</v>
      </c>
      <c r="E168" t="s">
        <v>466</v>
      </c>
      <c r="F168" t="s">
        <v>73</v>
      </c>
      <c r="G168" t="s">
        <v>74</v>
      </c>
      <c r="H168">
        <v>117380</v>
      </c>
      <c r="I168" s="9">
        <v>245000</v>
      </c>
      <c r="J168" s="10">
        <v>0.47910000000000003</v>
      </c>
      <c r="K168" s="11">
        <v>2.0872380303288467</v>
      </c>
      <c r="L168" t="s">
        <v>13</v>
      </c>
      <c r="M168" t="s">
        <v>445</v>
      </c>
    </row>
    <row r="169" spans="1:13" x14ac:dyDescent="0.35">
      <c r="A169">
        <v>200264</v>
      </c>
      <c r="B169" s="3">
        <v>44357</v>
      </c>
      <c r="C169" t="s">
        <v>454</v>
      </c>
      <c r="D169">
        <v>2021</v>
      </c>
      <c r="E169" t="s">
        <v>455</v>
      </c>
      <c r="F169" t="s">
        <v>155</v>
      </c>
      <c r="G169" t="s">
        <v>156</v>
      </c>
      <c r="H169">
        <v>107500</v>
      </c>
      <c r="I169" s="9">
        <v>240000</v>
      </c>
      <c r="J169" s="10">
        <v>0.44790000000000002</v>
      </c>
      <c r="K169" s="11">
        <v>2.2325581395348837</v>
      </c>
      <c r="L169" t="s">
        <v>13</v>
      </c>
      <c r="M169" t="s">
        <v>445</v>
      </c>
    </row>
    <row r="170" spans="1:13" hidden="1" x14ac:dyDescent="0.35">
      <c r="A170">
        <v>70355</v>
      </c>
      <c r="B170" s="3">
        <v>39587</v>
      </c>
      <c r="C170" t="s">
        <v>456</v>
      </c>
      <c r="D170">
        <v>2008</v>
      </c>
      <c r="E170" t="s">
        <v>483</v>
      </c>
      <c r="F170" t="s">
        <v>283</v>
      </c>
      <c r="G170" t="s">
        <v>299</v>
      </c>
      <c r="H170">
        <v>179830</v>
      </c>
      <c r="I170">
        <v>292500</v>
      </c>
      <c r="J170">
        <v>0.61480341900000002</v>
      </c>
      <c r="K170">
        <v>1.6265361730523271</v>
      </c>
      <c r="L170" t="s">
        <v>16</v>
      </c>
      <c r="M170" t="s">
        <v>446</v>
      </c>
    </row>
    <row r="171" spans="1:13" x14ac:dyDescent="0.35">
      <c r="A171">
        <v>200886</v>
      </c>
      <c r="B171" s="3">
        <v>44319</v>
      </c>
      <c r="C171" t="s">
        <v>456</v>
      </c>
      <c r="D171">
        <v>2021</v>
      </c>
      <c r="E171" t="s">
        <v>466</v>
      </c>
      <c r="F171" t="s">
        <v>56</v>
      </c>
      <c r="G171" t="s">
        <v>58</v>
      </c>
      <c r="H171">
        <v>189800</v>
      </c>
      <c r="I171" s="9">
        <v>240000</v>
      </c>
      <c r="J171">
        <v>0.79079999999999995</v>
      </c>
      <c r="K171">
        <v>1.2644889357218125</v>
      </c>
      <c r="L171" t="s">
        <v>13</v>
      </c>
      <c r="M171" t="s">
        <v>446</v>
      </c>
    </row>
    <row r="172" spans="1:13" x14ac:dyDescent="0.35">
      <c r="A172">
        <v>201133</v>
      </c>
      <c r="B172" s="3">
        <v>44441</v>
      </c>
      <c r="C172" t="s">
        <v>473</v>
      </c>
      <c r="D172">
        <v>2021</v>
      </c>
      <c r="E172" t="s">
        <v>474</v>
      </c>
      <c r="F172" t="s">
        <v>146</v>
      </c>
      <c r="G172" t="s">
        <v>150</v>
      </c>
      <c r="H172">
        <v>123480</v>
      </c>
      <c r="I172" s="9">
        <v>235000</v>
      </c>
      <c r="J172">
        <v>0.52539999999999998</v>
      </c>
      <c r="K172">
        <v>1.9031422092646582</v>
      </c>
      <c r="L172" t="s">
        <v>13</v>
      </c>
      <c r="M172" t="s">
        <v>446</v>
      </c>
    </row>
    <row r="173" spans="1:13" hidden="1" x14ac:dyDescent="0.35">
      <c r="A173">
        <v>160010</v>
      </c>
      <c r="B173" s="3">
        <v>42656</v>
      </c>
      <c r="C173" t="s">
        <v>469</v>
      </c>
      <c r="D173">
        <v>2016</v>
      </c>
      <c r="E173" t="s">
        <v>524</v>
      </c>
      <c r="F173" t="s">
        <v>200</v>
      </c>
      <c r="G173" t="s">
        <v>370</v>
      </c>
      <c r="H173">
        <v>76930</v>
      </c>
      <c r="I173">
        <v>124500</v>
      </c>
      <c r="J173">
        <v>0.61791164700000001</v>
      </c>
      <c r="K173">
        <v>1.6183543481086702</v>
      </c>
      <c r="L173" t="s">
        <v>16</v>
      </c>
      <c r="M173" t="s">
        <v>446</v>
      </c>
    </row>
    <row r="174" spans="1:13" hidden="1" x14ac:dyDescent="0.35">
      <c r="A174">
        <v>20014</v>
      </c>
      <c r="B174" s="3">
        <v>44110</v>
      </c>
      <c r="C174" t="s">
        <v>469</v>
      </c>
      <c r="D174">
        <v>2020</v>
      </c>
      <c r="E174" t="s">
        <v>470</v>
      </c>
      <c r="F174" t="s">
        <v>136</v>
      </c>
      <c r="G174" t="s">
        <v>137</v>
      </c>
      <c r="H174">
        <v>189100</v>
      </c>
      <c r="I174">
        <v>305000</v>
      </c>
      <c r="J174">
        <v>0.62</v>
      </c>
      <c r="K174">
        <v>1.6129032258064515</v>
      </c>
      <c r="L174" t="s">
        <v>13</v>
      </c>
      <c r="M174" t="s">
        <v>446</v>
      </c>
    </row>
    <row r="175" spans="1:13" x14ac:dyDescent="0.35">
      <c r="A175">
        <v>200207</v>
      </c>
      <c r="B175" s="3">
        <v>44357</v>
      </c>
      <c r="C175" t="s">
        <v>454</v>
      </c>
      <c r="D175">
        <v>2021</v>
      </c>
      <c r="E175" t="s">
        <v>455</v>
      </c>
      <c r="F175" t="s">
        <v>200</v>
      </c>
      <c r="G175" t="s">
        <v>201</v>
      </c>
      <c r="H175">
        <v>120890</v>
      </c>
      <c r="I175" s="9">
        <v>234900</v>
      </c>
      <c r="J175">
        <v>0.51459999999999995</v>
      </c>
      <c r="K175">
        <v>1.9430887583753826</v>
      </c>
      <c r="L175" t="s">
        <v>13</v>
      </c>
      <c r="M175" t="s">
        <v>446</v>
      </c>
    </row>
    <row r="176" spans="1:13" hidden="1" x14ac:dyDescent="0.35">
      <c r="A176">
        <v>160717</v>
      </c>
      <c r="B176" s="3">
        <v>42979</v>
      </c>
      <c r="C176" t="s">
        <v>473</v>
      </c>
      <c r="D176">
        <v>2017</v>
      </c>
      <c r="E176" t="s">
        <v>484</v>
      </c>
      <c r="F176" t="s">
        <v>283</v>
      </c>
      <c r="G176" t="s">
        <v>391</v>
      </c>
      <c r="H176">
        <v>199400</v>
      </c>
      <c r="I176">
        <v>320000</v>
      </c>
      <c r="J176">
        <v>0.62312500000000004</v>
      </c>
      <c r="K176">
        <v>1.60481444332999</v>
      </c>
      <c r="L176" t="s">
        <v>16</v>
      </c>
      <c r="M176" t="s">
        <v>446</v>
      </c>
    </row>
    <row r="177" spans="1:13" x14ac:dyDescent="0.35">
      <c r="A177">
        <v>200938</v>
      </c>
      <c r="B177" s="3">
        <v>44329</v>
      </c>
      <c r="C177" t="s">
        <v>456</v>
      </c>
      <c r="D177">
        <v>2021</v>
      </c>
      <c r="E177" t="s">
        <v>466</v>
      </c>
      <c r="F177" t="s">
        <v>56</v>
      </c>
      <c r="G177" t="s">
        <v>59</v>
      </c>
      <c r="H177">
        <v>118900</v>
      </c>
      <c r="I177" s="9">
        <v>230000</v>
      </c>
      <c r="J177">
        <v>0.51690000000000003</v>
      </c>
      <c r="K177">
        <v>1.9343986543313709</v>
      </c>
      <c r="L177" t="s">
        <v>13</v>
      </c>
      <c r="M177" t="s">
        <v>446</v>
      </c>
    </row>
    <row r="178" spans="1:13" x14ac:dyDescent="0.35">
      <c r="A178">
        <v>20059</v>
      </c>
      <c r="B178" s="3">
        <v>44245</v>
      </c>
      <c r="C178" t="s">
        <v>460</v>
      </c>
      <c r="D178">
        <v>2021</v>
      </c>
      <c r="E178" t="s">
        <v>461</v>
      </c>
      <c r="F178" t="s">
        <v>113</v>
      </c>
      <c r="G178" t="s">
        <v>114</v>
      </c>
      <c r="H178">
        <v>121510</v>
      </c>
      <c r="I178" s="9">
        <v>229900</v>
      </c>
      <c r="J178">
        <v>0.52849999999999997</v>
      </c>
      <c r="K178">
        <v>1.8920253477080076</v>
      </c>
      <c r="L178" t="s">
        <v>13</v>
      </c>
      <c r="M178" t="s">
        <v>446</v>
      </c>
    </row>
    <row r="179" spans="1:13" hidden="1" x14ac:dyDescent="0.35">
      <c r="A179">
        <v>70561</v>
      </c>
      <c r="B179" s="3">
        <v>39702</v>
      </c>
      <c r="C179" t="s">
        <v>473</v>
      </c>
      <c r="D179">
        <v>2008</v>
      </c>
      <c r="E179" t="s">
        <v>479</v>
      </c>
      <c r="F179" t="s">
        <v>206</v>
      </c>
      <c r="G179" t="s">
        <v>303</v>
      </c>
      <c r="H179">
        <v>342650</v>
      </c>
      <c r="I179">
        <v>542500</v>
      </c>
      <c r="J179">
        <v>0.63161290299999995</v>
      </c>
      <c r="K179">
        <v>1.5832482124616956</v>
      </c>
      <c r="L179" t="s">
        <v>16</v>
      </c>
      <c r="M179" t="s">
        <v>446</v>
      </c>
    </row>
    <row r="180" spans="1:13" hidden="1" x14ac:dyDescent="0.35">
      <c r="A180">
        <v>2000344</v>
      </c>
      <c r="B180" s="3">
        <v>44145</v>
      </c>
      <c r="C180" t="s">
        <v>475</v>
      </c>
      <c r="D180">
        <v>2020</v>
      </c>
      <c r="E180" t="s">
        <v>476</v>
      </c>
      <c r="F180" t="s">
        <v>181</v>
      </c>
      <c r="G180" t="s">
        <v>232</v>
      </c>
      <c r="H180">
        <v>539700</v>
      </c>
      <c r="I180">
        <v>850000</v>
      </c>
      <c r="J180">
        <v>0.63490000000000002</v>
      </c>
      <c r="K180">
        <v>1.5749490457661663</v>
      </c>
      <c r="L180" t="s">
        <v>13</v>
      </c>
      <c r="M180" t="s">
        <v>446</v>
      </c>
    </row>
    <row r="181" spans="1:13" hidden="1" x14ac:dyDescent="0.35">
      <c r="A181">
        <v>160178</v>
      </c>
      <c r="B181" s="3">
        <v>42900</v>
      </c>
      <c r="C181" t="s">
        <v>454</v>
      </c>
      <c r="D181">
        <v>2017</v>
      </c>
      <c r="E181" t="s">
        <v>467</v>
      </c>
      <c r="F181" t="s">
        <v>341</v>
      </c>
      <c r="G181" t="s">
        <v>398</v>
      </c>
      <c r="H181">
        <v>363600</v>
      </c>
      <c r="I181">
        <v>572500</v>
      </c>
      <c r="J181">
        <v>0.63510917</v>
      </c>
      <c r="K181">
        <v>1.5745324532453244</v>
      </c>
      <c r="L181" t="s">
        <v>16</v>
      </c>
      <c r="M181" t="s">
        <v>446</v>
      </c>
    </row>
    <row r="182" spans="1:13" hidden="1" x14ac:dyDescent="0.35">
      <c r="A182">
        <v>170327</v>
      </c>
      <c r="B182" s="3">
        <v>43208</v>
      </c>
      <c r="C182" t="s">
        <v>452</v>
      </c>
      <c r="D182">
        <v>2018</v>
      </c>
      <c r="E182" t="s">
        <v>497</v>
      </c>
      <c r="F182" t="s">
        <v>73</v>
      </c>
      <c r="G182" t="s">
        <v>389</v>
      </c>
      <c r="H182">
        <v>124660</v>
      </c>
      <c r="I182">
        <v>196000</v>
      </c>
      <c r="J182">
        <v>0.63600000000000001</v>
      </c>
      <c r="K182">
        <v>1.5722765923311408</v>
      </c>
      <c r="L182" t="s">
        <v>16</v>
      </c>
      <c r="M182" t="s">
        <v>446</v>
      </c>
    </row>
    <row r="183" spans="1:13" x14ac:dyDescent="0.35">
      <c r="A183">
        <v>200374</v>
      </c>
      <c r="B183" s="3">
        <v>44334</v>
      </c>
      <c r="C183" t="s">
        <v>456</v>
      </c>
      <c r="D183">
        <v>2021</v>
      </c>
      <c r="E183" t="s">
        <v>466</v>
      </c>
      <c r="F183" t="s">
        <v>187</v>
      </c>
      <c r="G183" t="s">
        <v>258</v>
      </c>
      <c r="H183">
        <v>129190</v>
      </c>
      <c r="I183" s="9">
        <v>226800</v>
      </c>
      <c r="J183">
        <v>0.5696</v>
      </c>
      <c r="K183">
        <v>1.7555538354361793</v>
      </c>
      <c r="L183" t="s">
        <v>13</v>
      </c>
      <c r="M183" t="s">
        <v>446</v>
      </c>
    </row>
    <row r="184" spans="1:13" x14ac:dyDescent="0.35">
      <c r="A184">
        <v>20614</v>
      </c>
      <c r="B184" s="3">
        <v>44294</v>
      </c>
      <c r="C184" t="s">
        <v>452</v>
      </c>
      <c r="D184">
        <v>2021</v>
      </c>
      <c r="E184" t="s">
        <v>453</v>
      </c>
      <c r="F184" t="s">
        <v>98</v>
      </c>
      <c r="G184" t="s">
        <v>101</v>
      </c>
      <c r="H184">
        <v>52500</v>
      </c>
      <c r="I184" s="9">
        <v>220000</v>
      </c>
      <c r="J184" s="10">
        <v>0.23860000000000001</v>
      </c>
      <c r="K184" s="11">
        <v>4.1904761904761907</v>
      </c>
      <c r="L184" t="s">
        <v>13</v>
      </c>
      <c r="M184" t="s">
        <v>445</v>
      </c>
    </row>
    <row r="185" spans="1:13" x14ac:dyDescent="0.35">
      <c r="A185">
        <v>200179</v>
      </c>
      <c r="B185" s="3">
        <v>44369</v>
      </c>
      <c r="C185" t="s">
        <v>454</v>
      </c>
      <c r="D185">
        <v>2021</v>
      </c>
      <c r="E185" t="s">
        <v>455</v>
      </c>
      <c r="F185" t="s">
        <v>195</v>
      </c>
      <c r="G185" t="s">
        <v>196</v>
      </c>
      <c r="H185">
        <v>134750</v>
      </c>
      <c r="I185" s="9">
        <v>220000</v>
      </c>
      <c r="J185">
        <v>0.61250000000000004</v>
      </c>
      <c r="K185">
        <v>1.6326530612244898</v>
      </c>
      <c r="L185" t="s">
        <v>13</v>
      </c>
      <c r="M185" t="s">
        <v>446</v>
      </c>
    </row>
    <row r="186" spans="1:13" hidden="1" x14ac:dyDescent="0.35">
      <c r="A186">
        <v>908206</v>
      </c>
      <c r="B186" s="3">
        <v>40431</v>
      </c>
      <c r="C186" t="s">
        <v>473</v>
      </c>
      <c r="D186">
        <v>2010</v>
      </c>
      <c r="E186" t="s">
        <v>486</v>
      </c>
      <c r="F186" t="s">
        <v>174</v>
      </c>
      <c r="G186" t="s">
        <v>350</v>
      </c>
      <c r="H186">
        <v>69020</v>
      </c>
      <c r="I186">
        <v>107500</v>
      </c>
      <c r="J186">
        <v>0.64204651199999996</v>
      </c>
      <c r="K186">
        <v>1.5575195595479572</v>
      </c>
      <c r="L186" t="s">
        <v>16</v>
      </c>
      <c r="M186" t="s">
        <v>446</v>
      </c>
    </row>
    <row r="187" spans="1:13" x14ac:dyDescent="0.35">
      <c r="A187">
        <v>202611</v>
      </c>
      <c r="B187" s="3">
        <v>44383</v>
      </c>
      <c r="C187" t="s">
        <v>458</v>
      </c>
      <c r="D187">
        <v>2021</v>
      </c>
      <c r="E187" t="s">
        <v>459</v>
      </c>
      <c r="F187" t="s">
        <v>122</v>
      </c>
      <c r="G187" t="s">
        <v>173</v>
      </c>
      <c r="H187">
        <v>144380</v>
      </c>
      <c r="I187" s="9">
        <v>217500</v>
      </c>
      <c r="J187">
        <v>0.66379999999999995</v>
      </c>
      <c r="K187">
        <v>1.506441335365009</v>
      </c>
      <c r="L187" t="s">
        <v>13</v>
      </c>
      <c r="M187" t="s">
        <v>446</v>
      </c>
    </row>
    <row r="188" spans="1:13" hidden="1" x14ac:dyDescent="0.35">
      <c r="A188">
        <v>200014</v>
      </c>
      <c r="B188" s="3">
        <v>44117</v>
      </c>
      <c r="C188" t="s">
        <v>469</v>
      </c>
      <c r="D188">
        <v>2020</v>
      </c>
      <c r="E188" t="s">
        <v>470</v>
      </c>
      <c r="F188" t="s">
        <v>271</v>
      </c>
      <c r="G188" t="s">
        <v>273</v>
      </c>
      <c r="H188">
        <v>245790</v>
      </c>
      <c r="I188">
        <v>382000</v>
      </c>
      <c r="J188">
        <v>0.64339999999999997</v>
      </c>
      <c r="K188">
        <v>1.554172260873103</v>
      </c>
      <c r="L188" t="s">
        <v>13</v>
      </c>
      <c r="M188" t="s">
        <v>446</v>
      </c>
    </row>
    <row r="189" spans="1:13" hidden="1" x14ac:dyDescent="0.35">
      <c r="A189">
        <v>162511</v>
      </c>
      <c r="B189" s="3">
        <v>42985</v>
      </c>
      <c r="C189" t="s">
        <v>473</v>
      </c>
      <c r="D189">
        <v>2017</v>
      </c>
      <c r="E189" t="s">
        <v>484</v>
      </c>
      <c r="F189" t="s">
        <v>206</v>
      </c>
      <c r="G189" t="s">
        <v>393</v>
      </c>
      <c r="H189">
        <v>306950</v>
      </c>
      <c r="I189">
        <v>476549</v>
      </c>
      <c r="J189">
        <v>0.64411004999999999</v>
      </c>
      <c r="K189">
        <v>1.5525297279687245</v>
      </c>
      <c r="L189" t="s">
        <v>16</v>
      </c>
      <c r="M189" t="s">
        <v>446</v>
      </c>
    </row>
    <row r="190" spans="1:13" x14ac:dyDescent="0.35">
      <c r="A190">
        <v>201440</v>
      </c>
      <c r="B190" s="3">
        <v>44454</v>
      </c>
      <c r="C190" t="s">
        <v>473</v>
      </c>
      <c r="D190">
        <v>2021</v>
      </c>
      <c r="E190" t="s">
        <v>474</v>
      </c>
      <c r="F190" t="s">
        <v>159</v>
      </c>
      <c r="G190" t="s">
        <v>163</v>
      </c>
      <c r="H190">
        <v>80150</v>
      </c>
      <c r="I190" s="9">
        <v>214000</v>
      </c>
      <c r="J190" s="10">
        <v>0.3745</v>
      </c>
      <c r="K190" s="11">
        <v>2.6699937616968183</v>
      </c>
      <c r="L190" t="s">
        <v>13</v>
      </c>
      <c r="M190" t="s">
        <v>445</v>
      </c>
    </row>
    <row r="191" spans="1:13" x14ac:dyDescent="0.35">
      <c r="A191">
        <v>20064</v>
      </c>
      <c r="B191" s="3">
        <v>44439</v>
      </c>
      <c r="C191" t="s">
        <v>462</v>
      </c>
      <c r="D191">
        <v>2021</v>
      </c>
      <c r="E191" t="s">
        <v>463</v>
      </c>
      <c r="F191" t="s">
        <v>81</v>
      </c>
      <c r="G191" t="s">
        <v>82</v>
      </c>
      <c r="H191">
        <v>186770</v>
      </c>
      <c r="I191" s="9">
        <v>209000</v>
      </c>
      <c r="J191">
        <v>0.89359999999999995</v>
      </c>
      <c r="K191">
        <v>1.1190233977619533</v>
      </c>
      <c r="L191" t="s">
        <v>10</v>
      </c>
      <c r="M191" t="s">
        <v>446</v>
      </c>
    </row>
    <row r="192" spans="1:13" hidden="1" x14ac:dyDescent="0.35">
      <c r="A192">
        <v>180207</v>
      </c>
      <c r="B192" s="3">
        <v>43523</v>
      </c>
      <c r="C192" t="s">
        <v>460</v>
      </c>
      <c r="D192">
        <v>2019</v>
      </c>
      <c r="E192" t="s">
        <v>515</v>
      </c>
      <c r="F192" t="s">
        <v>29</v>
      </c>
      <c r="G192" t="s">
        <v>405</v>
      </c>
      <c r="H192">
        <v>100800</v>
      </c>
      <c r="I192">
        <v>156000</v>
      </c>
      <c r="J192">
        <v>0.64615384600000003</v>
      </c>
      <c r="K192">
        <v>1.5476190476190477</v>
      </c>
      <c r="L192" t="s">
        <v>16</v>
      </c>
      <c r="M192" t="s">
        <v>446</v>
      </c>
    </row>
    <row r="193" spans="1:13" x14ac:dyDescent="0.35">
      <c r="A193">
        <v>2000330</v>
      </c>
      <c r="B193" s="3">
        <v>44336</v>
      </c>
      <c r="C193" t="s">
        <v>456</v>
      </c>
      <c r="D193">
        <v>2021</v>
      </c>
      <c r="E193" t="s">
        <v>466</v>
      </c>
      <c r="F193" t="s">
        <v>43</v>
      </c>
      <c r="G193" t="s">
        <v>45</v>
      </c>
      <c r="H193">
        <v>144220</v>
      </c>
      <c r="I193" s="9">
        <v>204000</v>
      </c>
      <c r="J193">
        <v>0.70689999999999997</v>
      </c>
      <c r="K193">
        <v>1.4145056164193592</v>
      </c>
      <c r="L193" t="s">
        <v>13</v>
      </c>
      <c r="M193" t="s">
        <v>446</v>
      </c>
    </row>
    <row r="194" spans="1:13" hidden="1" x14ac:dyDescent="0.35">
      <c r="A194">
        <v>200151</v>
      </c>
      <c r="B194" s="3">
        <v>44179</v>
      </c>
      <c r="C194" t="s">
        <v>450</v>
      </c>
      <c r="D194">
        <v>2020</v>
      </c>
      <c r="E194" t="s">
        <v>468</v>
      </c>
      <c r="F194" t="s">
        <v>68</v>
      </c>
      <c r="G194" t="s">
        <v>79</v>
      </c>
      <c r="H194">
        <v>356410</v>
      </c>
      <c r="I194">
        <v>550000</v>
      </c>
      <c r="J194">
        <v>0.64800000000000002</v>
      </c>
      <c r="K194">
        <v>1.543166577817682</v>
      </c>
      <c r="L194" t="s">
        <v>13</v>
      </c>
      <c r="M194" t="s">
        <v>446</v>
      </c>
    </row>
    <row r="195" spans="1:13" hidden="1" x14ac:dyDescent="0.35">
      <c r="A195">
        <v>160452</v>
      </c>
      <c r="B195" s="3">
        <v>42989</v>
      </c>
      <c r="C195" t="s">
        <v>473</v>
      </c>
      <c r="D195">
        <v>2017</v>
      </c>
      <c r="E195" t="s">
        <v>484</v>
      </c>
      <c r="F195" t="s">
        <v>200</v>
      </c>
      <c r="G195" t="s">
        <v>400</v>
      </c>
      <c r="H195">
        <v>145950</v>
      </c>
      <c r="I195">
        <v>225000</v>
      </c>
      <c r="J195">
        <v>0.64866666699999997</v>
      </c>
      <c r="K195">
        <v>1.5416238437821173</v>
      </c>
      <c r="L195" t="s">
        <v>16</v>
      </c>
      <c r="M195" t="s">
        <v>446</v>
      </c>
    </row>
    <row r="196" spans="1:13" hidden="1" x14ac:dyDescent="0.35">
      <c r="A196">
        <v>200007</v>
      </c>
      <c r="B196" s="3">
        <v>44106</v>
      </c>
      <c r="C196" t="s">
        <v>469</v>
      </c>
      <c r="D196">
        <v>2020</v>
      </c>
      <c r="E196" t="s">
        <v>470</v>
      </c>
      <c r="F196" t="s">
        <v>219</v>
      </c>
      <c r="G196" t="s">
        <v>220</v>
      </c>
      <c r="H196">
        <v>68300</v>
      </c>
      <c r="I196">
        <v>105000</v>
      </c>
      <c r="J196">
        <v>0.65039999999999998</v>
      </c>
      <c r="K196">
        <v>1.5373352855051245</v>
      </c>
      <c r="L196" t="s">
        <v>13</v>
      </c>
      <c r="M196" t="s">
        <v>446</v>
      </c>
    </row>
    <row r="197" spans="1:13" hidden="1" x14ac:dyDescent="0.35">
      <c r="A197">
        <v>9347</v>
      </c>
      <c r="B197" s="3">
        <v>40232</v>
      </c>
      <c r="C197" t="s">
        <v>460</v>
      </c>
      <c r="D197">
        <v>2010</v>
      </c>
      <c r="E197" t="s">
        <v>521</v>
      </c>
      <c r="F197" t="s">
        <v>125</v>
      </c>
      <c r="G197" t="s">
        <v>344</v>
      </c>
      <c r="H197">
        <v>93050</v>
      </c>
      <c r="I197">
        <v>143000</v>
      </c>
      <c r="J197">
        <v>0.65069930099999995</v>
      </c>
      <c r="K197">
        <v>1.5368081676518002</v>
      </c>
      <c r="L197" t="s">
        <v>16</v>
      </c>
      <c r="M197" t="s">
        <v>446</v>
      </c>
    </row>
    <row r="198" spans="1:13" x14ac:dyDescent="0.35">
      <c r="A198">
        <v>20135</v>
      </c>
      <c r="B198" s="3">
        <v>44217</v>
      </c>
      <c r="C198" t="s">
        <v>464</v>
      </c>
      <c r="D198">
        <v>2021</v>
      </c>
      <c r="E198" t="s">
        <v>465</v>
      </c>
      <c r="F198" t="s">
        <v>184</v>
      </c>
      <c r="G198" t="s">
        <v>185</v>
      </c>
      <c r="H198">
        <v>98580</v>
      </c>
      <c r="I198" s="9">
        <v>200000</v>
      </c>
      <c r="J198" s="10">
        <v>0.4929</v>
      </c>
      <c r="K198" s="11">
        <v>2.028809089064719</v>
      </c>
      <c r="L198" t="s">
        <v>13</v>
      </c>
      <c r="M198" t="s">
        <v>445</v>
      </c>
    </row>
    <row r="199" spans="1:13" hidden="1" x14ac:dyDescent="0.35">
      <c r="A199">
        <v>90163</v>
      </c>
      <c r="B199" s="3">
        <v>40141</v>
      </c>
      <c r="C199" t="s">
        <v>475</v>
      </c>
      <c r="D199">
        <v>2009</v>
      </c>
      <c r="E199" t="s">
        <v>498</v>
      </c>
      <c r="F199" t="s">
        <v>192</v>
      </c>
      <c r="G199" t="s">
        <v>338</v>
      </c>
      <c r="H199">
        <v>105000</v>
      </c>
      <c r="I199">
        <v>161000</v>
      </c>
      <c r="J199">
        <v>0.65217391300000005</v>
      </c>
      <c r="K199">
        <v>1.5333333333333334</v>
      </c>
      <c r="L199" t="s">
        <v>16</v>
      </c>
      <c r="M199" t="s">
        <v>446</v>
      </c>
    </row>
    <row r="200" spans="1:13" hidden="1" x14ac:dyDescent="0.35">
      <c r="A200">
        <v>90113</v>
      </c>
      <c r="B200" s="3">
        <v>40150</v>
      </c>
      <c r="C200" t="s">
        <v>450</v>
      </c>
      <c r="D200">
        <v>2009</v>
      </c>
      <c r="E200" t="s">
        <v>494</v>
      </c>
      <c r="F200" t="s">
        <v>187</v>
      </c>
      <c r="G200" t="s">
        <v>349</v>
      </c>
      <c r="H200">
        <v>176220</v>
      </c>
      <c r="I200">
        <v>270000</v>
      </c>
      <c r="J200">
        <v>0.65266666699999998</v>
      </c>
      <c r="K200">
        <v>1.5321756894790604</v>
      </c>
      <c r="L200" t="s">
        <v>16</v>
      </c>
      <c r="M200" t="s">
        <v>446</v>
      </c>
    </row>
    <row r="201" spans="1:13" x14ac:dyDescent="0.35">
      <c r="A201">
        <v>2000296</v>
      </c>
      <c r="B201" s="3">
        <v>44239</v>
      </c>
      <c r="C201" t="s">
        <v>460</v>
      </c>
      <c r="D201">
        <v>2021</v>
      </c>
      <c r="E201" t="s">
        <v>461</v>
      </c>
      <c r="F201" t="s">
        <v>140</v>
      </c>
      <c r="G201" t="s">
        <v>141</v>
      </c>
      <c r="H201">
        <v>114660</v>
      </c>
      <c r="I201" s="9">
        <v>195000</v>
      </c>
      <c r="J201">
        <v>0.58799999999999997</v>
      </c>
      <c r="K201">
        <v>1.7006802721088434</v>
      </c>
      <c r="L201" t="s">
        <v>13</v>
      </c>
      <c r="M201" t="s">
        <v>446</v>
      </c>
    </row>
    <row r="202" spans="1:13" hidden="1" x14ac:dyDescent="0.35">
      <c r="A202">
        <v>20000050</v>
      </c>
      <c r="B202" s="3">
        <v>44140</v>
      </c>
      <c r="C202" t="s">
        <v>475</v>
      </c>
      <c r="D202">
        <v>2020</v>
      </c>
      <c r="E202" t="s">
        <v>476</v>
      </c>
      <c r="F202" t="s">
        <v>37</v>
      </c>
      <c r="G202" t="s">
        <v>38</v>
      </c>
      <c r="H202">
        <v>105110</v>
      </c>
      <c r="I202">
        <v>160000</v>
      </c>
      <c r="J202">
        <v>0.65693749999999995</v>
      </c>
      <c r="K202">
        <v>1.5222148225668348</v>
      </c>
      <c r="L202" t="s">
        <v>13</v>
      </c>
      <c r="M202" t="s">
        <v>446</v>
      </c>
    </row>
    <row r="203" spans="1:13" hidden="1" x14ac:dyDescent="0.35">
      <c r="A203">
        <v>2000120</v>
      </c>
      <c r="B203" s="3">
        <v>44120</v>
      </c>
      <c r="C203" t="s">
        <v>469</v>
      </c>
      <c r="D203">
        <v>2020</v>
      </c>
      <c r="E203" t="s">
        <v>470</v>
      </c>
      <c r="F203" t="s">
        <v>181</v>
      </c>
      <c r="G203" t="s">
        <v>230</v>
      </c>
      <c r="H203">
        <v>497000</v>
      </c>
      <c r="I203">
        <v>755000</v>
      </c>
      <c r="J203">
        <v>0.65820000000000001</v>
      </c>
      <c r="K203">
        <v>1.5191146881287727</v>
      </c>
      <c r="L203" t="s">
        <v>13</v>
      </c>
      <c r="M203" t="s">
        <v>446</v>
      </c>
    </row>
    <row r="204" spans="1:13" hidden="1" x14ac:dyDescent="0.35">
      <c r="A204">
        <v>70149</v>
      </c>
      <c r="B204" s="3">
        <v>39504</v>
      </c>
      <c r="C204" t="s">
        <v>460</v>
      </c>
      <c r="D204">
        <v>2008</v>
      </c>
      <c r="E204" t="s">
        <v>502</v>
      </c>
      <c r="F204" t="s">
        <v>66</v>
      </c>
      <c r="G204" t="s">
        <v>296</v>
      </c>
      <c r="H204">
        <v>125300</v>
      </c>
      <c r="I204">
        <v>190000</v>
      </c>
      <c r="J204">
        <v>0.65947368399999995</v>
      </c>
      <c r="K204">
        <v>1.5163607342378291</v>
      </c>
      <c r="L204" t="s">
        <v>16</v>
      </c>
      <c r="M204" t="s">
        <v>446</v>
      </c>
    </row>
    <row r="205" spans="1:13" x14ac:dyDescent="0.35">
      <c r="A205">
        <v>2000857</v>
      </c>
      <c r="B205" s="3">
        <v>44217</v>
      </c>
      <c r="C205" t="s">
        <v>464</v>
      </c>
      <c r="D205">
        <v>2021</v>
      </c>
      <c r="E205" t="s">
        <v>465</v>
      </c>
      <c r="F205" t="s">
        <v>181</v>
      </c>
      <c r="G205" t="s">
        <v>222</v>
      </c>
      <c r="H205">
        <v>109420</v>
      </c>
      <c r="I205" s="9">
        <v>195000</v>
      </c>
      <c r="J205">
        <v>0.56110000000000004</v>
      </c>
      <c r="K205">
        <v>1.7821239261560957</v>
      </c>
      <c r="L205" t="s">
        <v>13</v>
      </c>
      <c r="M205" t="s">
        <v>446</v>
      </c>
    </row>
    <row r="206" spans="1:13" hidden="1" x14ac:dyDescent="0.35">
      <c r="A206">
        <v>200020</v>
      </c>
      <c r="B206" s="3">
        <v>44110</v>
      </c>
      <c r="C206" t="s">
        <v>469</v>
      </c>
      <c r="D206">
        <v>2020</v>
      </c>
      <c r="E206" t="s">
        <v>470</v>
      </c>
      <c r="F206" t="s">
        <v>92</v>
      </c>
      <c r="G206" t="s">
        <v>95</v>
      </c>
      <c r="H206">
        <v>654570</v>
      </c>
      <c r="I206">
        <v>990000</v>
      </c>
      <c r="J206">
        <v>0.66118181799999998</v>
      </c>
      <c r="K206">
        <v>1.5124432833768733</v>
      </c>
      <c r="L206" t="s">
        <v>13</v>
      </c>
      <c r="M206" t="s">
        <v>446</v>
      </c>
    </row>
    <row r="207" spans="1:13" x14ac:dyDescent="0.35">
      <c r="A207">
        <v>201176</v>
      </c>
      <c r="B207" s="3">
        <v>44264</v>
      </c>
      <c r="C207" t="s">
        <v>471</v>
      </c>
      <c r="D207">
        <v>2021</v>
      </c>
      <c r="E207" t="s">
        <v>472</v>
      </c>
      <c r="F207" t="s">
        <v>144</v>
      </c>
      <c r="G207" t="s">
        <v>165</v>
      </c>
      <c r="H207">
        <v>165550</v>
      </c>
      <c r="I207" s="9">
        <v>191000</v>
      </c>
      <c r="J207">
        <v>0.86670000000000003</v>
      </c>
      <c r="K207">
        <v>1.1537299909392933</v>
      </c>
      <c r="L207" t="s">
        <v>13</v>
      </c>
      <c r="M207" t="s">
        <v>446</v>
      </c>
    </row>
    <row r="208" spans="1:13" hidden="1" x14ac:dyDescent="0.35">
      <c r="A208">
        <v>10470</v>
      </c>
      <c r="B208" s="3">
        <v>40700</v>
      </c>
      <c r="C208" t="s">
        <v>454</v>
      </c>
      <c r="D208">
        <v>2011</v>
      </c>
      <c r="E208" t="s">
        <v>511</v>
      </c>
      <c r="F208" t="s">
        <v>98</v>
      </c>
      <c r="G208" t="s">
        <v>329</v>
      </c>
      <c r="H208">
        <v>27874</v>
      </c>
      <c r="I208">
        <v>42000</v>
      </c>
      <c r="J208">
        <v>0.66366666699999999</v>
      </c>
      <c r="K208">
        <v>1.5067805123053741</v>
      </c>
      <c r="L208" t="s">
        <v>16</v>
      </c>
      <c r="M208" t="s">
        <v>446</v>
      </c>
    </row>
    <row r="209" spans="1:13" x14ac:dyDescent="0.35">
      <c r="A209">
        <v>200419</v>
      </c>
      <c r="B209" s="3">
        <v>44231</v>
      </c>
      <c r="C209" t="s">
        <v>460</v>
      </c>
      <c r="D209">
        <v>2021</v>
      </c>
      <c r="E209" t="s">
        <v>461</v>
      </c>
      <c r="F209" t="s">
        <v>159</v>
      </c>
      <c r="G209" t="s">
        <v>160</v>
      </c>
      <c r="H209">
        <v>74200</v>
      </c>
      <c r="I209" s="9">
        <v>190000</v>
      </c>
      <c r="J209" s="10">
        <v>0.39050000000000001</v>
      </c>
      <c r="K209" s="11">
        <v>2.5606469002695418</v>
      </c>
      <c r="L209" t="s">
        <v>13</v>
      </c>
      <c r="M209" t="s">
        <v>445</v>
      </c>
    </row>
    <row r="210" spans="1:13" hidden="1" x14ac:dyDescent="0.35">
      <c r="A210">
        <v>200010</v>
      </c>
      <c r="B210" s="3">
        <v>44126</v>
      </c>
      <c r="C210" t="s">
        <v>469</v>
      </c>
      <c r="D210">
        <v>2020</v>
      </c>
      <c r="E210" t="s">
        <v>470</v>
      </c>
      <c r="F210" t="s">
        <v>200</v>
      </c>
      <c r="G210" t="s">
        <v>202</v>
      </c>
      <c r="H210">
        <v>128870</v>
      </c>
      <c r="I210">
        <v>193000</v>
      </c>
      <c r="J210">
        <v>0.66769999999999996</v>
      </c>
      <c r="K210">
        <v>1.4976332738418561</v>
      </c>
      <c r="L210" t="s">
        <v>13</v>
      </c>
      <c r="M210" t="s">
        <v>446</v>
      </c>
    </row>
    <row r="211" spans="1:13" hidden="1" x14ac:dyDescent="0.35">
      <c r="A211">
        <v>170178</v>
      </c>
      <c r="B211" s="3">
        <v>43089</v>
      </c>
      <c r="C211" t="s">
        <v>450</v>
      </c>
      <c r="D211">
        <v>2017</v>
      </c>
      <c r="E211" t="s">
        <v>495</v>
      </c>
      <c r="F211" t="s">
        <v>159</v>
      </c>
      <c r="G211" t="s">
        <v>381</v>
      </c>
      <c r="H211">
        <v>169400</v>
      </c>
      <c r="I211">
        <v>252500</v>
      </c>
      <c r="J211">
        <v>0.67089108900000005</v>
      </c>
      <c r="K211">
        <v>1.4905548996458087</v>
      </c>
      <c r="L211" t="s">
        <v>16</v>
      </c>
      <c r="M211" t="s">
        <v>446</v>
      </c>
    </row>
    <row r="212" spans="1:13" x14ac:dyDescent="0.35">
      <c r="A212">
        <v>200759</v>
      </c>
      <c r="B212" s="3">
        <v>44398</v>
      </c>
      <c r="C212" t="s">
        <v>458</v>
      </c>
      <c r="D212">
        <v>2021</v>
      </c>
      <c r="E212" t="s">
        <v>459</v>
      </c>
      <c r="F212" t="s">
        <v>206</v>
      </c>
      <c r="G212" t="s">
        <v>207</v>
      </c>
      <c r="H212">
        <v>144410</v>
      </c>
      <c r="I212" s="9">
        <v>185000</v>
      </c>
      <c r="J212">
        <v>0.78049999999999997</v>
      </c>
      <c r="K212">
        <v>1.2810747178173256</v>
      </c>
      <c r="L212" t="s">
        <v>13</v>
      </c>
      <c r="M212" t="s">
        <v>446</v>
      </c>
    </row>
    <row r="213" spans="1:13" hidden="1" x14ac:dyDescent="0.35">
      <c r="A213">
        <v>160427</v>
      </c>
      <c r="B213" s="3">
        <v>42976</v>
      </c>
      <c r="C213" t="s">
        <v>462</v>
      </c>
      <c r="D213">
        <v>2017</v>
      </c>
      <c r="E213" t="s">
        <v>503</v>
      </c>
      <c r="F213" t="s">
        <v>277</v>
      </c>
      <c r="G213" t="s">
        <v>394</v>
      </c>
      <c r="H213">
        <v>113800</v>
      </c>
      <c r="I213">
        <v>169000</v>
      </c>
      <c r="J213">
        <v>0.67337278099999998</v>
      </c>
      <c r="K213">
        <v>1.4850615114235501</v>
      </c>
      <c r="L213" t="s">
        <v>16</v>
      </c>
      <c r="M213" t="s">
        <v>446</v>
      </c>
    </row>
    <row r="214" spans="1:13" hidden="1" x14ac:dyDescent="0.35">
      <c r="A214">
        <v>170091</v>
      </c>
      <c r="B214" s="3">
        <v>43066</v>
      </c>
      <c r="C214" t="s">
        <v>475</v>
      </c>
      <c r="D214">
        <v>2017</v>
      </c>
      <c r="E214" t="s">
        <v>510</v>
      </c>
      <c r="F214" t="s">
        <v>29</v>
      </c>
      <c r="G214" t="s">
        <v>372</v>
      </c>
      <c r="H214">
        <v>112800</v>
      </c>
      <c r="I214">
        <v>167450</v>
      </c>
      <c r="J214">
        <v>0.67363392099999997</v>
      </c>
      <c r="K214">
        <v>1.4844858156028369</v>
      </c>
      <c r="L214" t="s">
        <v>16</v>
      </c>
      <c r="M214" t="s">
        <v>446</v>
      </c>
    </row>
    <row r="215" spans="1:13" hidden="1" x14ac:dyDescent="0.35">
      <c r="A215">
        <v>200109</v>
      </c>
      <c r="B215" s="3">
        <v>44174</v>
      </c>
      <c r="C215" t="s">
        <v>450</v>
      </c>
      <c r="D215">
        <v>2020</v>
      </c>
      <c r="E215" t="s">
        <v>468</v>
      </c>
      <c r="F215" t="s">
        <v>14</v>
      </c>
      <c r="G215" t="s">
        <v>18</v>
      </c>
      <c r="H215">
        <v>847520</v>
      </c>
      <c r="I215">
        <v>1250000</v>
      </c>
      <c r="J215">
        <v>0.67800000000000005</v>
      </c>
      <c r="K215">
        <v>1.474891447989428</v>
      </c>
      <c r="L215" t="s">
        <v>13</v>
      </c>
      <c r="M215" t="s">
        <v>446</v>
      </c>
    </row>
    <row r="216" spans="1:13" hidden="1" x14ac:dyDescent="0.35">
      <c r="A216">
        <v>160400</v>
      </c>
      <c r="B216" s="3">
        <v>42907</v>
      </c>
      <c r="C216" t="s">
        <v>454</v>
      </c>
      <c r="D216">
        <v>2017</v>
      </c>
      <c r="E216" t="s">
        <v>467</v>
      </c>
      <c r="F216" t="s">
        <v>216</v>
      </c>
      <c r="G216" t="s">
        <v>364</v>
      </c>
      <c r="H216">
        <v>57720</v>
      </c>
      <c r="I216">
        <v>85000</v>
      </c>
      <c r="J216">
        <v>0.67905882399999995</v>
      </c>
      <c r="K216">
        <v>1.4726264726264726</v>
      </c>
      <c r="L216" t="s">
        <v>16</v>
      </c>
      <c r="M216" t="s">
        <v>446</v>
      </c>
    </row>
    <row r="217" spans="1:13" hidden="1" x14ac:dyDescent="0.35">
      <c r="A217">
        <v>900251</v>
      </c>
      <c r="B217" s="3">
        <v>40301</v>
      </c>
      <c r="C217" t="s">
        <v>456</v>
      </c>
      <c r="D217">
        <v>2010</v>
      </c>
      <c r="E217" t="s">
        <v>478</v>
      </c>
      <c r="F217" t="s">
        <v>68</v>
      </c>
      <c r="G217" t="s">
        <v>330</v>
      </c>
      <c r="H217">
        <v>118860</v>
      </c>
      <c r="I217">
        <v>175000</v>
      </c>
      <c r="J217">
        <v>0.67920000000000003</v>
      </c>
      <c r="K217">
        <v>1.4723203769140165</v>
      </c>
      <c r="L217" t="s">
        <v>16</v>
      </c>
      <c r="M217" t="s">
        <v>446</v>
      </c>
    </row>
    <row r="218" spans="1:13" hidden="1" x14ac:dyDescent="0.35">
      <c r="A218">
        <v>200038</v>
      </c>
      <c r="B218" s="3">
        <v>44113</v>
      </c>
      <c r="C218" t="s">
        <v>469</v>
      </c>
      <c r="D218">
        <v>2020</v>
      </c>
      <c r="E218" t="s">
        <v>470</v>
      </c>
      <c r="F218" t="s">
        <v>125</v>
      </c>
      <c r="G218" t="s">
        <v>132</v>
      </c>
      <c r="H218">
        <v>209440</v>
      </c>
      <c r="I218">
        <v>307000</v>
      </c>
      <c r="J218">
        <v>0.68220000000000003</v>
      </c>
      <c r="K218">
        <v>1.4658135981665394</v>
      </c>
      <c r="L218" t="s">
        <v>13</v>
      </c>
      <c r="M218" t="s">
        <v>446</v>
      </c>
    </row>
    <row r="219" spans="1:13" hidden="1" x14ac:dyDescent="0.35">
      <c r="A219">
        <v>140129</v>
      </c>
      <c r="B219" s="3">
        <v>42198</v>
      </c>
      <c r="C219" t="s">
        <v>458</v>
      </c>
      <c r="D219">
        <v>2015</v>
      </c>
      <c r="E219" t="s">
        <v>523</v>
      </c>
      <c r="F219" t="s">
        <v>306</v>
      </c>
      <c r="G219" t="s">
        <v>361</v>
      </c>
      <c r="H219">
        <v>88000</v>
      </c>
      <c r="I219">
        <v>128866</v>
      </c>
      <c r="J219">
        <v>0.68287989100000002</v>
      </c>
      <c r="K219">
        <v>1.4643863636363637</v>
      </c>
      <c r="L219" t="s">
        <v>16</v>
      </c>
      <c r="M219" t="s">
        <v>446</v>
      </c>
    </row>
    <row r="220" spans="1:13" hidden="1" x14ac:dyDescent="0.35">
      <c r="A220">
        <v>90832</v>
      </c>
      <c r="B220" s="3">
        <v>40359</v>
      </c>
      <c r="C220" t="s">
        <v>454</v>
      </c>
      <c r="D220">
        <v>2010</v>
      </c>
      <c r="E220" t="s">
        <v>491</v>
      </c>
      <c r="F220" t="s">
        <v>159</v>
      </c>
      <c r="G220" t="s">
        <v>332</v>
      </c>
      <c r="H220">
        <v>99960</v>
      </c>
      <c r="I220">
        <v>146000</v>
      </c>
      <c r="J220">
        <v>0.68465753399999996</v>
      </c>
      <c r="K220">
        <v>1.4605842336934773</v>
      </c>
      <c r="L220" t="s">
        <v>16</v>
      </c>
      <c r="M220" t="s">
        <v>446</v>
      </c>
    </row>
    <row r="221" spans="1:13" x14ac:dyDescent="0.35">
      <c r="A221">
        <v>20486</v>
      </c>
      <c r="B221" s="3">
        <v>44362</v>
      </c>
      <c r="C221" t="s">
        <v>454</v>
      </c>
      <c r="D221">
        <v>2021</v>
      </c>
      <c r="E221" t="s">
        <v>455</v>
      </c>
      <c r="F221" t="s">
        <v>216</v>
      </c>
      <c r="G221" t="s">
        <v>217</v>
      </c>
      <c r="H221">
        <v>92080</v>
      </c>
      <c r="I221" s="9">
        <v>185000</v>
      </c>
      <c r="J221" s="10">
        <v>0.49769999999999998</v>
      </c>
      <c r="K221" s="11">
        <v>2.0091225021720245</v>
      </c>
      <c r="L221" t="s">
        <v>13</v>
      </c>
      <c r="M221" t="s">
        <v>445</v>
      </c>
    </row>
    <row r="222" spans="1:13" x14ac:dyDescent="0.35">
      <c r="A222">
        <v>2000473</v>
      </c>
      <c r="B222" s="3">
        <v>44334</v>
      </c>
      <c r="C222" t="s">
        <v>456</v>
      </c>
      <c r="D222">
        <v>2021</v>
      </c>
      <c r="E222" t="s">
        <v>466</v>
      </c>
      <c r="F222" t="s">
        <v>140</v>
      </c>
      <c r="G222" t="s">
        <v>143</v>
      </c>
      <c r="H222">
        <v>98900</v>
      </c>
      <c r="I222" s="9">
        <v>184500</v>
      </c>
      <c r="J222">
        <v>0.53600000000000003</v>
      </c>
      <c r="K222">
        <v>1.865520728008089</v>
      </c>
      <c r="L222" t="s">
        <v>13</v>
      </c>
      <c r="M222" t="s">
        <v>446</v>
      </c>
    </row>
    <row r="223" spans="1:13" hidden="1" x14ac:dyDescent="0.35">
      <c r="A223">
        <v>150007</v>
      </c>
      <c r="B223" s="3">
        <v>42305</v>
      </c>
      <c r="C223" t="s">
        <v>469</v>
      </c>
      <c r="D223">
        <v>2015</v>
      </c>
      <c r="E223" t="s">
        <v>519</v>
      </c>
      <c r="F223" t="s">
        <v>285</v>
      </c>
      <c r="G223" t="s">
        <v>362</v>
      </c>
      <c r="H223">
        <v>100900</v>
      </c>
      <c r="I223">
        <v>144900</v>
      </c>
      <c r="J223">
        <v>0.69634230500000005</v>
      </c>
      <c r="K223">
        <v>1.4360753221010902</v>
      </c>
      <c r="L223" t="s">
        <v>16</v>
      </c>
      <c r="M223" t="s">
        <v>446</v>
      </c>
    </row>
    <row r="224" spans="1:13" hidden="1" x14ac:dyDescent="0.35">
      <c r="A224">
        <v>900152</v>
      </c>
      <c r="B224" s="3">
        <v>40301</v>
      </c>
      <c r="C224" t="s">
        <v>456</v>
      </c>
      <c r="D224">
        <v>2010</v>
      </c>
      <c r="E224" t="s">
        <v>478</v>
      </c>
      <c r="F224" t="s">
        <v>200</v>
      </c>
      <c r="G224" t="s">
        <v>314</v>
      </c>
      <c r="H224">
        <v>88620</v>
      </c>
      <c r="I224">
        <v>127000</v>
      </c>
      <c r="J224">
        <v>0.69779527600000002</v>
      </c>
      <c r="K224">
        <v>1.4330850823741819</v>
      </c>
      <c r="L224" t="s">
        <v>16</v>
      </c>
      <c r="M224" t="s">
        <v>446</v>
      </c>
    </row>
    <row r="225" spans="1:13" x14ac:dyDescent="0.35">
      <c r="A225">
        <v>200527</v>
      </c>
      <c r="B225" s="3">
        <v>44256</v>
      </c>
      <c r="C225" t="s">
        <v>471</v>
      </c>
      <c r="D225">
        <v>2021</v>
      </c>
      <c r="E225" t="s">
        <v>472</v>
      </c>
      <c r="F225" t="s">
        <v>32</v>
      </c>
      <c r="G225" t="s">
        <v>35</v>
      </c>
      <c r="H225">
        <v>85680</v>
      </c>
      <c r="I225" s="9">
        <v>183000</v>
      </c>
      <c r="J225" s="10">
        <v>0.46810000000000002</v>
      </c>
      <c r="K225" s="11">
        <v>2.1358543417366946</v>
      </c>
      <c r="L225" t="s">
        <v>13</v>
      </c>
      <c r="M225" t="s">
        <v>445</v>
      </c>
    </row>
    <row r="226" spans="1:13" x14ac:dyDescent="0.35">
      <c r="A226">
        <v>200362</v>
      </c>
      <c r="B226" s="3">
        <v>44340</v>
      </c>
      <c r="C226" t="s">
        <v>456</v>
      </c>
      <c r="D226">
        <v>2021</v>
      </c>
      <c r="E226" t="s">
        <v>466</v>
      </c>
      <c r="F226" t="s">
        <v>210</v>
      </c>
      <c r="G226" t="s">
        <v>211</v>
      </c>
      <c r="H226">
        <v>99660</v>
      </c>
      <c r="I226" s="9">
        <v>180000</v>
      </c>
      <c r="J226">
        <v>0.55359999999999998</v>
      </c>
      <c r="K226">
        <v>1.8061408789885611</v>
      </c>
      <c r="L226" t="s">
        <v>13</v>
      </c>
      <c r="M226" t="s">
        <v>446</v>
      </c>
    </row>
    <row r="227" spans="1:13" hidden="1" x14ac:dyDescent="0.35">
      <c r="A227">
        <v>150498</v>
      </c>
      <c r="B227" s="3">
        <v>42492</v>
      </c>
      <c r="C227" t="s">
        <v>456</v>
      </c>
      <c r="D227">
        <v>2016</v>
      </c>
      <c r="E227" t="s">
        <v>482</v>
      </c>
      <c r="F227" t="s">
        <v>125</v>
      </c>
      <c r="G227" t="s">
        <v>363</v>
      </c>
      <c r="H227">
        <v>94570</v>
      </c>
      <c r="I227">
        <v>135000</v>
      </c>
      <c r="J227">
        <v>0.70051851899999995</v>
      </c>
      <c r="K227">
        <v>1.4275140107856614</v>
      </c>
      <c r="L227" t="s">
        <v>16</v>
      </c>
      <c r="M227" t="s">
        <v>446</v>
      </c>
    </row>
    <row r="228" spans="1:13" x14ac:dyDescent="0.35">
      <c r="A228">
        <v>20750</v>
      </c>
      <c r="B228" s="3">
        <v>44322</v>
      </c>
      <c r="C228" t="s">
        <v>456</v>
      </c>
      <c r="D228">
        <v>2021</v>
      </c>
      <c r="E228" t="s">
        <v>466</v>
      </c>
      <c r="F228" t="s">
        <v>98</v>
      </c>
      <c r="G228" t="s">
        <v>102</v>
      </c>
      <c r="H228">
        <v>126560</v>
      </c>
      <c r="I228" s="9">
        <v>180000</v>
      </c>
      <c r="J228">
        <v>0.70309999999999995</v>
      </c>
      <c r="K228">
        <v>1.4222503160556257</v>
      </c>
      <c r="L228" t="s">
        <v>10</v>
      </c>
      <c r="M228" t="s">
        <v>446</v>
      </c>
    </row>
    <row r="229" spans="1:13" hidden="1" x14ac:dyDescent="0.35">
      <c r="A229">
        <v>70258</v>
      </c>
      <c r="B229" s="3">
        <v>39447</v>
      </c>
      <c r="C229" t="s">
        <v>450</v>
      </c>
      <c r="D229">
        <v>2007</v>
      </c>
      <c r="E229" t="s">
        <v>496</v>
      </c>
      <c r="F229" t="s">
        <v>409</v>
      </c>
      <c r="G229" t="s">
        <v>295</v>
      </c>
      <c r="H229">
        <v>171700</v>
      </c>
      <c r="I229">
        <v>244000</v>
      </c>
      <c r="J229">
        <v>0.70368852500000001</v>
      </c>
      <c r="K229">
        <v>1.4210832847990682</v>
      </c>
      <c r="L229" t="s">
        <v>16</v>
      </c>
      <c r="M229" t="s">
        <v>446</v>
      </c>
    </row>
    <row r="230" spans="1:13" hidden="1" x14ac:dyDescent="0.35">
      <c r="A230">
        <v>160521</v>
      </c>
      <c r="B230" s="3">
        <v>42916</v>
      </c>
      <c r="C230" t="s">
        <v>454</v>
      </c>
      <c r="D230">
        <v>2017</v>
      </c>
      <c r="E230" t="s">
        <v>467</v>
      </c>
      <c r="F230" t="s">
        <v>139</v>
      </c>
      <c r="G230" t="s">
        <v>369</v>
      </c>
      <c r="H230">
        <v>88000</v>
      </c>
      <c r="I230">
        <v>125000</v>
      </c>
      <c r="J230">
        <v>0.70399999999999996</v>
      </c>
      <c r="K230">
        <v>1.4204545454545454</v>
      </c>
      <c r="L230" t="s">
        <v>16</v>
      </c>
      <c r="M230" t="s">
        <v>446</v>
      </c>
    </row>
    <row r="231" spans="1:13" hidden="1" x14ac:dyDescent="0.35">
      <c r="A231">
        <v>80097</v>
      </c>
      <c r="B231" s="3">
        <v>39897</v>
      </c>
      <c r="C231" t="s">
        <v>471</v>
      </c>
      <c r="D231">
        <v>2009</v>
      </c>
      <c r="E231" t="s">
        <v>490</v>
      </c>
      <c r="F231" t="s">
        <v>308</v>
      </c>
      <c r="G231" t="s">
        <v>309</v>
      </c>
      <c r="H231">
        <v>210600</v>
      </c>
      <c r="I231">
        <v>299000</v>
      </c>
      <c r="J231">
        <v>0.70434782600000001</v>
      </c>
      <c r="K231">
        <v>1.4197530864197532</v>
      </c>
      <c r="L231" t="s">
        <v>16</v>
      </c>
      <c r="M231" t="s">
        <v>446</v>
      </c>
    </row>
    <row r="232" spans="1:13" x14ac:dyDescent="0.35">
      <c r="A232">
        <v>200212</v>
      </c>
      <c r="B232" s="3">
        <v>44264</v>
      </c>
      <c r="C232" t="s">
        <v>471</v>
      </c>
      <c r="D232">
        <v>2021</v>
      </c>
      <c r="E232" t="s">
        <v>472</v>
      </c>
      <c r="F232" t="s">
        <v>14</v>
      </c>
      <c r="G232" t="s">
        <v>15</v>
      </c>
      <c r="H232">
        <v>130400</v>
      </c>
      <c r="I232" s="9">
        <v>179900</v>
      </c>
      <c r="J232">
        <v>0.7248</v>
      </c>
      <c r="K232">
        <v>1.3796012269938651</v>
      </c>
      <c r="L232" t="s">
        <v>13</v>
      </c>
      <c r="M232" t="s">
        <v>446</v>
      </c>
    </row>
    <row r="233" spans="1:13" hidden="1" x14ac:dyDescent="0.35">
      <c r="A233">
        <v>70113</v>
      </c>
      <c r="B233" s="3">
        <v>39426</v>
      </c>
      <c r="C233" t="s">
        <v>450</v>
      </c>
      <c r="D233">
        <v>2007</v>
      </c>
      <c r="E233" t="s">
        <v>496</v>
      </c>
      <c r="F233" t="s">
        <v>182</v>
      </c>
      <c r="G233" t="s">
        <v>298</v>
      </c>
      <c r="H233">
        <v>175770</v>
      </c>
      <c r="I233">
        <v>248000</v>
      </c>
      <c r="J233">
        <v>0.70874999999999999</v>
      </c>
      <c r="K233">
        <v>1.4109347442680775</v>
      </c>
      <c r="L233" t="s">
        <v>16</v>
      </c>
      <c r="M233" t="s">
        <v>446</v>
      </c>
    </row>
    <row r="234" spans="1:13" hidden="1" x14ac:dyDescent="0.35">
      <c r="A234">
        <v>162000</v>
      </c>
      <c r="B234" s="3">
        <v>42992</v>
      </c>
      <c r="C234" t="s">
        <v>473</v>
      </c>
      <c r="D234">
        <v>2017</v>
      </c>
      <c r="E234" t="s">
        <v>484</v>
      </c>
      <c r="F234" t="s">
        <v>181</v>
      </c>
      <c r="G234" t="s">
        <v>376</v>
      </c>
      <c r="H234">
        <v>264700</v>
      </c>
      <c r="I234">
        <v>373000</v>
      </c>
      <c r="J234">
        <v>0.70965147500000003</v>
      </c>
      <c r="K234">
        <v>1.4091424253872309</v>
      </c>
      <c r="L234" t="s">
        <v>16</v>
      </c>
      <c r="M234" t="s">
        <v>446</v>
      </c>
    </row>
    <row r="235" spans="1:13" hidden="1" x14ac:dyDescent="0.35">
      <c r="A235">
        <v>60610</v>
      </c>
      <c r="B235" s="3">
        <v>39252</v>
      </c>
      <c r="C235" t="s">
        <v>454</v>
      </c>
      <c r="D235">
        <v>2007</v>
      </c>
      <c r="E235" t="s">
        <v>505</v>
      </c>
      <c r="F235" t="s">
        <v>174</v>
      </c>
      <c r="G235" t="s">
        <v>290</v>
      </c>
      <c r="H235">
        <v>124250</v>
      </c>
      <c r="I235">
        <v>175000</v>
      </c>
      <c r="J235">
        <v>0.71</v>
      </c>
      <c r="K235">
        <v>1.408450704225352</v>
      </c>
      <c r="L235" t="s">
        <v>16</v>
      </c>
      <c r="M235" t="s">
        <v>446</v>
      </c>
    </row>
    <row r="236" spans="1:13" x14ac:dyDescent="0.35">
      <c r="A236">
        <v>20000179</v>
      </c>
      <c r="B236" s="3">
        <v>44249</v>
      </c>
      <c r="C236" t="s">
        <v>460</v>
      </c>
      <c r="D236">
        <v>2021</v>
      </c>
      <c r="E236" t="s">
        <v>461</v>
      </c>
      <c r="F236" t="s">
        <v>37</v>
      </c>
      <c r="G236" t="s">
        <v>39</v>
      </c>
      <c r="H236">
        <v>94770</v>
      </c>
      <c r="I236" s="9">
        <v>170000</v>
      </c>
      <c r="J236">
        <v>0.55740000000000001</v>
      </c>
      <c r="K236">
        <v>1.7938166086314233</v>
      </c>
      <c r="L236" t="s">
        <v>13</v>
      </c>
      <c r="M236" t="s">
        <v>446</v>
      </c>
    </row>
    <row r="237" spans="1:13" hidden="1" x14ac:dyDescent="0.35">
      <c r="A237">
        <v>181369</v>
      </c>
      <c r="B237" s="3">
        <v>43623</v>
      </c>
      <c r="C237" t="s">
        <v>454</v>
      </c>
      <c r="D237">
        <v>2019</v>
      </c>
      <c r="E237" t="s">
        <v>533</v>
      </c>
      <c r="F237" t="s">
        <v>282</v>
      </c>
      <c r="G237" t="s">
        <v>406</v>
      </c>
      <c r="H237">
        <v>36950</v>
      </c>
      <c r="I237">
        <v>52000</v>
      </c>
      <c r="J237">
        <v>0.71050000000000002</v>
      </c>
      <c r="K237">
        <v>1.4073071718538566</v>
      </c>
      <c r="L237" t="s">
        <v>16</v>
      </c>
      <c r="M237" t="s">
        <v>446</v>
      </c>
    </row>
    <row r="238" spans="1:13" hidden="1" x14ac:dyDescent="0.35">
      <c r="A238">
        <v>70052</v>
      </c>
      <c r="B238" s="3">
        <v>39367</v>
      </c>
      <c r="C238" t="s">
        <v>469</v>
      </c>
      <c r="D238">
        <v>2007</v>
      </c>
      <c r="E238" t="s">
        <v>499</v>
      </c>
      <c r="F238" t="s">
        <v>159</v>
      </c>
      <c r="G238" t="s">
        <v>292</v>
      </c>
      <c r="H238">
        <v>161700</v>
      </c>
      <c r="I238">
        <v>227000</v>
      </c>
      <c r="J238">
        <v>0.71233480199999999</v>
      </c>
      <c r="K238">
        <v>1.4038342609771182</v>
      </c>
      <c r="L238" t="s">
        <v>16</v>
      </c>
      <c r="M238" t="s">
        <v>446</v>
      </c>
    </row>
    <row r="239" spans="1:13" hidden="1" x14ac:dyDescent="0.35">
      <c r="A239">
        <v>900039</v>
      </c>
      <c r="B239" s="3">
        <v>40136</v>
      </c>
      <c r="C239" t="s">
        <v>475</v>
      </c>
      <c r="D239">
        <v>2009</v>
      </c>
      <c r="E239" t="s">
        <v>498</v>
      </c>
      <c r="F239" t="s">
        <v>200</v>
      </c>
      <c r="G239" t="s">
        <v>319</v>
      </c>
      <c r="H239">
        <v>138950</v>
      </c>
      <c r="I239">
        <v>195000</v>
      </c>
      <c r="J239">
        <v>0.71256410299999995</v>
      </c>
      <c r="K239">
        <v>1.4033825116948542</v>
      </c>
      <c r="L239" t="s">
        <v>16</v>
      </c>
      <c r="M239" t="s">
        <v>446</v>
      </c>
    </row>
    <row r="240" spans="1:13" hidden="1" x14ac:dyDescent="0.35">
      <c r="A240">
        <v>160773</v>
      </c>
      <c r="B240" s="3">
        <v>42905</v>
      </c>
      <c r="C240" t="s">
        <v>454</v>
      </c>
      <c r="D240">
        <v>2017</v>
      </c>
      <c r="E240" t="s">
        <v>467</v>
      </c>
      <c r="F240" t="s">
        <v>129</v>
      </c>
      <c r="G240" t="s">
        <v>396</v>
      </c>
      <c r="H240">
        <v>153230</v>
      </c>
      <c r="I240">
        <v>215000</v>
      </c>
      <c r="J240">
        <v>0.71269767399999995</v>
      </c>
      <c r="K240">
        <v>1.4031194935717548</v>
      </c>
      <c r="L240" t="s">
        <v>16</v>
      </c>
      <c r="M240" t="s">
        <v>446</v>
      </c>
    </row>
    <row r="241" spans="1:13" x14ac:dyDescent="0.35">
      <c r="A241">
        <v>200468</v>
      </c>
      <c r="B241" s="3">
        <v>44239</v>
      </c>
      <c r="C241" t="s">
        <v>460</v>
      </c>
      <c r="D241">
        <v>2021</v>
      </c>
      <c r="E241" t="s">
        <v>461</v>
      </c>
      <c r="F241" t="s">
        <v>125</v>
      </c>
      <c r="G241" t="s">
        <v>126</v>
      </c>
      <c r="H241">
        <v>100520</v>
      </c>
      <c r="I241" s="9">
        <v>170000</v>
      </c>
      <c r="J241">
        <v>0.59119999999999995</v>
      </c>
      <c r="K241">
        <v>1.6912057302029446</v>
      </c>
      <c r="L241" t="s">
        <v>13</v>
      </c>
      <c r="M241" t="s">
        <v>446</v>
      </c>
    </row>
    <row r="242" spans="1:13" hidden="1" x14ac:dyDescent="0.35">
      <c r="A242">
        <v>161187</v>
      </c>
      <c r="B242" s="3">
        <v>42930</v>
      </c>
      <c r="C242" t="s">
        <v>458</v>
      </c>
      <c r="D242">
        <v>2017</v>
      </c>
      <c r="E242" t="s">
        <v>501</v>
      </c>
      <c r="F242" t="s">
        <v>122</v>
      </c>
      <c r="G242" t="s">
        <v>378</v>
      </c>
      <c r="H242">
        <v>143240</v>
      </c>
      <c r="I242">
        <v>200000</v>
      </c>
      <c r="J242">
        <v>0.71619999999999995</v>
      </c>
      <c r="K242">
        <v>1.3962580284836639</v>
      </c>
      <c r="L242" t="s">
        <v>16</v>
      </c>
      <c r="M242" t="s">
        <v>446</v>
      </c>
    </row>
    <row r="243" spans="1:13" hidden="1" x14ac:dyDescent="0.35">
      <c r="A243">
        <v>90002</v>
      </c>
      <c r="B243" s="3">
        <v>40087</v>
      </c>
      <c r="C243" t="s">
        <v>469</v>
      </c>
      <c r="D243">
        <v>2009</v>
      </c>
      <c r="E243" t="s">
        <v>493</v>
      </c>
      <c r="F243" t="s">
        <v>139</v>
      </c>
      <c r="G243" t="s">
        <v>343</v>
      </c>
      <c r="H243">
        <v>150710</v>
      </c>
      <c r="I243">
        <v>210000</v>
      </c>
      <c r="J243">
        <v>0.71766666700000004</v>
      </c>
      <c r="K243">
        <v>1.3934045517882026</v>
      </c>
      <c r="L243" t="s">
        <v>16</v>
      </c>
      <c r="M243" t="s">
        <v>446</v>
      </c>
    </row>
    <row r="244" spans="1:13" hidden="1" x14ac:dyDescent="0.35">
      <c r="A244">
        <v>900420</v>
      </c>
      <c r="B244" s="3">
        <v>40428</v>
      </c>
      <c r="C244" t="s">
        <v>473</v>
      </c>
      <c r="D244">
        <v>2010</v>
      </c>
      <c r="E244" t="s">
        <v>486</v>
      </c>
      <c r="F244" t="s">
        <v>68</v>
      </c>
      <c r="G244" t="s">
        <v>315</v>
      </c>
      <c r="H244">
        <v>265580</v>
      </c>
      <c r="I244">
        <v>369900</v>
      </c>
      <c r="J244">
        <v>0.71797783199999998</v>
      </c>
      <c r="K244">
        <v>1.3928006627005045</v>
      </c>
      <c r="L244" t="s">
        <v>16</v>
      </c>
      <c r="M244" t="s">
        <v>446</v>
      </c>
    </row>
    <row r="245" spans="1:13" x14ac:dyDescent="0.35">
      <c r="A245">
        <v>200113</v>
      </c>
      <c r="B245" s="3">
        <v>44210</v>
      </c>
      <c r="C245" t="s">
        <v>464</v>
      </c>
      <c r="D245">
        <v>2021</v>
      </c>
      <c r="E245" t="s">
        <v>465</v>
      </c>
      <c r="F245" t="s">
        <v>241</v>
      </c>
      <c r="G245" t="s">
        <v>242</v>
      </c>
      <c r="H245">
        <v>98280</v>
      </c>
      <c r="I245" s="9">
        <v>169900</v>
      </c>
      <c r="J245">
        <v>0.57840000000000003</v>
      </c>
      <c r="K245">
        <v>1.7287342287342287</v>
      </c>
      <c r="L245" t="s">
        <v>13</v>
      </c>
      <c r="M245" t="s">
        <v>446</v>
      </c>
    </row>
    <row r="246" spans="1:13" hidden="1" x14ac:dyDescent="0.35">
      <c r="A246">
        <v>160606</v>
      </c>
      <c r="B246" s="3">
        <v>42934</v>
      </c>
      <c r="C246" t="s">
        <v>458</v>
      </c>
      <c r="D246">
        <v>2017</v>
      </c>
      <c r="E246" t="s">
        <v>501</v>
      </c>
      <c r="F246" t="s">
        <v>280</v>
      </c>
      <c r="G246" t="s">
        <v>388</v>
      </c>
      <c r="H246">
        <v>68800</v>
      </c>
      <c r="I246">
        <v>95000</v>
      </c>
      <c r="J246">
        <v>0.72421052600000002</v>
      </c>
      <c r="K246">
        <v>1.3808139534883721</v>
      </c>
      <c r="L246" t="s">
        <v>16</v>
      </c>
      <c r="M246" t="s">
        <v>446</v>
      </c>
    </row>
    <row r="247" spans="1:13" x14ac:dyDescent="0.35">
      <c r="A247">
        <v>20522</v>
      </c>
      <c r="B247" s="3">
        <v>44266</v>
      </c>
      <c r="C247" t="s">
        <v>471</v>
      </c>
      <c r="D247">
        <v>2021</v>
      </c>
      <c r="E247" t="s">
        <v>472</v>
      </c>
      <c r="F247" t="s">
        <v>98</v>
      </c>
      <c r="G247" t="s">
        <v>100</v>
      </c>
      <c r="H247">
        <v>35875</v>
      </c>
      <c r="I247" s="9">
        <v>165000</v>
      </c>
      <c r="J247" s="10">
        <v>0.21740000000000001</v>
      </c>
      <c r="K247" s="11">
        <v>4.5993031358885021</v>
      </c>
      <c r="L247" t="s">
        <v>13</v>
      </c>
      <c r="M247" t="s">
        <v>445</v>
      </c>
    </row>
    <row r="248" spans="1:13" hidden="1" x14ac:dyDescent="0.35">
      <c r="A248">
        <v>120151</v>
      </c>
      <c r="B248" s="3">
        <v>41530</v>
      </c>
      <c r="C248" t="s">
        <v>473</v>
      </c>
      <c r="D248">
        <v>2013</v>
      </c>
      <c r="E248" t="s">
        <v>528</v>
      </c>
      <c r="F248" t="s">
        <v>193</v>
      </c>
      <c r="G248" t="s">
        <v>352</v>
      </c>
      <c r="H248">
        <v>76270</v>
      </c>
      <c r="I248">
        <v>105000</v>
      </c>
      <c r="J248">
        <v>0.72638095199999997</v>
      </c>
      <c r="K248">
        <v>1.3766880818146061</v>
      </c>
      <c r="L248" t="s">
        <v>16</v>
      </c>
      <c r="M248" t="s">
        <v>446</v>
      </c>
    </row>
    <row r="249" spans="1:13" hidden="1" x14ac:dyDescent="0.35">
      <c r="A249">
        <v>200081</v>
      </c>
      <c r="B249" s="3">
        <v>44144</v>
      </c>
      <c r="C249" t="s">
        <v>475</v>
      </c>
      <c r="D249">
        <v>2020</v>
      </c>
      <c r="E249" t="s">
        <v>476</v>
      </c>
      <c r="F249" t="s">
        <v>210</v>
      </c>
      <c r="G249" t="s">
        <v>214</v>
      </c>
      <c r="H249">
        <v>270440</v>
      </c>
      <c r="I249">
        <v>372000</v>
      </c>
      <c r="J249">
        <v>0.72689999999999999</v>
      </c>
      <c r="K249">
        <v>1.3755361632894543</v>
      </c>
      <c r="L249" t="s">
        <v>13</v>
      </c>
      <c r="M249" t="s">
        <v>446</v>
      </c>
    </row>
    <row r="250" spans="1:13" hidden="1" x14ac:dyDescent="0.35">
      <c r="A250">
        <v>130311</v>
      </c>
      <c r="B250" s="3">
        <v>41795</v>
      </c>
      <c r="C250" t="s">
        <v>454</v>
      </c>
      <c r="D250">
        <v>2014</v>
      </c>
      <c r="E250" t="s">
        <v>508</v>
      </c>
      <c r="F250" t="s">
        <v>73</v>
      </c>
      <c r="G250" t="s">
        <v>358</v>
      </c>
      <c r="H250">
        <v>125840</v>
      </c>
      <c r="I250">
        <v>173000</v>
      </c>
      <c r="J250">
        <v>0.72739884399999999</v>
      </c>
      <c r="K250">
        <v>1.3747616020343294</v>
      </c>
      <c r="L250" t="s">
        <v>16</v>
      </c>
      <c r="M250" t="s">
        <v>446</v>
      </c>
    </row>
    <row r="251" spans="1:13" x14ac:dyDescent="0.35">
      <c r="A251">
        <v>20513</v>
      </c>
      <c r="B251" s="3">
        <v>44266</v>
      </c>
      <c r="C251" t="s">
        <v>471</v>
      </c>
      <c r="D251">
        <v>2021</v>
      </c>
      <c r="E251" t="s">
        <v>472</v>
      </c>
      <c r="F251" t="s">
        <v>146</v>
      </c>
      <c r="G251" t="s">
        <v>147</v>
      </c>
      <c r="H251">
        <v>97580</v>
      </c>
      <c r="I251" s="9">
        <v>163300</v>
      </c>
      <c r="J251">
        <v>0.59750000000000003</v>
      </c>
      <c r="K251">
        <v>1.673498667759787</v>
      </c>
      <c r="L251" t="s">
        <v>13</v>
      </c>
      <c r="M251" t="s">
        <v>446</v>
      </c>
    </row>
    <row r="252" spans="1:13" hidden="1" x14ac:dyDescent="0.35">
      <c r="A252">
        <v>800234</v>
      </c>
      <c r="B252" s="3">
        <v>39967</v>
      </c>
      <c r="C252" t="s">
        <v>454</v>
      </c>
      <c r="D252">
        <v>2009</v>
      </c>
      <c r="E252" t="s">
        <v>526</v>
      </c>
      <c r="F252" t="s">
        <v>68</v>
      </c>
      <c r="G252" t="s">
        <v>304</v>
      </c>
      <c r="H252">
        <v>82250</v>
      </c>
      <c r="I252">
        <v>112500</v>
      </c>
      <c r="J252">
        <v>0.73111111100000004</v>
      </c>
      <c r="K252">
        <v>1.3677811550151975</v>
      </c>
      <c r="L252" t="s">
        <v>16</v>
      </c>
      <c r="M252" t="s">
        <v>446</v>
      </c>
    </row>
    <row r="253" spans="1:13" hidden="1" x14ac:dyDescent="0.35">
      <c r="A253">
        <v>90035</v>
      </c>
      <c r="B253" s="3">
        <v>40148</v>
      </c>
      <c r="C253" t="s">
        <v>450</v>
      </c>
      <c r="D253">
        <v>2009</v>
      </c>
      <c r="E253" t="s">
        <v>494</v>
      </c>
      <c r="F253" t="s">
        <v>321</v>
      </c>
      <c r="G253" t="s">
        <v>331</v>
      </c>
      <c r="H253">
        <v>110700</v>
      </c>
      <c r="I253">
        <v>151000</v>
      </c>
      <c r="J253">
        <v>0.73311258300000004</v>
      </c>
      <c r="K253">
        <v>1.3640469738030714</v>
      </c>
      <c r="L253" t="s">
        <v>16</v>
      </c>
      <c r="M253" t="s">
        <v>446</v>
      </c>
    </row>
    <row r="254" spans="1:13" hidden="1" x14ac:dyDescent="0.35">
      <c r="A254">
        <v>160065</v>
      </c>
      <c r="B254" s="3">
        <v>42709</v>
      </c>
      <c r="C254" t="s">
        <v>450</v>
      </c>
      <c r="D254">
        <v>2016</v>
      </c>
      <c r="E254" t="s">
        <v>451</v>
      </c>
      <c r="F254" t="s">
        <v>200</v>
      </c>
      <c r="G254" t="s">
        <v>387</v>
      </c>
      <c r="H254">
        <v>89950</v>
      </c>
      <c r="I254">
        <v>122500</v>
      </c>
      <c r="J254">
        <v>0.73428571399999998</v>
      </c>
      <c r="K254">
        <v>1.3618677042801557</v>
      </c>
      <c r="L254" t="s">
        <v>16</v>
      </c>
      <c r="M254" t="s">
        <v>446</v>
      </c>
    </row>
    <row r="255" spans="1:13" hidden="1" x14ac:dyDescent="0.35">
      <c r="A255">
        <v>200002</v>
      </c>
      <c r="B255" s="3">
        <v>44105</v>
      </c>
      <c r="C255" t="s">
        <v>469</v>
      </c>
      <c r="D255">
        <v>2020</v>
      </c>
      <c r="E255" t="s">
        <v>470</v>
      </c>
      <c r="F255" t="s">
        <v>210</v>
      </c>
      <c r="G255" t="s">
        <v>213</v>
      </c>
      <c r="H255">
        <v>186610</v>
      </c>
      <c r="I255">
        <v>252000</v>
      </c>
      <c r="J255">
        <v>0.74050000000000005</v>
      </c>
      <c r="K255">
        <v>1.3504099458764267</v>
      </c>
      <c r="L255" t="s">
        <v>13</v>
      </c>
      <c r="M255" t="s">
        <v>446</v>
      </c>
    </row>
    <row r="256" spans="1:13" hidden="1" x14ac:dyDescent="0.35">
      <c r="A256">
        <v>10113</v>
      </c>
      <c r="B256" s="3">
        <v>40534</v>
      </c>
      <c r="C256" t="s">
        <v>450</v>
      </c>
      <c r="D256">
        <v>2010</v>
      </c>
      <c r="E256" t="s">
        <v>512</v>
      </c>
      <c r="F256" t="s">
        <v>83</v>
      </c>
      <c r="G256" t="s">
        <v>310</v>
      </c>
      <c r="H256">
        <v>119400</v>
      </c>
      <c r="I256">
        <v>161000</v>
      </c>
      <c r="J256">
        <v>0.74161490699999999</v>
      </c>
      <c r="K256">
        <v>1.3484087102177555</v>
      </c>
      <c r="L256" t="s">
        <v>16</v>
      </c>
      <c r="M256" t="s">
        <v>446</v>
      </c>
    </row>
    <row r="257" spans="1:13" x14ac:dyDescent="0.35">
      <c r="A257">
        <v>200991</v>
      </c>
      <c r="B257" s="3">
        <v>44385</v>
      </c>
      <c r="C257" t="s">
        <v>458</v>
      </c>
      <c r="D257">
        <v>2021</v>
      </c>
      <c r="E257" t="s">
        <v>459</v>
      </c>
      <c r="F257" t="s">
        <v>117</v>
      </c>
      <c r="G257" t="s">
        <v>120</v>
      </c>
      <c r="H257">
        <v>104300</v>
      </c>
      <c r="I257" s="9">
        <v>160000</v>
      </c>
      <c r="J257">
        <v>0.65180000000000005</v>
      </c>
      <c r="K257">
        <v>1.5340364333652925</v>
      </c>
      <c r="L257" t="s">
        <v>13</v>
      </c>
      <c r="M257" t="s">
        <v>446</v>
      </c>
    </row>
    <row r="258" spans="1:13" x14ac:dyDescent="0.35">
      <c r="A258">
        <v>200285</v>
      </c>
      <c r="B258" s="3">
        <v>44298</v>
      </c>
      <c r="C258" t="s">
        <v>452</v>
      </c>
      <c r="D258">
        <v>2021</v>
      </c>
      <c r="E258" t="s">
        <v>453</v>
      </c>
      <c r="F258" t="s">
        <v>96</v>
      </c>
      <c r="G258" t="s">
        <v>97</v>
      </c>
      <c r="H258">
        <v>77840</v>
      </c>
      <c r="I258" s="9">
        <v>150000</v>
      </c>
      <c r="J258">
        <v>0.51890000000000003</v>
      </c>
      <c r="K258">
        <v>1.9270298047276464</v>
      </c>
      <c r="L258" t="s">
        <v>13</v>
      </c>
      <c r="M258" t="s">
        <v>446</v>
      </c>
    </row>
    <row r="259" spans="1:13" hidden="1" x14ac:dyDescent="0.35">
      <c r="A259">
        <v>160606</v>
      </c>
      <c r="B259" s="3">
        <v>42957</v>
      </c>
      <c r="C259" t="s">
        <v>462</v>
      </c>
      <c r="D259">
        <v>2017</v>
      </c>
      <c r="E259" t="s">
        <v>503</v>
      </c>
      <c r="F259" t="s">
        <v>133</v>
      </c>
      <c r="G259" t="s">
        <v>379</v>
      </c>
      <c r="H259">
        <v>41000</v>
      </c>
      <c r="I259">
        <v>55000</v>
      </c>
      <c r="J259">
        <v>0.74545454499999997</v>
      </c>
      <c r="K259">
        <v>1.3414634146341464</v>
      </c>
      <c r="L259" t="s">
        <v>16</v>
      </c>
      <c r="M259" t="s">
        <v>446</v>
      </c>
    </row>
    <row r="260" spans="1:13" hidden="1" x14ac:dyDescent="0.35">
      <c r="A260">
        <v>200052</v>
      </c>
      <c r="B260" s="3">
        <v>44151</v>
      </c>
      <c r="C260" t="s">
        <v>475</v>
      </c>
      <c r="D260">
        <v>2020</v>
      </c>
      <c r="E260" t="s">
        <v>476</v>
      </c>
      <c r="F260" t="s">
        <v>115</v>
      </c>
      <c r="G260" t="s">
        <v>116</v>
      </c>
      <c r="H260">
        <v>149570</v>
      </c>
      <c r="I260">
        <v>200000</v>
      </c>
      <c r="J260">
        <v>0.74780000000000002</v>
      </c>
      <c r="K260">
        <v>1.3371665440930669</v>
      </c>
      <c r="L260" t="s">
        <v>13</v>
      </c>
      <c r="M260" t="s">
        <v>446</v>
      </c>
    </row>
    <row r="261" spans="1:13" hidden="1" x14ac:dyDescent="0.35">
      <c r="A261">
        <v>70133</v>
      </c>
      <c r="B261" s="3">
        <v>39527</v>
      </c>
      <c r="C261" t="s">
        <v>471</v>
      </c>
      <c r="D261">
        <v>2008</v>
      </c>
      <c r="E261" t="s">
        <v>477</v>
      </c>
      <c r="F261" t="s">
        <v>261</v>
      </c>
      <c r="G261" t="s">
        <v>297</v>
      </c>
      <c r="H261">
        <v>92820</v>
      </c>
      <c r="I261">
        <v>124000</v>
      </c>
      <c r="J261">
        <v>0.74854838700000004</v>
      </c>
      <c r="K261">
        <v>1.3359189829778064</v>
      </c>
      <c r="L261" t="s">
        <v>16</v>
      </c>
      <c r="M261" t="s">
        <v>446</v>
      </c>
    </row>
    <row r="262" spans="1:13" x14ac:dyDescent="0.35">
      <c r="A262">
        <v>200230</v>
      </c>
      <c r="B262" s="3">
        <v>44312</v>
      </c>
      <c r="C262" t="s">
        <v>452</v>
      </c>
      <c r="D262">
        <v>2021</v>
      </c>
      <c r="E262" t="s">
        <v>453</v>
      </c>
      <c r="F262" t="s">
        <v>109</v>
      </c>
      <c r="G262" t="s">
        <v>110</v>
      </c>
      <c r="H262">
        <v>143220</v>
      </c>
      <c r="I262" s="9">
        <v>150000</v>
      </c>
      <c r="J262">
        <v>0.95479999999999998</v>
      </c>
      <c r="K262">
        <v>1.0473397570171763</v>
      </c>
      <c r="L262" t="s">
        <v>103</v>
      </c>
      <c r="M262" t="s">
        <v>446</v>
      </c>
    </row>
    <row r="263" spans="1:13" x14ac:dyDescent="0.35">
      <c r="A263">
        <v>201777</v>
      </c>
      <c r="B263" s="3">
        <v>44355</v>
      </c>
      <c r="C263" t="s">
        <v>454</v>
      </c>
      <c r="D263">
        <v>2021</v>
      </c>
      <c r="E263" t="s">
        <v>455</v>
      </c>
      <c r="F263" t="s">
        <v>264</v>
      </c>
      <c r="G263" t="s">
        <v>266</v>
      </c>
      <c r="H263">
        <v>36770</v>
      </c>
      <c r="I263" s="9">
        <v>150000</v>
      </c>
      <c r="J263" s="10">
        <v>0.24510000000000001</v>
      </c>
      <c r="K263" s="11">
        <v>4.0794125645906991</v>
      </c>
      <c r="L263" t="s">
        <v>13</v>
      </c>
      <c r="M263" t="s">
        <v>445</v>
      </c>
    </row>
    <row r="264" spans="1:13" hidden="1" x14ac:dyDescent="0.35">
      <c r="A264">
        <v>200002</v>
      </c>
      <c r="B264" s="3">
        <v>44105</v>
      </c>
      <c r="C264" t="s">
        <v>469</v>
      </c>
      <c r="D264">
        <v>2020</v>
      </c>
      <c r="E264" t="s">
        <v>470</v>
      </c>
      <c r="F264" t="s">
        <v>130</v>
      </c>
      <c r="G264" t="s">
        <v>203</v>
      </c>
      <c r="H264">
        <v>439290</v>
      </c>
      <c r="I264">
        <v>575000</v>
      </c>
      <c r="J264">
        <v>0.76398260900000003</v>
      </c>
      <c r="K264">
        <v>1.3089303193789978</v>
      </c>
      <c r="L264" t="s">
        <v>13</v>
      </c>
      <c r="M264" t="s">
        <v>446</v>
      </c>
    </row>
    <row r="265" spans="1:13" hidden="1" x14ac:dyDescent="0.35">
      <c r="A265">
        <v>160624</v>
      </c>
      <c r="B265" s="3">
        <v>42964</v>
      </c>
      <c r="C265" t="s">
        <v>462</v>
      </c>
      <c r="D265">
        <v>2017</v>
      </c>
      <c r="E265" t="s">
        <v>503</v>
      </c>
      <c r="F265" t="s">
        <v>133</v>
      </c>
      <c r="G265" t="s">
        <v>367</v>
      </c>
      <c r="H265">
        <v>96100</v>
      </c>
      <c r="I265">
        <v>125500</v>
      </c>
      <c r="J265">
        <v>0.76573705199999997</v>
      </c>
      <c r="K265">
        <v>1.3059313215400625</v>
      </c>
      <c r="L265" t="s">
        <v>16</v>
      </c>
      <c r="M265" t="s">
        <v>446</v>
      </c>
    </row>
    <row r="266" spans="1:13" hidden="1" x14ac:dyDescent="0.35">
      <c r="A266">
        <v>14332</v>
      </c>
      <c r="B266" s="3">
        <v>42179</v>
      </c>
      <c r="C266" t="s">
        <v>454</v>
      </c>
      <c r="D266">
        <v>2015</v>
      </c>
      <c r="E266" t="s">
        <v>480</v>
      </c>
      <c r="F266" t="s">
        <v>182</v>
      </c>
      <c r="G266" t="s">
        <v>360</v>
      </c>
      <c r="H266">
        <v>107520</v>
      </c>
      <c r="I266">
        <v>140000</v>
      </c>
      <c r="J266">
        <v>0.76800000000000002</v>
      </c>
      <c r="K266">
        <v>1.3020833333333333</v>
      </c>
      <c r="L266" t="s">
        <v>16</v>
      </c>
      <c r="M266" t="s">
        <v>446</v>
      </c>
    </row>
    <row r="267" spans="1:13" hidden="1" x14ac:dyDescent="0.35">
      <c r="A267">
        <v>100418</v>
      </c>
      <c r="B267" s="3">
        <v>40765</v>
      </c>
      <c r="C267" t="s">
        <v>462</v>
      </c>
      <c r="D267">
        <v>2011</v>
      </c>
      <c r="E267" t="s">
        <v>534</v>
      </c>
      <c r="F267" t="s">
        <v>249</v>
      </c>
      <c r="G267" t="s">
        <v>334</v>
      </c>
      <c r="H267">
        <v>38500</v>
      </c>
      <c r="I267">
        <v>50000</v>
      </c>
      <c r="J267">
        <v>0.77</v>
      </c>
      <c r="K267">
        <v>1.2987012987012987</v>
      </c>
      <c r="L267" t="s">
        <v>16</v>
      </c>
      <c r="M267" t="s">
        <v>446</v>
      </c>
    </row>
    <row r="268" spans="1:13" hidden="1" x14ac:dyDescent="0.35">
      <c r="A268">
        <v>100226</v>
      </c>
      <c r="B268" s="3">
        <v>40599</v>
      </c>
      <c r="C268" t="s">
        <v>460</v>
      </c>
      <c r="D268">
        <v>2011</v>
      </c>
      <c r="E268" t="s">
        <v>506</v>
      </c>
      <c r="F268" t="s">
        <v>32</v>
      </c>
      <c r="G268" t="s">
        <v>340</v>
      </c>
      <c r="H268">
        <v>93450</v>
      </c>
      <c r="I268">
        <v>120000</v>
      </c>
      <c r="J268">
        <v>0.77875000000000005</v>
      </c>
      <c r="K268">
        <v>1.2841091492776886</v>
      </c>
      <c r="L268" t="s">
        <v>16</v>
      </c>
      <c r="M268" t="s">
        <v>446</v>
      </c>
    </row>
    <row r="269" spans="1:13" hidden="1" x14ac:dyDescent="0.35">
      <c r="A269">
        <v>100035</v>
      </c>
      <c r="B269" s="3">
        <v>40512</v>
      </c>
      <c r="C269" t="s">
        <v>475</v>
      </c>
      <c r="D269">
        <v>2010</v>
      </c>
      <c r="E269" t="s">
        <v>487</v>
      </c>
      <c r="F269" t="s">
        <v>96</v>
      </c>
      <c r="G269" t="s">
        <v>318</v>
      </c>
      <c r="H269">
        <v>257040</v>
      </c>
      <c r="I269">
        <v>330000</v>
      </c>
      <c r="J269">
        <v>0.77890909100000005</v>
      </c>
      <c r="K269">
        <v>1.2838468720821663</v>
      </c>
      <c r="L269" t="s">
        <v>16</v>
      </c>
      <c r="M269" t="s">
        <v>446</v>
      </c>
    </row>
    <row r="270" spans="1:13" x14ac:dyDescent="0.35">
      <c r="A270">
        <v>201018</v>
      </c>
      <c r="B270" s="3">
        <v>44350</v>
      </c>
      <c r="C270" t="s">
        <v>454</v>
      </c>
      <c r="D270">
        <v>2021</v>
      </c>
      <c r="E270" t="s">
        <v>455</v>
      </c>
      <c r="F270" t="s">
        <v>56</v>
      </c>
      <c r="G270" t="s">
        <v>416</v>
      </c>
      <c r="H270">
        <v>136900</v>
      </c>
      <c r="I270" s="9">
        <v>150000</v>
      </c>
      <c r="J270">
        <v>0.91259999999999997</v>
      </c>
      <c r="K270">
        <v>1.0956902848794741</v>
      </c>
      <c r="L270" t="s">
        <v>13</v>
      </c>
      <c r="M270" t="s">
        <v>446</v>
      </c>
    </row>
    <row r="271" spans="1:13" hidden="1" x14ac:dyDescent="0.35">
      <c r="A271">
        <v>10037</v>
      </c>
      <c r="B271" s="3">
        <v>40500</v>
      </c>
      <c r="C271" t="s">
        <v>475</v>
      </c>
      <c r="D271">
        <v>2010</v>
      </c>
      <c r="E271" t="s">
        <v>487</v>
      </c>
      <c r="F271" t="s">
        <v>286</v>
      </c>
      <c r="G271" t="s">
        <v>347</v>
      </c>
      <c r="H271">
        <v>203600</v>
      </c>
      <c r="I271">
        <v>260000</v>
      </c>
      <c r="J271">
        <v>0.78307692299999998</v>
      </c>
      <c r="K271">
        <v>1.2770137524557956</v>
      </c>
      <c r="L271" t="s">
        <v>16</v>
      </c>
      <c r="M271" t="s">
        <v>446</v>
      </c>
    </row>
    <row r="272" spans="1:13" hidden="1" x14ac:dyDescent="0.35">
      <c r="A272">
        <v>130523</v>
      </c>
      <c r="B272" s="3">
        <v>41908</v>
      </c>
      <c r="C272" t="s">
        <v>473</v>
      </c>
      <c r="D272">
        <v>2014</v>
      </c>
      <c r="E272" t="s">
        <v>481</v>
      </c>
      <c r="F272" t="s">
        <v>73</v>
      </c>
      <c r="G272" t="s">
        <v>354</v>
      </c>
      <c r="H272">
        <v>97940</v>
      </c>
      <c r="I272">
        <v>125000</v>
      </c>
      <c r="J272">
        <v>0.78351999999999999</v>
      </c>
      <c r="K272">
        <v>1.2762916071063917</v>
      </c>
      <c r="L272" t="s">
        <v>16</v>
      </c>
      <c r="M272" t="s">
        <v>446</v>
      </c>
    </row>
    <row r="273" spans="1:13" hidden="1" x14ac:dyDescent="0.35">
      <c r="A273">
        <v>100052</v>
      </c>
      <c r="B273" s="3">
        <v>40596</v>
      </c>
      <c r="C273" t="s">
        <v>460</v>
      </c>
      <c r="D273">
        <v>2011</v>
      </c>
      <c r="E273" t="s">
        <v>506</v>
      </c>
      <c r="F273" t="s">
        <v>8</v>
      </c>
      <c r="G273" t="s">
        <v>326</v>
      </c>
      <c r="H273">
        <v>137300</v>
      </c>
      <c r="I273">
        <v>175000</v>
      </c>
      <c r="J273">
        <v>0.78457142899999999</v>
      </c>
      <c r="K273">
        <v>1.2745812090313182</v>
      </c>
      <c r="L273" t="s">
        <v>16</v>
      </c>
      <c r="M273" t="s">
        <v>446</v>
      </c>
    </row>
    <row r="274" spans="1:13" hidden="1" x14ac:dyDescent="0.35">
      <c r="A274">
        <v>80588</v>
      </c>
      <c r="B274" s="3">
        <v>40015</v>
      </c>
      <c r="C274" t="s">
        <v>458</v>
      </c>
      <c r="D274">
        <v>2009</v>
      </c>
      <c r="E274" t="s">
        <v>513</v>
      </c>
      <c r="F274" t="s">
        <v>56</v>
      </c>
      <c r="G274" t="s">
        <v>293</v>
      </c>
      <c r="H274">
        <v>125900</v>
      </c>
      <c r="I274">
        <v>160000</v>
      </c>
      <c r="J274">
        <v>0.78687499999999999</v>
      </c>
      <c r="K274">
        <v>1.2708498808578237</v>
      </c>
      <c r="L274" t="s">
        <v>16</v>
      </c>
      <c r="M274" t="s">
        <v>446</v>
      </c>
    </row>
    <row r="275" spans="1:13" hidden="1" x14ac:dyDescent="0.35">
      <c r="A275">
        <v>90472</v>
      </c>
      <c r="B275" s="3">
        <v>40331</v>
      </c>
      <c r="C275" t="s">
        <v>454</v>
      </c>
      <c r="D275">
        <v>2010</v>
      </c>
      <c r="E275" t="s">
        <v>491</v>
      </c>
      <c r="F275" t="s">
        <v>260</v>
      </c>
      <c r="G275" t="s">
        <v>313</v>
      </c>
      <c r="H275">
        <v>220920</v>
      </c>
      <c r="I275">
        <v>280000</v>
      </c>
      <c r="J275">
        <v>0.78900000000000003</v>
      </c>
      <c r="K275">
        <v>1.267427122940431</v>
      </c>
      <c r="L275" t="s">
        <v>16</v>
      </c>
      <c r="M275" t="s">
        <v>446</v>
      </c>
    </row>
    <row r="276" spans="1:13" x14ac:dyDescent="0.35">
      <c r="A276">
        <v>200375</v>
      </c>
      <c r="B276" s="3">
        <v>44292</v>
      </c>
      <c r="C276" t="s">
        <v>452</v>
      </c>
      <c r="D276">
        <v>2021</v>
      </c>
      <c r="E276" t="s">
        <v>453</v>
      </c>
      <c r="F276" t="s">
        <v>66</v>
      </c>
      <c r="G276" t="s">
        <v>417</v>
      </c>
      <c r="H276">
        <v>76960</v>
      </c>
      <c r="I276" s="9">
        <v>140000</v>
      </c>
      <c r="J276">
        <v>0.54969999999999997</v>
      </c>
      <c r="K276">
        <v>1.8191268191268191</v>
      </c>
      <c r="L276" t="s">
        <v>13</v>
      </c>
      <c r="M276" t="s">
        <v>446</v>
      </c>
    </row>
    <row r="277" spans="1:13" hidden="1" x14ac:dyDescent="0.35">
      <c r="A277">
        <v>100254</v>
      </c>
      <c r="B277" s="3">
        <v>40731</v>
      </c>
      <c r="C277" t="s">
        <v>458</v>
      </c>
      <c r="D277">
        <v>2011</v>
      </c>
      <c r="E277" t="s">
        <v>525</v>
      </c>
      <c r="F277" t="s">
        <v>68</v>
      </c>
      <c r="G277" t="s">
        <v>312</v>
      </c>
      <c r="H277">
        <v>91000</v>
      </c>
      <c r="I277">
        <v>115000</v>
      </c>
      <c r="J277">
        <v>0.79130434800000005</v>
      </c>
      <c r="K277">
        <v>1.2637362637362637</v>
      </c>
      <c r="L277" t="s">
        <v>16</v>
      </c>
      <c r="M277" t="s">
        <v>446</v>
      </c>
    </row>
    <row r="278" spans="1:13" hidden="1" x14ac:dyDescent="0.35">
      <c r="A278">
        <v>160052</v>
      </c>
      <c r="B278" s="3">
        <v>42767</v>
      </c>
      <c r="C278" t="s">
        <v>460</v>
      </c>
      <c r="D278">
        <v>2017</v>
      </c>
      <c r="E278" t="s">
        <v>529</v>
      </c>
      <c r="F278" t="s">
        <v>205</v>
      </c>
      <c r="G278" t="s">
        <v>371</v>
      </c>
      <c r="H278">
        <v>79310</v>
      </c>
      <c r="I278">
        <v>100000</v>
      </c>
      <c r="J278">
        <v>0.79310000000000003</v>
      </c>
      <c r="K278">
        <v>1.2608750472828143</v>
      </c>
      <c r="L278" t="s">
        <v>16</v>
      </c>
      <c r="M278" t="s">
        <v>446</v>
      </c>
    </row>
    <row r="279" spans="1:13" x14ac:dyDescent="0.35">
      <c r="A279">
        <v>202250</v>
      </c>
      <c r="B279" s="3">
        <v>44417</v>
      </c>
      <c r="C279" t="s">
        <v>462</v>
      </c>
      <c r="D279">
        <v>2021</v>
      </c>
      <c r="E279" t="s">
        <v>463</v>
      </c>
      <c r="F279" t="s">
        <v>264</v>
      </c>
      <c r="G279" t="s">
        <v>267</v>
      </c>
      <c r="H279">
        <v>63100</v>
      </c>
      <c r="I279" s="9">
        <v>139900</v>
      </c>
      <c r="J279" s="10">
        <v>0.45100000000000001</v>
      </c>
      <c r="K279" s="11">
        <v>2.2171156893819335</v>
      </c>
      <c r="L279" t="s">
        <v>13</v>
      </c>
      <c r="M279" t="s">
        <v>445</v>
      </c>
    </row>
    <row r="280" spans="1:13" hidden="1" x14ac:dyDescent="0.35">
      <c r="A280">
        <v>90042</v>
      </c>
      <c r="B280" s="3">
        <v>40106</v>
      </c>
      <c r="C280" t="s">
        <v>469</v>
      </c>
      <c r="D280">
        <v>2009</v>
      </c>
      <c r="E280" t="s">
        <v>493</v>
      </c>
      <c r="F280" t="s">
        <v>84</v>
      </c>
      <c r="G280" t="s">
        <v>323</v>
      </c>
      <c r="H280">
        <v>219870</v>
      </c>
      <c r="I280">
        <v>275000</v>
      </c>
      <c r="J280">
        <v>0.79952727300000004</v>
      </c>
      <c r="K280">
        <v>1.2507390730886432</v>
      </c>
      <c r="L280" t="s">
        <v>16</v>
      </c>
      <c r="M280" t="s">
        <v>446</v>
      </c>
    </row>
    <row r="281" spans="1:13" hidden="1" x14ac:dyDescent="0.35">
      <c r="A281">
        <v>100002</v>
      </c>
      <c r="B281" s="3">
        <v>40455</v>
      </c>
      <c r="C281" t="s">
        <v>469</v>
      </c>
      <c r="D281">
        <v>2010</v>
      </c>
      <c r="E281" t="s">
        <v>489</v>
      </c>
      <c r="F281" t="s">
        <v>29</v>
      </c>
      <c r="G281" t="s">
        <v>333</v>
      </c>
      <c r="H281">
        <v>184500</v>
      </c>
      <c r="I281">
        <v>230000</v>
      </c>
      <c r="J281">
        <v>0.80217391299999996</v>
      </c>
      <c r="K281">
        <v>1.2466124661246611</v>
      </c>
      <c r="L281" t="s">
        <v>16</v>
      </c>
      <c r="M281" t="s">
        <v>446</v>
      </c>
    </row>
    <row r="282" spans="1:13" hidden="1" x14ac:dyDescent="0.35">
      <c r="A282">
        <v>91123</v>
      </c>
      <c r="B282" s="3">
        <v>40371</v>
      </c>
      <c r="C282" t="s">
        <v>458</v>
      </c>
      <c r="D282">
        <v>2010</v>
      </c>
      <c r="E282" t="s">
        <v>530</v>
      </c>
      <c r="F282" t="s">
        <v>264</v>
      </c>
      <c r="G282" t="s">
        <v>339</v>
      </c>
      <c r="H282">
        <v>52580</v>
      </c>
      <c r="I282">
        <v>65000</v>
      </c>
      <c r="J282">
        <v>0.80892307699999999</v>
      </c>
      <c r="K282">
        <v>1.2362114872575123</v>
      </c>
      <c r="L282" t="s">
        <v>16</v>
      </c>
      <c r="M282" t="s">
        <v>446</v>
      </c>
    </row>
    <row r="283" spans="1:13" hidden="1" x14ac:dyDescent="0.35">
      <c r="A283">
        <v>90010</v>
      </c>
      <c r="B283" s="3">
        <v>40105</v>
      </c>
      <c r="C283" t="s">
        <v>469</v>
      </c>
      <c r="D283">
        <v>2009</v>
      </c>
      <c r="E283" t="s">
        <v>493</v>
      </c>
      <c r="F283" t="s">
        <v>193</v>
      </c>
      <c r="G283" t="s">
        <v>317</v>
      </c>
      <c r="H283">
        <v>94260</v>
      </c>
      <c r="I283">
        <v>115000</v>
      </c>
      <c r="J283">
        <v>0.81965217400000001</v>
      </c>
      <c r="K283">
        <v>1.22002970507108</v>
      </c>
      <c r="L283" t="s">
        <v>16</v>
      </c>
      <c r="M283" t="s">
        <v>446</v>
      </c>
    </row>
    <row r="284" spans="1:13" x14ac:dyDescent="0.35">
      <c r="A284">
        <v>200436</v>
      </c>
      <c r="B284" s="3">
        <v>44320</v>
      </c>
      <c r="C284" t="s">
        <v>456</v>
      </c>
      <c r="D284">
        <v>2021</v>
      </c>
      <c r="E284" t="s">
        <v>466</v>
      </c>
      <c r="F284" t="s">
        <v>92</v>
      </c>
      <c r="G284" t="s">
        <v>93</v>
      </c>
      <c r="H284">
        <v>71960</v>
      </c>
      <c r="I284" s="9">
        <v>130000</v>
      </c>
      <c r="J284">
        <v>0.55349999999999999</v>
      </c>
      <c r="K284">
        <v>1.8065591995553085</v>
      </c>
      <c r="L284" t="s">
        <v>13</v>
      </c>
      <c r="M284" t="s">
        <v>446</v>
      </c>
    </row>
    <row r="285" spans="1:13" hidden="1" x14ac:dyDescent="0.35">
      <c r="A285">
        <v>12323</v>
      </c>
      <c r="B285" s="3">
        <v>41463</v>
      </c>
      <c r="C285" t="s">
        <v>458</v>
      </c>
      <c r="D285">
        <v>2013</v>
      </c>
      <c r="E285" t="s">
        <v>517</v>
      </c>
      <c r="F285" t="s">
        <v>174</v>
      </c>
      <c r="G285" t="s">
        <v>357</v>
      </c>
      <c r="H285">
        <v>126280</v>
      </c>
      <c r="I285">
        <v>153500</v>
      </c>
      <c r="J285">
        <v>0.82267100999999998</v>
      </c>
      <c r="K285">
        <v>1.2155527399429837</v>
      </c>
      <c r="L285" t="s">
        <v>16</v>
      </c>
      <c r="M285" t="s">
        <v>446</v>
      </c>
    </row>
    <row r="286" spans="1:13" x14ac:dyDescent="0.35">
      <c r="A286">
        <v>200377</v>
      </c>
      <c r="B286" s="3">
        <v>44344</v>
      </c>
      <c r="C286" t="s">
        <v>456</v>
      </c>
      <c r="D286">
        <v>2021</v>
      </c>
      <c r="E286" t="s">
        <v>466</v>
      </c>
      <c r="F286" t="s">
        <v>210</v>
      </c>
      <c r="G286" t="s">
        <v>212</v>
      </c>
      <c r="H286">
        <v>80010</v>
      </c>
      <c r="I286" s="9">
        <v>130000</v>
      </c>
      <c r="J286">
        <v>0.61539999999999995</v>
      </c>
      <c r="K286">
        <v>1.6247969003874516</v>
      </c>
      <c r="L286" t="s">
        <v>13</v>
      </c>
      <c r="M286" t="s">
        <v>446</v>
      </c>
    </row>
    <row r="287" spans="1:13" x14ac:dyDescent="0.35">
      <c r="A287">
        <v>20273</v>
      </c>
      <c r="B287" s="3">
        <v>44207</v>
      </c>
      <c r="C287" t="s">
        <v>464</v>
      </c>
      <c r="D287">
        <v>2021</v>
      </c>
      <c r="E287" t="s">
        <v>465</v>
      </c>
      <c r="F287" t="s">
        <v>142</v>
      </c>
      <c r="G287" t="s">
        <v>199</v>
      </c>
      <c r="H287">
        <v>89810</v>
      </c>
      <c r="I287" s="9">
        <v>128300</v>
      </c>
      <c r="J287">
        <v>0.7</v>
      </c>
      <c r="K287">
        <v>1.4285714285714286</v>
      </c>
      <c r="L287" t="s">
        <v>13</v>
      </c>
      <c r="M287" t="s">
        <v>446</v>
      </c>
    </row>
    <row r="288" spans="1:13" hidden="1" x14ac:dyDescent="0.35">
      <c r="A288">
        <v>17141</v>
      </c>
      <c r="B288" s="3">
        <v>43069</v>
      </c>
      <c r="C288" t="s">
        <v>475</v>
      </c>
      <c r="D288">
        <v>2017</v>
      </c>
      <c r="E288" t="s">
        <v>510</v>
      </c>
      <c r="F288" t="s">
        <v>174</v>
      </c>
      <c r="G288" t="s">
        <v>407</v>
      </c>
      <c r="H288">
        <v>119630</v>
      </c>
      <c r="I288">
        <v>142650</v>
      </c>
      <c r="J288">
        <v>0.83860000000000001</v>
      </c>
      <c r="K288">
        <v>1.1924266488339046</v>
      </c>
      <c r="L288" t="s">
        <v>16</v>
      </c>
      <c r="M288" t="s">
        <v>446</v>
      </c>
    </row>
    <row r="289" spans="1:13" hidden="1" x14ac:dyDescent="0.35">
      <c r="A289">
        <v>90111</v>
      </c>
      <c r="B289" s="3">
        <v>40149</v>
      </c>
      <c r="C289" t="s">
        <v>450</v>
      </c>
      <c r="D289">
        <v>2009</v>
      </c>
      <c r="E289" t="s">
        <v>494</v>
      </c>
      <c r="F289" t="s">
        <v>187</v>
      </c>
      <c r="G289" t="s">
        <v>346</v>
      </c>
      <c r="H289">
        <v>62630</v>
      </c>
      <c r="I289">
        <v>74000</v>
      </c>
      <c r="J289">
        <v>0.84635135100000003</v>
      </c>
      <c r="K289">
        <v>1.1815423918250041</v>
      </c>
      <c r="L289" t="s">
        <v>16</v>
      </c>
      <c r="M289" t="s">
        <v>446</v>
      </c>
    </row>
    <row r="290" spans="1:13" hidden="1" x14ac:dyDescent="0.35">
      <c r="A290">
        <v>100020</v>
      </c>
      <c r="B290" s="3">
        <v>40473</v>
      </c>
      <c r="C290" t="s">
        <v>469</v>
      </c>
      <c r="D290">
        <v>2010</v>
      </c>
      <c r="E290" t="s">
        <v>489</v>
      </c>
      <c r="F290" t="s">
        <v>29</v>
      </c>
      <c r="G290" t="s">
        <v>342</v>
      </c>
      <c r="H290">
        <v>123700</v>
      </c>
      <c r="I290">
        <v>143800</v>
      </c>
      <c r="J290">
        <v>0.86022253100000001</v>
      </c>
      <c r="K290">
        <v>1.1624898949070332</v>
      </c>
      <c r="L290" t="s">
        <v>16</v>
      </c>
      <c r="M290" t="s">
        <v>446</v>
      </c>
    </row>
    <row r="291" spans="1:13" x14ac:dyDescent="0.35">
      <c r="A291">
        <v>201592</v>
      </c>
      <c r="B291" s="3">
        <v>44328</v>
      </c>
      <c r="C291" t="s">
        <v>456</v>
      </c>
      <c r="D291">
        <v>2021</v>
      </c>
      <c r="E291" t="s">
        <v>466</v>
      </c>
      <c r="F291" t="s">
        <v>264</v>
      </c>
      <c r="G291" t="s">
        <v>265</v>
      </c>
      <c r="H291">
        <v>73860</v>
      </c>
      <c r="I291" s="9">
        <v>122000</v>
      </c>
      <c r="J291">
        <v>0.60540000000000005</v>
      </c>
      <c r="K291">
        <v>1.6517736257784998</v>
      </c>
      <c r="L291" t="s">
        <v>13</v>
      </c>
      <c r="M291" t="s">
        <v>446</v>
      </c>
    </row>
    <row r="292" spans="1:13" x14ac:dyDescent="0.35">
      <c r="A292">
        <v>200953</v>
      </c>
      <c r="B292" s="3">
        <v>44344</v>
      </c>
      <c r="C292" t="s">
        <v>456</v>
      </c>
      <c r="D292">
        <v>2021</v>
      </c>
      <c r="E292" t="s">
        <v>466</v>
      </c>
      <c r="F292" t="s">
        <v>159</v>
      </c>
      <c r="G292" t="s">
        <v>161</v>
      </c>
      <c r="H292">
        <v>64470</v>
      </c>
      <c r="I292" s="9">
        <v>105000</v>
      </c>
      <c r="J292">
        <v>0.61399999999999999</v>
      </c>
      <c r="K292">
        <v>1.6286644951140066</v>
      </c>
      <c r="L292" t="s">
        <v>13</v>
      </c>
      <c r="M292" t="s">
        <v>446</v>
      </c>
    </row>
    <row r="293" spans="1:13" hidden="1" x14ac:dyDescent="0.35">
      <c r="A293">
        <v>90706</v>
      </c>
      <c r="B293" s="3">
        <v>40360</v>
      </c>
      <c r="C293" t="s">
        <v>458</v>
      </c>
      <c r="D293">
        <v>2010</v>
      </c>
      <c r="E293" t="s">
        <v>530</v>
      </c>
      <c r="F293" t="s">
        <v>192</v>
      </c>
      <c r="G293" t="s">
        <v>345</v>
      </c>
      <c r="H293">
        <v>76500</v>
      </c>
      <c r="I293">
        <v>86000</v>
      </c>
      <c r="J293">
        <v>0.88953488400000003</v>
      </c>
      <c r="K293">
        <v>1.1241830065359477</v>
      </c>
      <c r="L293" t="s">
        <v>16</v>
      </c>
      <c r="M293" t="s">
        <v>446</v>
      </c>
    </row>
    <row r="294" spans="1:13" x14ac:dyDescent="0.35">
      <c r="A294">
        <v>201212</v>
      </c>
      <c r="B294" s="3">
        <v>44431</v>
      </c>
      <c r="C294" t="s">
        <v>462</v>
      </c>
      <c r="D294">
        <v>2021</v>
      </c>
      <c r="E294" t="s">
        <v>463</v>
      </c>
      <c r="F294" t="s">
        <v>32</v>
      </c>
      <c r="G294" t="s">
        <v>36</v>
      </c>
      <c r="H294">
        <v>88060</v>
      </c>
      <c r="I294" s="9">
        <v>91000</v>
      </c>
      <c r="J294">
        <v>0.96760000000000002</v>
      </c>
      <c r="K294">
        <v>1.0333863275039745</v>
      </c>
      <c r="L294" t="s">
        <v>13</v>
      </c>
      <c r="M294" t="s">
        <v>446</v>
      </c>
    </row>
    <row r="295" spans="1:13" hidden="1" x14ac:dyDescent="0.35">
      <c r="A295">
        <v>100533</v>
      </c>
      <c r="B295" s="3">
        <v>40723</v>
      </c>
      <c r="C295" t="s">
        <v>454</v>
      </c>
      <c r="D295">
        <v>2011</v>
      </c>
      <c r="E295" t="s">
        <v>511</v>
      </c>
      <c r="F295" t="s">
        <v>56</v>
      </c>
      <c r="G295" t="s">
        <v>316</v>
      </c>
      <c r="H295">
        <v>146800</v>
      </c>
      <c r="I295">
        <v>162800</v>
      </c>
      <c r="J295">
        <v>0.90171990199999996</v>
      </c>
      <c r="K295">
        <v>1.1089918256130791</v>
      </c>
      <c r="L295" t="s">
        <v>16</v>
      </c>
      <c r="M295" t="s">
        <v>446</v>
      </c>
    </row>
    <row r="296" spans="1:13" x14ac:dyDescent="0.35">
      <c r="A296">
        <v>200377</v>
      </c>
      <c r="B296" s="3">
        <v>44424</v>
      </c>
      <c r="C296" t="s">
        <v>462</v>
      </c>
      <c r="D296">
        <v>2021</v>
      </c>
      <c r="E296" t="s">
        <v>463</v>
      </c>
      <c r="F296" t="s">
        <v>189</v>
      </c>
      <c r="G296" t="s">
        <v>190</v>
      </c>
      <c r="H296">
        <v>41090</v>
      </c>
      <c r="I296" s="9">
        <v>89900</v>
      </c>
      <c r="J296" s="10">
        <v>0.45700000000000002</v>
      </c>
      <c r="K296" s="11">
        <v>2.1878802628376732</v>
      </c>
      <c r="L296" t="s">
        <v>13</v>
      </c>
      <c r="M296" t="s">
        <v>445</v>
      </c>
    </row>
    <row r="297" spans="1:13" hidden="1" x14ac:dyDescent="0.35">
      <c r="A297">
        <v>13105</v>
      </c>
      <c r="B297" s="3">
        <v>41709</v>
      </c>
      <c r="C297" t="s">
        <v>471</v>
      </c>
      <c r="D297">
        <v>2014</v>
      </c>
      <c r="E297" t="s">
        <v>522</v>
      </c>
      <c r="F297" t="s">
        <v>27</v>
      </c>
      <c r="G297" t="s">
        <v>353</v>
      </c>
      <c r="H297">
        <v>124460</v>
      </c>
      <c r="I297">
        <v>133000</v>
      </c>
      <c r="J297">
        <v>0.93578947400000001</v>
      </c>
      <c r="K297">
        <v>1.0686164229471316</v>
      </c>
      <c r="L297" t="s">
        <v>16</v>
      </c>
      <c r="M297" t="s">
        <v>446</v>
      </c>
    </row>
    <row r="298" spans="1:13" x14ac:dyDescent="0.35">
      <c r="A298">
        <v>2020256</v>
      </c>
      <c r="B298" s="3">
        <v>44370</v>
      </c>
      <c r="C298" t="s">
        <v>454</v>
      </c>
      <c r="D298">
        <v>2021</v>
      </c>
      <c r="E298" t="s">
        <v>455</v>
      </c>
      <c r="F298" t="s">
        <v>138</v>
      </c>
      <c r="G298" t="s">
        <v>247</v>
      </c>
      <c r="H298">
        <v>55200</v>
      </c>
      <c r="I298" s="9">
        <v>89900</v>
      </c>
      <c r="J298">
        <v>0.61401557299999998</v>
      </c>
      <c r="K298">
        <v>1.6286231884057971</v>
      </c>
      <c r="L298" t="s">
        <v>13</v>
      </c>
      <c r="M298" t="s">
        <v>446</v>
      </c>
    </row>
    <row r="299" spans="1:13" hidden="1" x14ac:dyDescent="0.35">
      <c r="A299">
        <v>180558</v>
      </c>
      <c r="B299" s="3">
        <v>43606</v>
      </c>
      <c r="C299" t="s">
        <v>456</v>
      </c>
      <c r="D299">
        <v>2019</v>
      </c>
      <c r="E299" t="s">
        <v>536</v>
      </c>
      <c r="F299" t="s">
        <v>159</v>
      </c>
      <c r="G299" t="s">
        <v>404</v>
      </c>
      <c r="H299">
        <v>28910</v>
      </c>
      <c r="I299">
        <v>30000</v>
      </c>
      <c r="J299">
        <v>0.96360000000000001</v>
      </c>
      <c r="K299">
        <v>1.0377032168799722</v>
      </c>
      <c r="L299" t="s">
        <v>16</v>
      </c>
      <c r="M299" t="s">
        <v>446</v>
      </c>
    </row>
    <row r="300" spans="1:13" x14ac:dyDescent="0.35">
      <c r="A300">
        <v>200821</v>
      </c>
      <c r="B300" s="3">
        <v>44343</v>
      </c>
      <c r="C300" t="s">
        <v>456</v>
      </c>
      <c r="D300">
        <v>2021</v>
      </c>
      <c r="E300" t="s">
        <v>466</v>
      </c>
      <c r="F300" t="s">
        <v>125</v>
      </c>
      <c r="G300" t="s">
        <v>127</v>
      </c>
      <c r="H300">
        <v>67270</v>
      </c>
      <c r="I300" s="9">
        <v>82000</v>
      </c>
      <c r="J300">
        <v>0.82030000000000003</v>
      </c>
      <c r="K300">
        <v>1.2189683365541846</v>
      </c>
      <c r="L300" t="s">
        <v>13</v>
      </c>
      <c r="M300" t="s">
        <v>446</v>
      </c>
    </row>
    <row r="301" spans="1:13" hidden="1" x14ac:dyDescent="0.35">
      <c r="A301">
        <v>90097</v>
      </c>
      <c r="B301" s="3">
        <v>40332</v>
      </c>
      <c r="C301" t="s">
        <v>454</v>
      </c>
      <c r="D301">
        <v>2010</v>
      </c>
      <c r="E301" t="s">
        <v>491</v>
      </c>
      <c r="F301" t="s">
        <v>321</v>
      </c>
      <c r="G301" t="s">
        <v>322</v>
      </c>
      <c r="H301">
        <v>126200</v>
      </c>
      <c r="I301">
        <v>130000</v>
      </c>
      <c r="J301">
        <v>0.97076923100000001</v>
      </c>
      <c r="K301">
        <v>1.0301109350237718</v>
      </c>
      <c r="L301" t="s">
        <v>16</v>
      </c>
      <c r="M301" t="s">
        <v>446</v>
      </c>
    </row>
    <row r="302" spans="1:13" x14ac:dyDescent="0.35">
      <c r="A302">
        <v>200242</v>
      </c>
      <c r="B302" s="3">
        <v>44223</v>
      </c>
      <c r="C302" t="s">
        <v>464</v>
      </c>
      <c r="D302">
        <v>2021</v>
      </c>
      <c r="E302" t="s">
        <v>465</v>
      </c>
      <c r="F302" t="s">
        <v>66</v>
      </c>
      <c r="G302" t="s">
        <v>67</v>
      </c>
      <c r="H302">
        <v>28240</v>
      </c>
      <c r="I302" s="9">
        <v>73000</v>
      </c>
      <c r="J302" s="10">
        <v>0.38684931500000003</v>
      </c>
      <c r="K302" s="11">
        <v>2.5849858356940509</v>
      </c>
      <c r="L302" t="s">
        <v>13</v>
      </c>
      <c r="M302" t="s">
        <v>445</v>
      </c>
    </row>
    <row r="303" spans="1:13" x14ac:dyDescent="0.35">
      <c r="A303">
        <v>2000720</v>
      </c>
      <c r="B303" s="3">
        <v>44201</v>
      </c>
      <c r="C303" t="s">
        <v>464</v>
      </c>
      <c r="D303">
        <v>2021</v>
      </c>
      <c r="E303" t="s">
        <v>465</v>
      </c>
      <c r="F303" t="s">
        <v>181</v>
      </c>
      <c r="G303" t="s">
        <v>221</v>
      </c>
      <c r="H303">
        <v>19110</v>
      </c>
      <c r="I303" s="9">
        <v>27500</v>
      </c>
      <c r="J303">
        <v>0.69489999999999996</v>
      </c>
      <c r="K303">
        <v>1.4390371533228676</v>
      </c>
      <c r="L303" t="s">
        <v>13</v>
      </c>
      <c r="M303" t="s">
        <v>446</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97A62-EDD6-4B49-81F6-E89158367DBC}">
  <dimension ref="A2:CU324"/>
  <sheetViews>
    <sheetView zoomScale="95" zoomScaleNormal="95" workbookViewId="0">
      <selection activeCell="B9" sqref="B9"/>
    </sheetView>
  </sheetViews>
  <sheetFormatPr defaultRowHeight="14.5" x14ac:dyDescent="0.35"/>
  <cols>
    <col min="1" max="1" width="43.6328125" customWidth="1"/>
    <col min="2" max="2" width="18.54296875" customWidth="1"/>
    <col min="3" max="3" width="29.26953125" customWidth="1"/>
    <col min="5" max="5" width="14.453125" bestFit="1" customWidth="1"/>
    <col min="6" max="6" width="19.26953125" bestFit="1" customWidth="1"/>
    <col min="7" max="7" width="20.81640625" bestFit="1" customWidth="1"/>
    <col min="8" max="8" width="21.81640625" bestFit="1" customWidth="1"/>
    <col min="12" max="12" width="13.6328125" bestFit="1" customWidth="1"/>
    <col min="13" max="13" width="12" bestFit="1" customWidth="1"/>
    <col min="14" max="14" width="19.36328125" bestFit="1" customWidth="1"/>
    <col min="15" max="15" width="13.54296875" bestFit="1" customWidth="1"/>
    <col min="16" max="21" width="6" bestFit="1" customWidth="1"/>
    <col min="22" max="22" width="9.90625" bestFit="1" customWidth="1"/>
    <col min="23" max="23" width="18" bestFit="1" customWidth="1"/>
    <col min="24" max="28" width="6" bestFit="1" customWidth="1"/>
    <col min="29" max="29" width="7" bestFit="1" customWidth="1"/>
    <col min="30" max="30" width="6" bestFit="1" customWidth="1"/>
    <col min="31" max="31" width="7" bestFit="1" customWidth="1"/>
    <col min="32" max="34" width="6" bestFit="1" customWidth="1"/>
    <col min="35" max="35" width="34.1796875" customWidth="1"/>
    <col min="36" max="36" width="13.54296875" customWidth="1"/>
    <col min="37" max="37" width="21.81640625" customWidth="1"/>
    <col min="38" max="38" width="10.7265625" customWidth="1"/>
    <col min="39" max="39" width="14.7265625" customWidth="1"/>
    <col min="40" max="40" width="7" bestFit="1" customWidth="1"/>
    <col min="41" max="41" width="13.453125" bestFit="1" customWidth="1"/>
    <col min="42" max="42" width="24.26953125" bestFit="1" customWidth="1"/>
    <col min="43" max="43" width="18" bestFit="1" customWidth="1"/>
    <col min="44" max="46" width="7" bestFit="1" customWidth="1"/>
    <col min="47" max="47" width="13.453125" bestFit="1" customWidth="1"/>
    <col min="48" max="48" width="15" bestFit="1" customWidth="1"/>
    <col min="49" max="49" width="22.1796875" bestFit="1" customWidth="1"/>
    <col min="50" max="50" width="11" bestFit="1" customWidth="1"/>
    <col min="51" max="51" width="13.6328125" bestFit="1" customWidth="1"/>
    <col min="52" max="52" width="15.90625" bestFit="1" customWidth="1"/>
    <col min="53" max="53" width="13.6328125" bestFit="1" customWidth="1"/>
    <col min="54" max="54" width="12" bestFit="1" customWidth="1"/>
    <col min="55" max="55" width="19.1796875" bestFit="1" customWidth="1"/>
    <col min="56" max="61" width="7" bestFit="1" customWidth="1"/>
    <col min="62" max="62" width="14.453125" bestFit="1" customWidth="1"/>
    <col min="63" max="63" width="20.7265625" bestFit="1" customWidth="1"/>
    <col min="64" max="64" width="19.1796875" bestFit="1" customWidth="1"/>
    <col min="65" max="65" width="13.54296875" bestFit="1" customWidth="1"/>
    <col min="66" max="66" width="25.7265625" bestFit="1" customWidth="1"/>
    <col min="67" max="67" width="11.54296875" bestFit="1" customWidth="1"/>
    <col min="68" max="68" width="15.54296875" bestFit="1" customWidth="1"/>
    <col min="69" max="69" width="19.26953125" bestFit="1" customWidth="1"/>
    <col min="70" max="70" width="11" bestFit="1" customWidth="1"/>
    <col min="71" max="71" width="8.453125" bestFit="1" customWidth="1"/>
    <col min="72" max="72" width="11" bestFit="1" customWidth="1"/>
    <col min="73" max="74" width="8.453125" bestFit="1" customWidth="1"/>
    <col min="75" max="75" width="9.453125" bestFit="1" customWidth="1"/>
    <col min="76" max="76" width="8.453125" bestFit="1" customWidth="1"/>
    <col min="77" max="77" width="7.453125" bestFit="1" customWidth="1"/>
    <col min="78" max="78" width="15.81640625" bestFit="1" customWidth="1"/>
    <col min="79" max="79" width="21.26953125" bestFit="1" customWidth="1"/>
    <col min="80" max="80" width="20.7265625" bestFit="1" customWidth="1"/>
    <col min="81" max="82" width="8.453125" bestFit="1" customWidth="1"/>
    <col min="83" max="84" width="9.453125" bestFit="1" customWidth="1"/>
    <col min="85" max="85" width="8.453125" bestFit="1" customWidth="1"/>
    <col min="86" max="86" width="7.453125" bestFit="1" customWidth="1"/>
    <col min="87" max="87" width="8.453125" bestFit="1" customWidth="1"/>
    <col min="88" max="88" width="11.54296875" bestFit="1" customWidth="1"/>
    <col min="89" max="89" width="11" bestFit="1" customWidth="1"/>
    <col min="90" max="90" width="9.81640625" style="16" bestFit="1" customWidth="1"/>
    <col min="91" max="91" width="15.1796875" style="15" bestFit="1" customWidth="1"/>
    <col min="92" max="92" width="12.6328125" bestFit="1" customWidth="1"/>
    <col min="93" max="93" width="18" bestFit="1" customWidth="1"/>
    <col min="94" max="94" width="19.26953125" bestFit="1" customWidth="1"/>
    <col min="95" max="95" width="10.7265625" bestFit="1" customWidth="1"/>
    <col min="96" max="96" width="9" bestFit="1" customWidth="1"/>
    <col min="97" max="97" width="10.7265625" bestFit="1" customWidth="1"/>
    <col min="98" max="98" width="11.7265625" bestFit="1" customWidth="1"/>
    <col min="99" max="100" width="11.54296875" bestFit="1" customWidth="1"/>
    <col min="101" max="102" width="6.26953125" bestFit="1" customWidth="1"/>
    <col min="103" max="103" width="10.26953125" bestFit="1" customWidth="1"/>
    <col min="104" max="104" width="7.1796875" bestFit="1" customWidth="1"/>
    <col min="105" max="105" width="7.453125" bestFit="1" customWidth="1"/>
    <col min="106" max="106" width="8.453125" bestFit="1" customWidth="1"/>
    <col min="107" max="107" width="10.453125" bestFit="1" customWidth="1"/>
    <col min="108" max="108" width="10.1796875" bestFit="1" customWidth="1"/>
    <col min="109" max="109" width="10.26953125" bestFit="1" customWidth="1"/>
    <col min="110" max="110" width="8.453125" bestFit="1" customWidth="1"/>
    <col min="111" max="111" width="9" bestFit="1" customWidth="1"/>
    <col min="112" max="115" width="8.453125" bestFit="1" customWidth="1"/>
    <col min="116" max="116" width="9.453125" bestFit="1" customWidth="1"/>
    <col min="117" max="117" width="8.453125" bestFit="1" customWidth="1"/>
    <col min="118" max="118" width="10.81640625" bestFit="1" customWidth="1"/>
    <col min="119" max="119" width="10.26953125" bestFit="1" customWidth="1"/>
    <col min="120" max="120" width="11.54296875" bestFit="1" customWidth="1"/>
    <col min="121" max="121" width="11.1796875" bestFit="1" customWidth="1"/>
    <col min="122" max="122" width="12.26953125" bestFit="1" customWidth="1"/>
    <col min="123" max="123" width="10.81640625" bestFit="1" customWidth="1"/>
    <col min="124" max="124" width="9.7265625" bestFit="1" customWidth="1"/>
    <col min="125" max="125" width="14.81640625" bestFit="1" customWidth="1"/>
    <col min="126" max="126" width="12.453125" bestFit="1" customWidth="1"/>
    <col min="127" max="128" width="8.453125" bestFit="1" customWidth="1"/>
    <col min="129" max="129" width="13.1796875" bestFit="1" customWidth="1"/>
    <col min="130" max="130" width="7.54296875" bestFit="1" customWidth="1"/>
    <col min="131" max="131" width="9.54296875" bestFit="1" customWidth="1"/>
    <col min="132" max="132" width="9.26953125" bestFit="1" customWidth="1"/>
    <col min="133" max="133" width="9.54296875" bestFit="1" customWidth="1"/>
    <col min="134" max="134" width="8.7265625" bestFit="1" customWidth="1"/>
    <col min="135" max="135" width="8" bestFit="1" customWidth="1"/>
    <col min="136" max="136" width="8.453125" bestFit="1" customWidth="1"/>
    <col min="137" max="137" width="10.1796875" bestFit="1" customWidth="1"/>
    <col min="138" max="138" width="9.54296875" bestFit="1" customWidth="1"/>
    <col min="139" max="139" width="8.54296875" bestFit="1" customWidth="1"/>
    <col min="140" max="140" width="7.54296875" bestFit="1" customWidth="1"/>
    <col min="141" max="141" width="8" bestFit="1" customWidth="1"/>
    <col min="142" max="142" width="9.26953125" bestFit="1" customWidth="1"/>
    <col min="143" max="143" width="14.7265625" bestFit="1" customWidth="1"/>
    <col min="144" max="144" width="10.7265625" bestFit="1" customWidth="1"/>
    <col min="145" max="145" width="12.26953125" bestFit="1" customWidth="1"/>
    <col min="146" max="146" width="9.26953125" bestFit="1" customWidth="1"/>
    <col min="147" max="147" width="7.81640625" bestFit="1" customWidth="1"/>
    <col min="148" max="148" width="11.1796875" bestFit="1" customWidth="1"/>
    <col min="149" max="149" width="9.1796875" bestFit="1" customWidth="1"/>
    <col min="150" max="150" width="8" bestFit="1" customWidth="1"/>
    <col min="151" max="151" width="11.26953125" bestFit="1" customWidth="1"/>
    <col min="152" max="152" width="7.7265625" bestFit="1" customWidth="1"/>
    <col min="153" max="153" width="10.7265625" bestFit="1" customWidth="1"/>
    <col min="154" max="154" width="9" bestFit="1" customWidth="1"/>
    <col min="155" max="155" width="7.7265625" bestFit="1" customWidth="1"/>
    <col min="156" max="156" width="11.1796875" bestFit="1" customWidth="1"/>
    <col min="157" max="157" width="11.54296875" bestFit="1" customWidth="1"/>
    <col min="158" max="158" width="12" bestFit="1" customWidth="1"/>
    <col min="159" max="159" width="10.81640625" bestFit="1" customWidth="1"/>
    <col min="160" max="160" width="10.453125" bestFit="1" customWidth="1"/>
    <col min="161" max="161" width="11.26953125" bestFit="1" customWidth="1"/>
    <col min="162" max="162" width="14" bestFit="1" customWidth="1"/>
    <col min="163" max="163" width="11.81640625" bestFit="1" customWidth="1"/>
    <col min="164" max="164" width="11.1796875" bestFit="1" customWidth="1"/>
    <col min="165" max="165" width="12.81640625" bestFit="1" customWidth="1"/>
    <col min="166" max="166" width="11.26953125" bestFit="1" customWidth="1"/>
    <col min="167" max="167" width="8.7265625" bestFit="1" customWidth="1"/>
    <col min="168" max="168" width="11.453125" bestFit="1" customWidth="1"/>
    <col min="169" max="169" width="11.54296875" bestFit="1" customWidth="1"/>
    <col min="170" max="197" width="7" bestFit="1" customWidth="1"/>
    <col min="198" max="199" width="8" bestFit="1" customWidth="1"/>
    <col min="200" max="202" width="7" bestFit="1" customWidth="1"/>
    <col min="203" max="203" width="8" bestFit="1" customWidth="1"/>
    <col min="204" max="205" width="7" bestFit="1" customWidth="1"/>
    <col min="206" max="206" width="8" bestFit="1" customWidth="1"/>
    <col min="207" max="208" width="7" bestFit="1" customWidth="1"/>
    <col min="209" max="209" width="8" bestFit="1" customWidth="1"/>
    <col min="210" max="222" width="7" bestFit="1" customWidth="1"/>
    <col min="223" max="223" width="8" bestFit="1" customWidth="1"/>
    <col min="224" max="225" width="7" bestFit="1" customWidth="1"/>
    <col min="226" max="226" width="8" bestFit="1" customWidth="1"/>
    <col min="227" max="234" width="7" bestFit="1" customWidth="1"/>
    <col min="235" max="248" width="8" bestFit="1" customWidth="1"/>
    <col min="249" max="249" width="9" bestFit="1" customWidth="1"/>
    <col min="250" max="250" width="20.81640625" bestFit="1" customWidth="1"/>
    <col min="251" max="251" width="9" bestFit="1" customWidth="1"/>
    <col min="252" max="252" width="12" bestFit="1" customWidth="1"/>
    <col min="253" max="253" width="7" bestFit="1" customWidth="1"/>
    <col min="254" max="254" width="11" bestFit="1" customWidth="1"/>
    <col min="255" max="255" width="12" bestFit="1" customWidth="1"/>
    <col min="256" max="256" width="6" bestFit="1" customWidth="1"/>
    <col min="257" max="257" width="7" bestFit="1" customWidth="1"/>
    <col min="258" max="258" width="12" bestFit="1" customWidth="1"/>
    <col min="259" max="259" width="7" bestFit="1" customWidth="1"/>
    <col min="260" max="260" width="6" bestFit="1" customWidth="1"/>
    <col min="261" max="263" width="12" bestFit="1" customWidth="1"/>
    <col min="264" max="264" width="8" bestFit="1" customWidth="1"/>
    <col min="265" max="265" width="7" bestFit="1" customWidth="1"/>
    <col min="266" max="268" width="12" bestFit="1" customWidth="1"/>
    <col min="269" max="270" width="7" bestFit="1" customWidth="1"/>
    <col min="271" max="271" width="12" bestFit="1" customWidth="1"/>
    <col min="272" max="272" width="7" bestFit="1" customWidth="1"/>
    <col min="273" max="273" width="12" bestFit="1" customWidth="1"/>
    <col min="274" max="274" width="7" bestFit="1" customWidth="1"/>
    <col min="275" max="275" width="12" bestFit="1" customWidth="1"/>
    <col min="276" max="276" width="7" bestFit="1" customWidth="1"/>
    <col min="277" max="279" width="12" bestFit="1" customWidth="1"/>
    <col min="280" max="280" width="8" bestFit="1" customWidth="1"/>
    <col min="281" max="281" width="7" bestFit="1" customWidth="1"/>
    <col min="282" max="284" width="12" bestFit="1" customWidth="1"/>
    <col min="285" max="285" width="8" bestFit="1" customWidth="1"/>
    <col min="286" max="287" width="12" bestFit="1" customWidth="1"/>
    <col min="288" max="288" width="7" bestFit="1" customWidth="1"/>
    <col min="289" max="292" width="12" bestFit="1" customWidth="1"/>
    <col min="293" max="293" width="7" bestFit="1" customWidth="1"/>
    <col min="294" max="294" width="8" bestFit="1" customWidth="1"/>
    <col min="295" max="295" width="7" bestFit="1" customWidth="1"/>
    <col min="296" max="300" width="12" bestFit="1" customWidth="1"/>
    <col min="301" max="301" width="8" bestFit="1" customWidth="1"/>
    <col min="302" max="302" width="12" bestFit="1" customWidth="1"/>
    <col min="303" max="303" width="7" bestFit="1" customWidth="1"/>
    <col min="304" max="304" width="11" bestFit="1" customWidth="1"/>
    <col min="305" max="308" width="12" bestFit="1" customWidth="1"/>
    <col min="309" max="309" width="10" bestFit="1" customWidth="1"/>
    <col min="310" max="311" width="12" bestFit="1" customWidth="1"/>
    <col min="312" max="313" width="7" bestFit="1" customWidth="1"/>
    <col min="314" max="315" width="12" bestFit="1" customWidth="1"/>
    <col min="316" max="316" width="7" bestFit="1" customWidth="1"/>
    <col min="317" max="320" width="12" bestFit="1" customWidth="1"/>
    <col min="321" max="321" width="11" bestFit="1" customWidth="1"/>
    <col min="322" max="322" width="7" bestFit="1" customWidth="1"/>
    <col min="323" max="323" width="8" bestFit="1" customWidth="1"/>
    <col min="324" max="324" width="12" bestFit="1" customWidth="1"/>
    <col min="325" max="327" width="7" bestFit="1" customWidth="1"/>
    <col min="328" max="328" width="12" bestFit="1" customWidth="1"/>
    <col min="329" max="331" width="7" bestFit="1" customWidth="1"/>
    <col min="332" max="332" width="12" bestFit="1" customWidth="1"/>
    <col min="333" max="333" width="7" bestFit="1" customWidth="1"/>
    <col min="334" max="334" width="10" bestFit="1" customWidth="1"/>
    <col min="335" max="335" width="12" bestFit="1" customWidth="1"/>
    <col min="336" max="336" width="7" bestFit="1" customWidth="1"/>
    <col min="337" max="337" width="12" bestFit="1" customWidth="1"/>
    <col min="338" max="338" width="7" bestFit="1" customWidth="1"/>
    <col min="339" max="339" width="12" bestFit="1" customWidth="1"/>
    <col min="340" max="340" width="7" bestFit="1" customWidth="1"/>
    <col min="341" max="342" width="12" bestFit="1" customWidth="1"/>
    <col min="343" max="344" width="8" bestFit="1" customWidth="1"/>
    <col min="345" max="345" width="12" bestFit="1" customWidth="1"/>
    <col min="346" max="347" width="7" bestFit="1" customWidth="1"/>
    <col min="348" max="348" width="12" bestFit="1" customWidth="1"/>
    <col min="349" max="349" width="7" bestFit="1" customWidth="1"/>
    <col min="350" max="350" width="12" bestFit="1" customWidth="1"/>
    <col min="351" max="352" width="7" bestFit="1" customWidth="1"/>
    <col min="353" max="353" width="11" bestFit="1" customWidth="1"/>
    <col min="354" max="355" width="12" bestFit="1" customWidth="1"/>
    <col min="356" max="356" width="7" bestFit="1" customWidth="1"/>
    <col min="357" max="357" width="12" bestFit="1" customWidth="1"/>
    <col min="358" max="359" width="8" bestFit="1" customWidth="1"/>
    <col min="360" max="363" width="7" bestFit="1" customWidth="1"/>
    <col min="364" max="364" width="12" bestFit="1" customWidth="1"/>
    <col min="365" max="366" width="7" bestFit="1" customWidth="1"/>
    <col min="367" max="367" width="12" bestFit="1" customWidth="1"/>
    <col min="368" max="368" width="7" bestFit="1" customWidth="1"/>
    <col min="369" max="370" width="12" bestFit="1" customWidth="1"/>
    <col min="371" max="372" width="7" bestFit="1" customWidth="1"/>
    <col min="373" max="373" width="12" bestFit="1" customWidth="1"/>
    <col min="374" max="375" width="7" bestFit="1" customWidth="1"/>
    <col min="376" max="376" width="12" bestFit="1" customWidth="1"/>
    <col min="377" max="379" width="7" bestFit="1" customWidth="1"/>
    <col min="380" max="381" width="12" bestFit="1" customWidth="1"/>
    <col min="382" max="383" width="7" bestFit="1" customWidth="1"/>
    <col min="384" max="384" width="9" bestFit="1" customWidth="1"/>
    <col min="385" max="387" width="7" bestFit="1" customWidth="1"/>
    <col min="388" max="388" width="11" bestFit="1" customWidth="1"/>
    <col min="389" max="389" width="7" bestFit="1" customWidth="1"/>
    <col min="390" max="390" width="9" bestFit="1" customWidth="1"/>
    <col min="391" max="391" width="12" bestFit="1" customWidth="1"/>
    <col min="392" max="392" width="7" bestFit="1" customWidth="1"/>
    <col min="393" max="393" width="12" bestFit="1" customWidth="1"/>
    <col min="394" max="397" width="7" bestFit="1" customWidth="1"/>
    <col min="398" max="401" width="8" bestFit="1" customWidth="1"/>
    <col min="402" max="402" width="12" bestFit="1" customWidth="1"/>
    <col min="403" max="404" width="7" bestFit="1" customWidth="1"/>
    <col min="405" max="405" width="12" bestFit="1" customWidth="1"/>
    <col min="406" max="411" width="7" bestFit="1" customWidth="1"/>
    <col min="412" max="412" width="8" bestFit="1" customWidth="1"/>
    <col min="413" max="417" width="7" bestFit="1" customWidth="1"/>
    <col min="418" max="419" width="12" bestFit="1" customWidth="1"/>
    <col min="420" max="423" width="7" bestFit="1" customWidth="1"/>
    <col min="424" max="424" width="8" bestFit="1" customWidth="1"/>
    <col min="425" max="426" width="7" bestFit="1" customWidth="1"/>
    <col min="427" max="427" width="11" bestFit="1" customWidth="1"/>
    <col min="428" max="428" width="8" bestFit="1" customWidth="1"/>
    <col min="429" max="430" width="12" bestFit="1" customWidth="1"/>
    <col min="431" max="432" width="7" bestFit="1" customWidth="1"/>
    <col min="433" max="433" width="12" bestFit="1" customWidth="1"/>
    <col min="434" max="434" width="7" bestFit="1" customWidth="1"/>
    <col min="435" max="435" width="8" bestFit="1" customWidth="1"/>
    <col min="436" max="437" width="12" bestFit="1" customWidth="1"/>
    <col min="438" max="438" width="7" bestFit="1" customWidth="1"/>
    <col min="439" max="439" width="12" bestFit="1" customWidth="1"/>
    <col min="440" max="440" width="7" bestFit="1" customWidth="1"/>
    <col min="441" max="442" width="11" bestFit="1" customWidth="1"/>
    <col min="443" max="443" width="12" bestFit="1" customWidth="1"/>
    <col min="444" max="445" width="7" bestFit="1" customWidth="1"/>
    <col min="446" max="446" width="12" bestFit="1" customWidth="1"/>
    <col min="447" max="454" width="7" bestFit="1" customWidth="1"/>
    <col min="455" max="455" width="11" bestFit="1" customWidth="1"/>
    <col min="456" max="466" width="7" bestFit="1" customWidth="1"/>
    <col min="467" max="467" width="12" bestFit="1" customWidth="1"/>
    <col min="468" max="470" width="7" bestFit="1" customWidth="1"/>
    <col min="471" max="471" width="12" bestFit="1" customWidth="1"/>
    <col min="472" max="473" width="8" bestFit="1" customWidth="1"/>
    <col min="474" max="474" width="12" bestFit="1" customWidth="1"/>
    <col min="475" max="481" width="8" bestFit="1" customWidth="1"/>
    <col min="482" max="482" width="11" bestFit="1" customWidth="1"/>
    <col min="483" max="483" width="12" bestFit="1" customWidth="1"/>
    <col min="484" max="485" width="8" bestFit="1" customWidth="1"/>
    <col min="486" max="486" width="12" bestFit="1" customWidth="1"/>
    <col min="487" max="487" width="24.1796875" bestFit="1" customWidth="1"/>
    <col min="488" max="488" width="26" bestFit="1" customWidth="1"/>
  </cols>
  <sheetData>
    <row r="2" spans="1:99" x14ac:dyDescent="0.35">
      <c r="N2" s="24"/>
      <c r="BC2" t="s">
        <v>782</v>
      </c>
      <c r="CM2" s="15" t="s">
        <v>554</v>
      </c>
    </row>
    <row r="3" spans="1:99" x14ac:dyDescent="0.35">
      <c r="A3" s="4" t="s">
        <v>432</v>
      </c>
      <c r="BA3" s="6" t="s">
        <v>2</v>
      </c>
      <c r="BB3" t="s">
        <v>537</v>
      </c>
      <c r="BC3" s="41" t="s">
        <v>2</v>
      </c>
      <c r="BD3" s="41" t="s">
        <v>537</v>
      </c>
      <c r="BP3" t="s">
        <v>549</v>
      </c>
      <c r="BY3" s="5" t="s">
        <v>550</v>
      </c>
      <c r="CH3" s="5" t="s">
        <v>552</v>
      </c>
      <c r="CM3" s="18" t="s">
        <v>559</v>
      </c>
      <c r="CU3" s="5" t="s">
        <v>750</v>
      </c>
    </row>
    <row r="4" spans="1:99" x14ac:dyDescent="0.35">
      <c r="A4" t="s">
        <v>433</v>
      </c>
      <c r="B4" s="5" t="s">
        <v>434</v>
      </c>
      <c r="C4" s="11">
        <f>AVERAGE(Table1_3__3[Sales Ratio 2])</f>
        <v>3.6700226887931495</v>
      </c>
      <c r="E4" s="6" t="s">
        <v>2</v>
      </c>
      <c r="F4" t="s">
        <v>441</v>
      </c>
      <c r="G4" t="s">
        <v>442</v>
      </c>
      <c r="H4" t="s">
        <v>443</v>
      </c>
      <c r="L4" s="6" t="s">
        <v>439</v>
      </c>
      <c r="M4" t="s">
        <v>537</v>
      </c>
      <c r="N4" t="s">
        <v>538</v>
      </c>
      <c r="O4" t="s">
        <v>539</v>
      </c>
      <c r="V4" s="6" t="s">
        <v>540</v>
      </c>
      <c r="W4" t="s">
        <v>441</v>
      </c>
      <c r="AU4" s="6" t="s">
        <v>439</v>
      </c>
      <c r="AV4" t="s">
        <v>544</v>
      </c>
      <c r="BA4" s="7" t="s">
        <v>200</v>
      </c>
      <c r="BB4" s="29">
        <v>0.10590135343651526</v>
      </c>
      <c r="BC4" s="7" t="s">
        <v>200</v>
      </c>
      <c r="BD4" s="29">
        <v>0.10590135343651526</v>
      </c>
      <c r="CM4" s="17" t="s">
        <v>557</v>
      </c>
      <c r="CS4" t="s">
        <v>548</v>
      </c>
      <c r="CT4" s="21">
        <f>SUM(Table1_3__3[Sale Amount])</f>
        <v>140431633</v>
      </c>
      <c r="CU4" t="str">
        <f>TEXT(CT4/1000000,"$0")&amp;"M"</f>
        <v>$140M</v>
      </c>
    </row>
    <row r="5" spans="1:99" x14ac:dyDescent="0.35">
      <c r="B5" s="5" t="s">
        <v>435</v>
      </c>
      <c r="C5" s="11">
        <f>MEDIAN(Table1_3__3[Sales Ratio 2])</f>
        <v>1.6633621112291661</v>
      </c>
      <c r="E5" s="7" t="s">
        <v>8</v>
      </c>
      <c r="F5">
        <v>541000</v>
      </c>
      <c r="G5">
        <v>529268293.08252382</v>
      </c>
      <c r="H5">
        <v>3</v>
      </c>
      <c r="L5" s="7" t="s">
        <v>8</v>
      </c>
      <c r="M5" s="42">
        <v>500000</v>
      </c>
      <c r="N5" s="42">
        <v>2</v>
      </c>
      <c r="O5" s="42">
        <v>0.62378571449999998</v>
      </c>
      <c r="V5" s="7" t="s">
        <v>464</v>
      </c>
      <c r="W5" s="23">
        <v>7682911</v>
      </c>
      <c r="AI5" t="s">
        <v>0</v>
      </c>
      <c r="AJ5" t="s">
        <v>2</v>
      </c>
      <c r="AK5" t="s">
        <v>3</v>
      </c>
      <c r="AL5" t="s">
        <v>542</v>
      </c>
      <c r="AM5" t="s">
        <v>7</v>
      </c>
      <c r="AU5" s="7" t="s">
        <v>756</v>
      </c>
      <c r="AV5">
        <v>4259500</v>
      </c>
      <c r="BA5" s="7" t="s">
        <v>181</v>
      </c>
      <c r="BB5" s="29">
        <v>8.583634429430867E-2</v>
      </c>
      <c r="BC5" s="7" t="s">
        <v>181</v>
      </c>
      <c r="BD5" s="29">
        <v>8.583634429430867E-2</v>
      </c>
      <c r="BK5" s="24"/>
      <c r="BP5" s="6" t="s">
        <v>448</v>
      </c>
      <c r="BQ5" s="7">
        <v>2021</v>
      </c>
      <c r="CH5" s="5" t="s">
        <v>553</v>
      </c>
      <c r="CI5">
        <f>COUNTIF(Table1_3__3[Sales Ratio 2],"&lt;1")</f>
        <v>0</v>
      </c>
      <c r="CM5" s="15" t="s">
        <v>555</v>
      </c>
      <c r="CN5">
        <f>AVERAGE('Main dataset'!L283:L303)</f>
        <v>1.6633698170414626</v>
      </c>
      <c r="CS5" t="s">
        <v>555</v>
      </c>
      <c r="CT5" s="11">
        <f>AVERAGE(Table1_3__3[Sales Ratio 2])</f>
        <v>3.6700226887931495</v>
      </c>
    </row>
    <row r="6" spans="1:99" x14ac:dyDescent="0.35">
      <c r="E6" s="7" t="s">
        <v>11</v>
      </c>
      <c r="F6">
        <v>430000</v>
      </c>
      <c r="G6">
        <v>0.58830000000000005</v>
      </c>
      <c r="H6">
        <v>1</v>
      </c>
      <c r="L6" s="7" t="s">
        <v>11</v>
      </c>
      <c r="M6" s="42">
        <v>430000</v>
      </c>
      <c r="N6" s="42">
        <v>1</v>
      </c>
      <c r="O6" s="42">
        <v>0.58830000000000005</v>
      </c>
      <c r="V6" s="7" t="s">
        <v>460</v>
      </c>
      <c r="W6" s="23">
        <v>6840800</v>
      </c>
      <c r="AI6" s="1">
        <v>160092</v>
      </c>
      <c r="AJ6" t="str" cm="1">
        <f t="array" ref="AJ6:AM6">VLOOKUP(Analysis!AI6,Table1_3__3[],{6,7,9,12},0)</f>
        <v>Rocky Hill</v>
      </c>
      <c r="AK6" t="str">
        <v>R</v>
      </c>
      <c r="AL6">
        <v>45150</v>
      </c>
      <c r="AM6">
        <v>302.32558139534882</v>
      </c>
      <c r="AU6" s="7" t="s">
        <v>755</v>
      </c>
      <c r="AV6">
        <v>3360000</v>
      </c>
      <c r="BA6" s="7" t="s">
        <v>85</v>
      </c>
      <c r="BB6" s="29">
        <v>8.2282031143225395E-2</v>
      </c>
      <c r="BC6" s="7" t="s">
        <v>85</v>
      </c>
      <c r="BD6" s="29">
        <v>8.2282031143225395E-2</v>
      </c>
      <c r="BI6" s="5" t="s">
        <v>545</v>
      </c>
      <c r="BJ6" s="5"/>
      <c r="BK6" s="5"/>
      <c r="CA6" s="26"/>
      <c r="CM6" s="15" t="s">
        <v>556</v>
      </c>
      <c r="CN6">
        <f>MEDIAN(Table1_3__3[Sales Ratio 2])</f>
        <v>1.6633621112291661</v>
      </c>
      <c r="CS6" t="s">
        <v>745</v>
      </c>
      <c r="CT6">
        <f>COUNT(Table1_3__3[Serial Number])</f>
        <v>302</v>
      </c>
    </row>
    <row r="7" spans="1:99" x14ac:dyDescent="0.35">
      <c r="E7" s="7" t="s">
        <v>14</v>
      </c>
      <c r="F7">
        <v>3767400</v>
      </c>
      <c r="G7">
        <v>0.67357500000000003</v>
      </c>
      <c r="H7">
        <v>4</v>
      </c>
      <c r="L7" s="7" t="s">
        <v>14</v>
      </c>
      <c r="M7" s="42">
        <v>3767400</v>
      </c>
      <c r="N7" s="42">
        <v>4</v>
      </c>
      <c r="O7" s="42">
        <v>0.67357500000000003</v>
      </c>
      <c r="V7" s="7" t="s">
        <v>471</v>
      </c>
      <c r="W7" s="23">
        <v>9929200</v>
      </c>
      <c r="AI7" s="2">
        <v>200195</v>
      </c>
      <c r="AJ7" t="str" cm="1">
        <f t="array" ref="AJ7:AM7">VLOOKUP(Analysis!AI7,Table1_3__3[],{6,7,9,12},0)</f>
        <v>Cromwell</v>
      </c>
      <c r="AK7" t="str">
        <v>C</v>
      </c>
      <c r="AL7">
        <v>3360000</v>
      </c>
      <c r="AM7">
        <v>1.5520089285714285</v>
      </c>
      <c r="AP7" s="6" t="s">
        <v>439</v>
      </c>
      <c r="AQ7" t="s">
        <v>441</v>
      </c>
      <c r="AU7" s="7" t="s">
        <v>757</v>
      </c>
      <c r="AV7">
        <v>61320</v>
      </c>
      <c r="BA7" s="7" t="s">
        <v>144</v>
      </c>
      <c r="BB7" s="29">
        <v>4.7877389562222067E-2</v>
      </c>
      <c r="BC7" s="7" t="s">
        <v>144</v>
      </c>
      <c r="BD7" s="29">
        <v>4.7877389562222067E-2</v>
      </c>
      <c r="BP7" s="6" t="s">
        <v>439</v>
      </c>
      <c r="BQ7" t="s">
        <v>441</v>
      </c>
      <c r="BZ7" s="6" t="s">
        <v>779</v>
      </c>
      <c r="CA7" t="s">
        <v>551</v>
      </c>
      <c r="CS7" t="s">
        <v>746</v>
      </c>
      <c r="CT7" s="22">
        <f>AVERAGE(Table1_3__3[Assessed Value])</f>
        <v>238484.40066225166</v>
      </c>
      <c r="CU7">
        <v>238484</v>
      </c>
    </row>
    <row r="8" spans="1:99" x14ac:dyDescent="0.35">
      <c r="A8" t="s">
        <v>436</v>
      </c>
      <c r="B8" s="5" t="s">
        <v>437</v>
      </c>
      <c r="C8" t="str">
        <f>INDEX(Table1_3__3[Town],MATCH(MAX(Table1_3__3[Sale Amount]),Table1_3__3[Sale Amount],0))</f>
        <v>Rocky Hill</v>
      </c>
      <c r="E8" s="7" t="s">
        <v>19</v>
      </c>
      <c r="F8">
        <v>1090991</v>
      </c>
      <c r="G8">
        <v>6005.2027000000007</v>
      </c>
      <c r="H8">
        <v>3</v>
      </c>
      <c r="L8" s="7" t="s">
        <v>19</v>
      </c>
      <c r="M8" s="42">
        <v>677500</v>
      </c>
      <c r="N8" s="42">
        <v>1</v>
      </c>
      <c r="O8" s="42">
        <v>0.60809999999999997</v>
      </c>
      <c r="V8" s="7" t="s">
        <v>452</v>
      </c>
      <c r="W8" s="23">
        <v>10525618</v>
      </c>
      <c r="AI8" s="1">
        <v>201233</v>
      </c>
      <c r="AJ8" t="str" cm="1">
        <f t="array" ref="AJ8:AM8">VLOOKUP(Analysis!AI8,Table1_3__3[],{6,7,9,12},0)</f>
        <v>Greenwich</v>
      </c>
      <c r="AK8" t="str">
        <v>G</v>
      </c>
      <c r="AL8">
        <v>4259500</v>
      </c>
      <c r="AM8">
        <v>1.0095081582345347</v>
      </c>
      <c r="AP8" s="7" t="s">
        <v>365</v>
      </c>
      <c r="AQ8" s="40">
        <v>13650000</v>
      </c>
      <c r="AU8" s="7" t="s">
        <v>754</v>
      </c>
      <c r="AV8">
        <v>45150</v>
      </c>
      <c r="BA8" s="7" t="s">
        <v>54</v>
      </c>
      <c r="BB8" s="29">
        <v>4.2403195582009647E-2</v>
      </c>
      <c r="BC8" s="7" t="s">
        <v>54</v>
      </c>
      <c r="BD8" s="29">
        <v>4.2403195582009647E-2</v>
      </c>
      <c r="BP8" s="7" t="s">
        <v>453</v>
      </c>
      <c r="BQ8" s="27">
        <v>9336250</v>
      </c>
      <c r="BZ8" s="7" t="s">
        <v>103</v>
      </c>
      <c r="CA8" s="21">
        <v>292833.33333333331</v>
      </c>
      <c r="CS8" t="s">
        <v>747</v>
      </c>
      <c r="CT8" t="str">
        <f>INDEX(Table1_3__3[Town],MATCH(MAX(Table1_3__3[Sale Amount]),Table1_3__3[Sale Amount],0))</f>
        <v>Rocky Hill</v>
      </c>
    </row>
    <row r="9" spans="1:99" ht="23.5" x14ac:dyDescent="0.55000000000000004">
      <c r="A9" t="s">
        <v>748</v>
      </c>
      <c r="B9" t="str">
        <f>INDEX(Table1_3__3[Property Type],MATCH(MAX(Table1_3__3[Sale Amount]),Table1_3__3[Sale Amount],0))</f>
        <v>Condo</v>
      </c>
      <c r="E9" s="7" t="s">
        <v>21</v>
      </c>
      <c r="F9">
        <v>795000</v>
      </c>
      <c r="G9">
        <v>0.64270000000000005</v>
      </c>
      <c r="H9">
        <v>1</v>
      </c>
      <c r="L9" s="7" t="s">
        <v>21</v>
      </c>
      <c r="M9" s="42">
        <v>795000</v>
      </c>
      <c r="N9" s="42">
        <v>1</v>
      </c>
      <c r="O9" s="42">
        <v>0.64270000000000005</v>
      </c>
      <c r="V9" s="7" t="s">
        <v>456</v>
      </c>
      <c r="W9" s="23">
        <v>16335860</v>
      </c>
      <c r="Z9" s="25" t="s">
        <v>751</v>
      </c>
      <c r="AI9" s="2">
        <v>170261</v>
      </c>
      <c r="AJ9" t="str" cm="1">
        <f t="array" ref="AJ9:AM9">VLOOKUP(Analysis!AI9,Table1_3__3[],{6,7,9,12},0)</f>
        <v>New London</v>
      </c>
      <c r="AK9" t="str">
        <v>N</v>
      </c>
      <c r="AL9">
        <v>30660</v>
      </c>
      <c r="AM9">
        <v>106.53131115459882</v>
      </c>
      <c r="AP9" s="13" t="s">
        <v>200</v>
      </c>
      <c r="AQ9" s="40">
        <v>13650000</v>
      </c>
      <c r="BA9" s="7" t="s">
        <v>56</v>
      </c>
      <c r="BB9" s="29">
        <v>4.1321174410896437E-2</v>
      </c>
      <c r="BP9" s="7" t="s">
        <v>463</v>
      </c>
      <c r="BQ9" s="27">
        <v>7569800</v>
      </c>
      <c r="BZ9" s="7" t="s">
        <v>10</v>
      </c>
      <c r="CA9" s="12">
        <v>986120.04347826086</v>
      </c>
      <c r="CH9" t="s">
        <v>773</v>
      </c>
      <c r="CM9" s="17" t="s">
        <v>558</v>
      </c>
      <c r="CS9" t="s">
        <v>749</v>
      </c>
      <c r="CT9" t="str">
        <f>INDEX(Table1_3__3[Property Type],MATCH(MAX(Table1_3__3[Sale Amount]),Table1_3__3[Sale Amount],0))</f>
        <v>Condo</v>
      </c>
    </row>
    <row r="10" spans="1:99" x14ac:dyDescent="0.35">
      <c r="A10" t="s">
        <v>741</v>
      </c>
      <c r="B10" s="12">
        <f>SUM(Table1_3__3[Sale Amount])</f>
        <v>140431633</v>
      </c>
      <c r="E10" s="7" t="s">
        <v>23</v>
      </c>
      <c r="F10">
        <v>335000</v>
      </c>
      <c r="G10">
        <v>0.51149999999999995</v>
      </c>
      <c r="H10">
        <v>1</v>
      </c>
      <c r="L10" s="7" t="s">
        <v>23</v>
      </c>
      <c r="M10" s="42">
        <v>335000</v>
      </c>
      <c r="N10" s="42">
        <v>1</v>
      </c>
      <c r="O10" s="42">
        <v>0.51149999999999995</v>
      </c>
      <c r="V10" s="7" t="s">
        <v>454</v>
      </c>
      <c r="W10" s="23">
        <v>13613338</v>
      </c>
      <c r="AI10" s="1">
        <v>170255</v>
      </c>
      <c r="AJ10" t="str" cm="1">
        <f t="array" ref="AJ10:AM10">VLOOKUP(Analysis!AI10,Table1_3__3[],{6,7,9,12},0)</f>
        <v>New London</v>
      </c>
      <c r="AK10" t="str">
        <v>N</v>
      </c>
      <c r="AL10">
        <v>30660</v>
      </c>
      <c r="AM10">
        <v>106.53131115459882</v>
      </c>
      <c r="AP10" s="7" t="s">
        <v>415</v>
      </c>
      <c r="AQ10" s="40">
        <v>5214750</v>
      </c>
      <c r="BA10" s="7" t="s">
        <v>14</v>
      </c>
      <c r="BB10" s="29">
        <v>2.6827288976978569E-2</v>
      </c>
      <c r="BP10" s="7" t="s">
        <v>461</v>
      </c>
      <c r="BQ10" s="27">
        <v>5871800</v>
      </c>
      <c r="BZ10" s="7" t="s">
        <v>16</v>
      </c>
      <c r="CA10" s="12">
        <v>386269.56363636366</v>
      </c>
      <c r="CM10" s="15">
        <f>Analysis!AK21</f>
        <v>0</v>
      </c>
    </row>
    <row r="11" spans="1:99" x14ac:dyDescent="0.35">
      <c r="A11" t="s">
        <v>742</v>
      </c>
      <c r="B11">
        <f>AVERAGE(Table1_3__3[Sales Ratio 2])</f>
        <v>3.6700226887931495</v>
      </c>
      <c r="E11" s="7" t="s">
        <v>25</v>
      </c>
      <c r="F11">
        <v>352000</v>
      </c>
      <c r="G11">
        <v>0.4798</v>
      </c>
      <c r="H11">
        <v>1</v>
      </c>
      <c r="L11" s="7" t="s">
        <v>25</v>
      </c>
      <c r="M11" s="42">
        <v>352000</v>
      </c>
      <c r="N11" s="42">
        <v>1</v>
      </c>
      <c r="O11" s="42">
        <v>0.4798</v>
      </c>
      <c r="V11" s="7" t="s">
        <v>458</v>
      </c>
      <c r="W11" s="23">
        <v>19705766</v>
      </c>
      <c r="AP11" s="13" t="s">
        <v>54</v>
      </c>
      <c r="AQ11" s="40">
        <v>5214750</v>
      </c>
      <c r="BA11" s="7" t="s">
        <v>152</v>
      </c>
      <c r="BB11" s="29">
        <v>2.3142933900085032E-2</v>
      </c>
      <c r="BP11" s="7" t="s">
        <v>465</v>
      </c>
      <c r="BQ11" s="27">
        <v>7165711</v>
      </c>
      <c r="BZ11" s="7" t="s">
        <v>13</v>
      </c>
      <c r="CA11" s="12">
        <v>448088.67469879519</v>
      </c>
      <c r="CM11" s="15" t="s">
        <v>560</v>
      </c>
    </row>
    <row r="12" spans="1:99" x14ac:dyDescent="0.35">
      <c r="A12" t="s">
        <v>743</v>
      </c>
      <c r="B12">
        <f>COUNT(Table1_3__3[Serial Number])</f>
        <v>302</v>
      </c>
      <c r="E12" s="7" t="s">
        <v>27</v>
      </c>
      <c r="F12">
        <v>383000</v>
      </c>
      <c r="G12">
        <v>0.79534473699999997</v>
      </c>
      <c r="H12">
        <v>2</v>
      </c>
      <c r="L12" s="7" t="s">
        <v>27</v>
      </c>
      <c r="M12" s="42">
        <v>383000</v>
      </c>
      <c r="N12" s="42">
        <v>2</v>
      </c>
      <c r="O12" s="42">
        <v>0.79534473699999997</v>
      </c>
      <c r="V12" s="7" t="s">
        <v>462</v>
      </c>
      <c r="W12" s="23">
        <v>8461250</v>
      </c>
      <c r="AI12" s="5" t="s">
        <v>541</v>
      </c>
      <c r="AJ12" s="26"/>
      <c r="AK12" t="s">
        <v>752</v>
      </c>
      <c r="AP12" s="7" t="s">
        <v>86</v>
      </c>
      <c r="AQ12" s="40">
        <v>4300000</v>
      </c>
      <c r="BA12" s="7" t="s">
        <v>69</v>
      </c>
      <c r="BB12" s="29">
        <v>2.031949596427466E-2</v>
      </c>
      <c r="BP12" s="7" t="s">
        <v>459</v>
      </c>
      <c r="BQ12" s="27">
        <v>18232500</v>
      </c>
      <c r="CM12" s="17" t="s">
        <v>561</v>
      </c>
    </row>
    <row r="13" spans="1:99" x14ac:dyDescent="0.35">
      <c r="A13" t="s">
        <v>744</v>
      </c>
      <c r="E13" s="7" t="s">
        <v>29</v>
      </c>
      <c r="F13">
        <v>2047250</v>
      </c>
      <c r="G13">
        <v>0.74001403516666653</v>
      </c>
      <c r="H13">
        <v>6</v>
      </c>
      <c r="L13" s="7" t="s">
        <v>29</v>
      </c>
      <c r="M13" s="42">
        <v>2047250</v>
      </c>
      <c r="N13" s="42">
        <v>6</v>
      </c>
      <c r="O13" s="42">
        <v>0.74001403516666653</v>
      </c>
      <c r="V13" s="7" t="s">
        <v>473</v>
      </c>
      <c r="W13" s="23">
        <v>12590314</v>
      </c>
      <c r="AP13" s="13" t="s">
        <v>85</v>
      </c>
      <c r="AQ13" s="40">
        <v>4300000</v>
      </c>
      <c r="BA13" s="7" t="s">
        <v>122</v>
      </c>
      <c r="BB13" s="29">
        <v>1.9150955824888828E-2</v>
      </c>
      <c r="BP13" s="7" t="s">
        <v>455</v>
      </c>
      <c r="BQ13" s="27">
        <v>9113300</v>
      </c>
    </row>
    <row r="14" spans="1:99" x14ac:dyDescent="0.35">
      <c r="E14" s="7" t="s">
        <v>282</v>
      </c>
      <c r="F14">
        <v>560500</v>
      </c>
      <c r="G14">
        <v>211979.64274525351</v>
      </c>
      <c r="H14">
        <v>6</v>
      </c>
      <c r="L14" s="7" t="s">
        <v>282</v>
      </c>
      <c r="M14" s="42">
        <v>480500</v>
      </c>
      <c r="N14" s="42">
        <v>5</v>
      </c>
      <c r="O14" s="42">
        <v>0.57129430420000005</v>
      </c>
      <c r="V14" s="7" t="s">
        <v>469</v>
      </c>
      <c r="W14" s="23">
        <v>8302200</v>
      </c>
      <c r="AI14" t="s">
        <v>0</v>
      </c>
      <c r="AJ14" t="s">
        <v>2</v>
      </c>
      <c r="AK14" t="s">
        <v>3</v>
      </c>
      <c r="AL14" t="s">
        <v>542</v>
      </c>
      <c r="AM14" t="s">
        <v>7</v>
      </c>
      <c r="AP14" s="7" t="s">
        <v>384</v>
      </c>
      <c r="AQ14" s="40">
        <v>3266250</v>
      </c>
      <c r="BA14" s="7" t="s">
        <v>92</v>
      </c>
      <c r="BB14" s="29">
        <v>1.7891268130450354E-2</v>
      </c>
      <c r="BP14" s="7" t="s">
        <v>472</v>
      </c>
      <c r="BQ14" s="27">
        <v>8519700</v>
      </c>
    </row>
    <row r="15" spans="1:99" x14ac:dyDescent="0.35">
      <c r="E15" s="7" t="s">
        <v>32</v>
      </c>
      <c r="F15">
        <v>1097900</v>
      </c>
      <c r="G15">
        <v>0.6642083333333334</v>
      </c>
      <c r="H15">
        <v>6</v>
      </c>
      <c r="L15" s="7" t="s">
        <v>32</v>
      </c>
      <c r="M15" s="42">
        <v>1097900</v>
      </c>
      <c r="N15" s="42">
        <v>6</v>
      </c>
      <c r="O15" s="42">
        <v>0.6642083333333334</v>
      </c>
      <c r="V15" s="7" t="s">
        <v>475</v>
      </c>
      <c r="W15" s="23">
        <v>5424626</v>
      </c>
      <c r="AI15" s="1">
        <v>160092</v>
      </c>
      <c r="AJ15" s="28" t="str" cm="1">
        <f t="array" ref="AJ15:AM15">VLOOKUP(Analysis!AI15,Table1_3__3[],{6,7,9,12},0)</f>
        <v>Rocky Hill</v>
      </c>
      <c r="AK15" s="28" t="str">
        <v>R</v>
      </c>
      <c r="AL15" s="28">
        <v>45150</v>
      </c>
      <c r="AM15" s="28">
        <v>302.32558139534882</v>
      </c>
      <c r="AP15" s="13" t="s">
        <v>144</v>
      </c>
      <c r="AQ15" s="40">
        <v>3266250</v>
      </c>
      <c r="BA15" s="7" t="s">
        <v>252</v>
      </c>
      <c r="BB15" s="29">
        <v>1.7880586776342619E-2</v>
      </c>
      <c r="BP15" s="7" t="s">
        <v>466</v>
      </c>
      <c r="BQ15" s="27">
        <v>7091650</v>
      </c>
      <c r="CO15" s="6" t="s">
        <v>562</v>
      </c>
      <c r="CP15" t="s">
        <v>551</v>
      </c>
    </row>
    <row r="16" spans="1:99" x14ac:dyDescent="0.35">
      <c r="A16" s="31"/>
      <c r="B16" s="32"/>
      <c r="C16" s="33"/>
      <c r="E16" s="7" t="s">
        <v>37</v>
      </c>
      <c r="F16">
        <v>330000</v>
      </c>
      <c r="G16">
        <v>0.60716875000000003</v>
      </c>
      <c r="H16">
        <v>2</v>
      </c>
      <c r="L16" s="7" t="s">
        <v>37</v>
      </c>
      <c r="M16" s="42">
        <v>330000</v>
      </c>
      <c r="N16" s="42">
        <v>2</v>
      </c>
      <c r="O16" s="42">
        <v>0.60716875000000003</v>
      </c>
      <c r="V16" s="7" t="s">
        <v>450</v>
      </c>
      <c r="W16" s="23">
        <v>21019750</v>
      </c>
      <c r="AI16" s="2">
        <v>200195</v>
      </c>
      <c r="AJ16" s="28" t="str" cm="1">
        <f t="array" ref="AJ16:AM16">VLOOKUP(Analysis!AI16,Table1_3__3[],{6,7,9,12},0)</f>
        <v>Cromwell</v>
      </c>
      <c r="AK16" s="28" t="str">
        <v>C</v>
      </c>
      <c r="AL16" s="28">
        <v>3360000</v>
      </c>
      <c r="AM16" s="28">
        <v>1.5520089285714285</v>
      </c>
      <c r="AP16" s="7" t="s">
        <v>390</v>
      </c>
      <c r="AQ16" s="40">
        <v>3266250</v>
      </c>
      <c r="BA16" s="7" t="s">
        <v>98</v>
      </c>
      <c r="BB16" s="29">
        <v>1.7787302950468431E-2</v>
      </c>
      <c r="BP16" s="7" t="s">
        <v>474</v>
      </c>
      <c r="BQ16" s="27">
        <v>9003365</v>
      </c>
      <c r="CO16" s="7" t="s">
        <v>10</v>
      </c>
      <c r="CP16" s="22">
        <v>986120.04347826086</v>
      </c>
    </row>
    <row r="17" spans="1:94" x14ac:dyDescent="0.35">
      <c r="A17" s="34"/>
      <c r="B17" s="35"/>
      <c r="C17" s="36"/>
      <c r="E17" s="7" t="s">
        <v>413</v>
      </c>
      <c r="F17">
        <v>599000</v>
      </c>
      <c r="G17">
        <v>0.59389999999999998</v>
      </c>
      <c r="H17">
        <v>1</v>
      </c>
      <c r="L17" s="7" t="s">
        <v>413</v>
      </c>
      <c r="M17" s="42">
        <v>599000</v>
      </c>
      <c r="N17" s="42">
        <v>1</v>
      </c>
      <c r="O17" s="42">
        <v>0.59389999999999998</v>
      </c>
      <c r="AI17" s="1">
        <v>201233</v>
      </c>
      <c r="AJ17" s="28" t="str" cm="1">
        <f t="array" ref="AJ17:AM17">VLOOKUP(Analysis!AI17,Table1_3__3[],{6,7,9,12},0)</f>
        <v>Greenwich</v>
      </c>
      <c r="AK17" s="28" t="str">
        <v>G</v>
      </c>
      <c r="AL17" s="28">
        <v>4259500</v>
      </c>
      <c r="AM17" s="28">
        <v>1.0095081582345347</v>
      </c>
      <c r="AP17" s="13" t="s">
        <v>144</v>
      </c>
      <c r="AQ17" s="40">
        <v>3266250</v>
      </c>
      <c r="BA17" s="7" t="s">
        <v>262</v>
      </c>
      <c r="BB17" s="29">
        <v>1.62712627574444E-2</v>
      </c>
      <c r="CO17" s="7" t="s">
        <v>13</v>
      </c>
      <c r="CP17" s="22">
        <v>448088.67469879519</v>
      </c>
    </row>
    <row r="18" spans="1:94" x14ac:dyDescent="0.35">
      <c r="A18" s="34"/>
      <c r="B18" s="35"/>
      <c r="C18" s="36"/>
      <c r="E18" s="7" t="s">
        <v>41</v>
      </c>
      <c r="F18">
        <v>497500</v>
      </c>
      <c r="G18">
        <v>0.57685517249999996</v>
      </c>
      <c r="H18">
        <v>2</v>
      </c>
      <c r="L18" s="7" t="s">
        <v>41</v>
      </c>
      <c r="M18" s="42">
        <v>497500</v>
      </c>
      <c r="N18" s="42">
        <v>2</v>
      </c>
      <c r="O18" s="42">
        <v>0.57685517249999996</v>
      </c>
      <c r="AI18" s="2">
        <v>170261</v>
      </c>
      <c r="AJ18" s="28" t="str" cm="1">
        <f t="array" ref="AJ18:AM18">VLOOKUP(Analysis!AI18,Table1_3__3[],{6,7,9,12},0)</f>
        <v>New London</v>
      </c>
      <c r="AK18" s="28" t="str">
        <v>N</v>
      </c>
      <c r="AL18" s="28">
        <v>30660</v>
      </c>
      <c r="AM18" s="28">
        <v>106.53131115459882</v>
      </c>
      <c r="BA18" s="7" t="s">
        <v>166</v>
      </c>
      <c r="BB18" s="29">
        <v>1.5644623316457482E-2</v>
      </c>
    </row>
    <row r="19" spans="1:94" x14ac:dyDescent="0.35">
      <c r="A19" s="34"/>
      <c r="B19" s="35"/>
      <c r="C19" s="36"/>
      <c r="E19" s="7" t="s">
        <v>43</v>
      </c>
      <c r="F19">
        <v>773900</v>
      </c>
      <c r="G19">
        <v>0.58798685533333339</v>
      </c>
      <c r="H19">
        <v>3</v>
      </c>
      <c r="L19" s="7" t="s">
        <v>43</v>
      </c>
      <c r="M19" s="42">
        <v>773900</v>
      </c>
      <c r="N19" s="42">
        <v>3</v>
      </c>
      <c r="O19" s="42">
        <v>0.58798685533333339</v>
      </c>
      <c r="AI19" s="1">
        <v>170255</v>
      </c>
      <c r="AJ19" s="28" t="str" cm="1">
        <f t="array" ref="AJ19:AM19">VLOOKUP(Analysis!AI19,Table1_3__3[],{6,7,9,12},0)</f>
        <v>New London</v>
      </c>
      <c r="AK19" s="28" t="str">
        <v>N</v>
      </c>
      <c r="AL19" s="28">
        <v>30660</v>
      </c>
      <c r="AM19" s="28">
        <v>106.53131115459882</v>
      </c>
      <c r="AY19" s="5" t="s">
        <v>777</v>
      </c>
      <c r="BA19" s="7" t="s">
        <v>159</v>
      </c>
      <c r="BB19" s="29">
        <v>1.5555612032226386E-2</v>
      </c>
      <c r="CA19" s="6" t="s">
        <v>439</v>
      </c>
      <c r="CB19" t="s">
        <v>538</v>
      </c>
    </row>
    <row r="20" spans="1:94" x14ac:dyDescent="0.35">
      <c r="A20" s="34"/>
      <c r="B20" s="35"/>
      <c r="C20" s="36"/>
      <c r="E20" s="7" t="s">
        <v>46</v>
      </c>
      <c r="F20">
        <v>418800</v>
      </c>
      <c r="G20">
        <v>0.59709999999999996</v>
      </c>
      <c r="H20">
        <v>1</v>
      </c>
      <c r="L20" s="7" t="s">
        <v>46</v>
      </c>
      <c r="M20" s="42">
        <v>418800</v>
      </c>
      <c r="N20" s="42">
        <v>1</v>
      </c>
      <c r="O20" s="42">
        <v>0.59709999999999996</v>
      </c>
      <c r="AJ20" s="28"/>
      <c r="AK20" s="28"/>
      <c r="AL20" s="28"/>
      <c r="AM20" s="28"/>
      <c r="BA20" s="7" t="s">
        <v>206</v>
      </c>
      <c r="BB20" s="29">
        <v>1.4982728286012312E-2</v>
      </c>
      <c r="CA20" s="7" t="s">
        <v>13</v>
      </c>
      <c r="CB20">
        <v>166</v>
      </c>
      <c r="CD20" t="str">
        <f>CA20</f>
        <v>Residential</v>
      </c>
      <c r="CE20">
        <f>CB20</f>
        <v>166</v>
      </c>
    </row>
    <row r="21" spans="1:94" x14ac:dyDescent="0.35">
      <c r="A21" s="34"/>
      <c r="B21" s="35"/>
      <c r="C21" s="36"/>
      <c r="E21" s="7" t="s">
        <v>48</v>
      </c>
      <c r="F21">
        <v>392000</v>
      </c>
      <c r="G21">
        <v>0.57110000000000005</v>
      </c>
      <c r="H21">
        <v>1</v>
      </c>
      <c r="L21" s="7" t="s">
        <v>48</v>
      </c>
      <c r="M21" s="42">
        <v>392000</v>
      </c>
      <c r="N21" s="42">
        <v>1</v>
      </c>
      <c r="O21" s="42">
        <v>0.57110000000000005</v>
      </c>
      <c r="AI21" s="5" t="s">
        <v>543</v>
      </c>
      <c r="AY21" s="6" t="s">
        <v>2</v>
      </c>
      <c r="AZ21" t="s">
        <v>776</v>
      </c>
      <c r="BA21" s="7" t="s">
        <v>73</v>
      </c>
      <c r="BB21" s="29">
        <v>1.4661938738546178E-2</v>
      </c>
      <c r="CA21" s="7" t="s">
        <v>16</v>
      </c>
      <c r="CB21">
        <v>110</v>
      </c>
      <c r="CD21" t="str">
        <f t="shared" ref="CD21:CD23" si="0">CA21</f>
        <v>Condo</v>
      </c>
      <c r="CE21">
        <f t="shared" ref="CE21:CE23" si="1">CB21</f>
        <v>110</v>
      </c>
    </row>
    <row r="22" spans="1:94" x14ac:dyDescent="0.35">
      <c r="A22" s="34"/>
      <c r="B22" s="35"/>
      <c r="C22" s="36"/>
      <c r="E22" s="7" t="s">
        <v>50</v>
      </c>
      <c r="F22">
        <v>385000</v>
      </c>
      <c r="G22">
        <v>0.63919999999999999</v>
      </c>
      <c r="H22">
        <v>1</v>
      </c>
      <c r="L22" s="7" t="s">
        <v>50</v>
      </c>
      <c r="M22" s="42">
        <v>385000</v>
      </c>
      <c r="N22" s="42">
        <v>1</v>
      </c>
      <c r="O22" s="42">
        <v>0.63919999999999999</v>
      </c>
      <c r="AI22" t="s">
        <v>0</v>
      </c>
      <c r="AJ22" t="s">
        <v>2</v>
      </c>
      <c r="AK22" t="s">
        <v>3</v>
      </c>
      <c r="AL22" t="s">
        <v>6</v>
      </c>
      <c r="AM22" t="s">
        <v>7</v>
      </c>
      <c r="AY22" s="7" t="s">
        <v>54</v>
      </c>
      <c r="AZ22" s="29">
        <v>6.4028825328834564</v>
      </c>
      <c r="BA22" s="7" t="s">
        <v>29</v>
      </c>
      <c r="BB22" s="29">
        <v>1.4578268131368949E-2</v>
      </c>
      <c r="CA22" s="7" t="s">
        <v>10</v>
      </c>
      <c r="CB22">
        <v>23</v>
      </c>
      <c r="CD22" t="str">
        <f t="shared" si="0"/>
        <v>Commercial</v>
      </c>
      <c r="CE22">
        <f t="shared" si="1"/>
        <v>23</v>
      </c>
    </row>
    <row r="23" spans="1:94" x14ac:dyDescent="0.35">
      <c r="A23" s="34"/>
      <c r="B23" s="35"/>
      <c r="C23" s="36"/>
      <c r="E23" s="7" t="s">
        <v>52</v>
      </c>
      <c r="F23">
        <v>725000</v>
      </c>
      <c r="G23">
        <v>0.66615000000000002</v>
      </c>
      <c r="H23">
        <v>2</v>
      </c>
      <c r="L23" s="7" t="s">
        <v>52</v>
      </c>
      <c r="M23" s="42">
        <v>725000</v>
      </c>
      <c r="N23" s="42">
        <v>2</v>
      </c>
      <c r="O23" s="42">
        <v>0.66615000000000002</v>
      </c>
      <c r="AI23" s="1">
        <v>100089</v>
      </c>
      <c r="AJ23" s="8" t="e" cm="1">
        <f t="array" ref="AJ23">VLOOKUP(AI23,'Main dataset'!A2:$M$303,{6,7,10,12},0)</f>
        <v>#N/A</v>
      </c>
      <c r="AY23" s="7" t="s">
        <v>85</v>
      </c>
      <c r="AZ23" s="29">
        <v>4.9698346810508136</v>
      </c>
      <c r="BA23" s="7" t="s">
        <v>133</v>
      </c>
      <c r="BB23" s="29">
        <v>1.2863910797078035E-2</v>
      </c>
      <c r="BP23" s="6" t="s">
        <v>441</v>
      </c>
      <c r="BQ23" s="6" t="s">
        <v>780</v>
      </c>
      <c r="CA23" s="7" t="s">
        <v>103</v>
      </c>
      <c r="CB23">
        <v>3</v>
      </c>
      <c r="CD23" t="str">
        <f t="shared" si="0"/>
        <v>Apartments</v>
      </c>
      <c r="CE23">
        <f t="shared" si="1"/>
        <v>3</v>
      </c>
    </row>
    <row r="24" spans="1:94" x14ac:dyDescent="0.35">
      <c r="A24" s="34"/>
      <c r="B24" s="35"/>
      <c r="C24" s="36"/>
      <c r="E24" s="7" t="s">
        <v>54</v>
      </c>
      <c r="F24">
        <v>5954750</v>
      </c>
      <c r="G24">
        <v>0.59959999999999991</v>
      </c>
      <c r="H24">
        <v>2</v>
      </c>
      <c r="L24" s="7" t="s">
        <v>54</v>
      </c>
      <c r="M24" s="42">
        <v>5954750</v>
      </c>
      <c r="N24" s="42">
        <v>2</v>
      </c>
      <c r="O24" s="42">
        <v>0.59959999999999991</v>
      </c>
      <c r="AI24" s="2">
        <v>160092</v>
      </c>
      <c r="AJ24" s="8" t="e" cm="1">
        <f t="array" ref="AJ24">VLOOKUP(AI24,'Main dataset'!A3:$M$303,{6,7,10,12},0)</f>
        <v>#N/A</v>
      </c>
      <c r="AY24" s="7" t="s">
        <v>262</v>
      </c>
      <c r="AZ24" s="29">
        <v>4.9139213527482086</v>
      </c>
      <c r="BA24" s="7" t="s">
        <v>197</v>
      </c>
      <c r="BB24" s="29">
        <v>1.2817624929277864E-2</v>
      </c>
      <c r="BQ24" t="s">
        <v>759</v>
      </c>
      <c r="BS24" t="s">
        <v>781</v>
      </c>
      <c r="CA24" s="7" t="s">
        <v>440</v>
      </c>
      <c r="CB24">
        <v>302</v>
      </c>
    </row>
    <row r="25" spans="1:94" x14ac:dyDescent="0.35">
      <c r="A25" s="34"/>
      <c r="B25" s="35"/>
      <c r="C25" s="36"/>
      <c r="E25" s="7" t="s">
        <v>56</v>
      </c>
      <c r="F25">
        <v>5802800</v>
      </c>
      <c r="G25">
        <v>0.61003243660000006</v>
      </c>
      <c r="H25">
        <v>10</v>
      </c>
      <c r="L25" s="7" t="s">
        <v>56</v>
      </c>
      <c r="M25" s="42">
        <v>5802800</v>
      </c>
      <c r="N25" s="42">
        <v>10</v>
      </c>
      <c r="O25" s="42">
        <v>0.61003243660000006</v>
      </c>
      <c r="AI25" s="1">
        <v>170261</v>
      </c>
      <c r="AJ25" s="8" t="str" cm="1">
        <f t="array" ref="AJ25:AM25">VLOOKUP(AI25,'Main dataset'!A4:$M$303,{6,7,10,12},0)</f>
        <v>New London</v>
      </c>
      <c r="AK25" t="str">
        <v>N</v>
      </c>
      <c r="AL25">
        <v>3266250</v>
      </c>
      <c r="AM25">
        <v>106.53131115459882</v>
      </c>
      <c r="AY25" s="7" t="s">
        <v>144</v>
      </c>
      <c r="AZ25" s="29">
        <v>4.8196572159303539</v>
      </c>
      <c r="BA25" s="7" t="s">
        <v>192</v>
      </c>
      <c r="BB25" s="29">
        <v>1.1910493129421915E-2</v>
      </c>
      <c r="BP25" s="6" t="s">
        <v>439</v>
      </c>
      <c r="BQ25" t="s">
        <v>16</v>
      </c>
      <c r="BR25" t="s">
        <v>13</v>
      </c>
    </row>
    <row r="26" spans="1:94" x14ac:dyDescent="0.35">
      <c r="A26" s="34"/>
      <c r="B26" s="35"/>
      <c r="C26" s="36"/>
      <c r="E26" s="7" t="s">
        <v>284</v>
      </c>
      <c r="F26">
        <v>241368</v>
      </c>
      <c r="G26">
        <v>0.54949999999999999</v>
      </c>
      <c r="H26">
        <v>1</v>
      </c>
      <c r="L26" s="7" t="s">
        <v>284</v>
      </c>
      <c r="M26" s="42">
        <v>241368</v>
      </c>
      <c r="N26" s="42">
        <v>1</v>
      </c>
      <c r="O26" s="42">
        <v>0.54949999999999999</v>
      </c>
      <c r="AI26" s="2">
        <v>170255</v>
      </c>
      <c r="AJ26" s="8" t="str" cm="1">
        <f t="array" ref="AJ26:AM26">VLOOKUP(AI26,'Main dataset'!A5:$M$303,{6,7,10,12},0)</f>
        <v>New London</v>
      </c>
      <c r="AK26" t="str">
        <v>N</v>
      </c>
      <c r="AL26">
        <v>3266250</v>
      </c>
      <c r="AM26">
        <v>106.53131115459882</v>
      </c>
      <c r="AY26" s="7" t="s">
        <v>200</v>
      </c>
      <c r="AZ26" s="29">
        <v>3.9977760922284511</v>
      </c>
      <c r="BA26" s="7" t="s">
        <v>129</v>
      </c>
      <c r="BB26" s="29">
        <v>1.0937706606317111E-2</v>
      </c>
      <c r="BP26" s="7" t="s">
        <v>409</v>
      </c>
      <c r="BQ26">
        <v>244000</v>
      </c>
      <c r="BS26">
        <v>244000</v>
      </c>
    </row>
    <row r="27" spans="1:94" x14ac:dyDescent="0.35">
      <c r="A27" s="34"/>
      <c r="B27" s="35"/>
      <c r="C27" s="36"/>
      <c r="E27" s="7" t="s">
        <v>64</v>
      </c>
      <c r="F27">
        <v>873000</v>
      </c>
      <c r="G27">
        <v>0.40229999999999999</v>
      </c>
      <c r="H27">
        <v>1</v>
      </c>
      <c r="L27" s="7" t="s">
        <v>64</v>
      </c>
      <c r="M27" s="42">
        <v>873000</v>
      </c>
      <c r="N27" s="42">
        <v>1</v>
      </c>
      <c r="O27" s="42">
        <v>0.40229999999999999</v>
      </c>
      <c r="AI27" s="1">
        <v>162063</v>
      </c>
      <c r="AJ27" s="8" t="str" cm="1">
        <f t="array" ref="AJ27:AM27">VLOOKUP(AI27,'Main dataset'!A6:$M$303,{6,7,10,12},0)</f>
        <v>Stamford</v>
      </c>
      <c r="AK27" t="str">
        <v>S</v>
      </c>
      <c r="AL27">
        <v>427500</v>
      </c>
      <c r="AM27">
        <v>52.197802197802197</v>
      </c>
      <c r="AY27" s="7" t="s">
        <v>197</v>
      </c>
      <c r="AZ27" s="29">
        <v>3.870922728641915</v>
      </c>
      <c r="BA27" s="7" t="s">
        <v>146</v>
      </c>
      <c r="BB27" s="29">
        <v>1.0476984199136957E-2</v>
      </c>
      <c r="BP27" s="7" t="s">
        <v>283</v>
      </c>
      <c r="BQ27">
        <v>755500</v>
      </c>
      <c r="BS27">
        <v>755500</v>
      </c>
    </row>
    <row r="28" spans="1:94" x14ac:dyDescent="0.35">
      <c r="A28" s="34"/>
      <c r="B28" s="35"/>
      <c r="C28" s="36"/>
      <c r="E28" s="7" t="s">
        <v>285</v>
      </c>
      <c r="F28">
        <v>144900</v>
      </c>
      <c r="G28">
        <v>0.69634230500000005</v>
      </c>
      <c r="H28">
        <v>1</v>
      </c>
      <c r="L28" s="7" t="s">
        <v>285</v>
      </c>
      <c r="M28" s="42">
        <v>144900</v>
      </c>
      <c r="N28" s="42">
        <v>1</v>
      </c>
      <c r="O28" s="42">
        <v>0.69634230500000005</v>
      </c>
      <c r="AY28" s="7" t="s">
        <v>152</v>
      </c>
      <c r="AZ28" s="29">
        <v>3.4945830189128397</v>
      </c>
      <c r="BA28" s="7" t="s">
        <v>125</v>
      </c>
      <c r="BB28" s="29">
        <v>9.983505639359758E-3</v>
      </c>
      <c r="BP28" s="7" t="s">
        <v>262</v>
      </c>
      <c r="BR28">
        <v>2285000</v>
      </c>
      <c r="BS28">
        <v>2285000</v>
      </c>
    </row>
    <row r="29" spans="1:94" x14ac:dyDescent="0.35">
      <c r="A29" s="34"/>
      <c r="B29" s="35"/>
      <c r="C29" s="36"/>
      <c r="E29" s="7" t="s">
        <v>308</v>
      </c>
      <c r="F29">
        <v>299000</v>
      </c>
      <c r="G29">
        <v>0.70434782600000001</v>
      </c>
      <c r="H29">
        <v>1</v>
      </c>
      <c r="L29" s="7" t="s">
        <v>308</v>
      </c>
      <c r="M29" s="42">
        <v>299000</v>
      </c>
      <c r="N29" s="42">
        <v>1</v>
      </c>
      <c r="O29" s="42">
        <v>0.70434782600000001</v>
      </c>
      <c r="AY29" s="7" t="s">
        <v>14</v>
      </c>
      <c r="AZ29" s="29">
        <v>2.025460317761882</v>
      </c>
      <c r="BA29" s="7" t="s">
        <v>68</v>
      </c>
      <c r="BB29" s="29">
        <v>9.4166817813761371E-3</v>
      </c>
      <c r="BP29" s="7" t="s">
        <v>264</v>
      </c>
      <c r="BQ29">
        <v>308850</v>
      </c>
      <c r="BR29">
        <v>411900</v>
      </c>
      <c r="BS29">
        <v>720750</v>
      </c>
      <c r="CM29" s="17" t="s">
        <v>563</v>
      </c>
    </row>
    <row r="30" spans="1:94" x14ac:dyDescent="0.35">
      <c r="A30" s="34"/>
      <c r="B30" s="35"/>
      <c r="C30" s="36"/>
      <c r="E30" s="7" t="s">
        <v>249</v>
      </c>
      <c r="F30">
        <v>50000</v>
      </c>
      <c r="G30">
        <v>0.77</v>
      </c>
      <c r="H30">
        <v>1</v>
      </c>
      <c r="L30" s="7" t="s">
        <v>249</v>
      </c>
      <c r="M30" s="42">
        <v>50000</v>
      </c>
      <c r="N30" s="42">
        <v>1</v>
      </c>
      <c r="O30" s="42">
        <v>0.77</v>
      </c>
      <c r="AR30" s="15"/>
      <c r="AY30" s="7" t="s">
        <v>64</v>
      </c>
      <c r="AZ30" s="29">
        <v>1.8773975233913287</v>
      </c>
      <c r="BA30" s="7" t="s">
        <v>117</v>
      </c>
      <c r="BB30" s="29">
        <v>8.8477216525709706E-3</v>
      </c>
      <c r="BP30" s="7" t="s">
        <v>268</v>
      </c>
      <c r="BR30">
        <v>710000</v>
      </c>
      <c r="BS30">
        <v>710000</v>
      </c>
      <c r="CM30" s="15">
        <f>AVERAGEIF('Avg. comm vs Residential sales'!M2:M189,"Commercial",'Avg. comm vs Residential sales'!L2:L189)</f>
        <v>1.7091372816951027</v>
      </c>
      <c r="CN30" s="19" t="s">
        <v>565</v>
      </c>
    </row>
    <row r="31" spans="1:94" x14ac:dyDescent="0.35">
      <c r="A31" s="34"/>
      <c r="B31" s="35"/>
      <c r="C31" s="36"/>
      <c r="E31" s="7" t="s">
        <v>66</v>
      </c>
      <c r="F31">
        <v>403000</v>
      </c>
      <c r="G31">
        <v>0.53200766633333341</v>
      </c>
      <c r="H31">
        <v>3</v>
      </c>
      <c r="L31" s="7" t="s">
        <v>66</v>
      </c>
      <c r="M31" s="42">
        <v>403000</v>
      </c>
      <c r="N31" s="42">
        <v>3</v>
      </c>
      <c r="O31" s="42">
        <v>0.53200766633333341</v>
      </c>
      <c r="AY31" s="7" t="s">
        <v>21</v>
      </c>
      <c r="AZ31" s="29">
        <v>1.7096575384835124</v>
      </c>
      <c r="BA31" s="7" t="s">
        <v>271</v>
      </c>
      <c r="BB31" s="29">
        <v>7.8828393315058861E-3</v>
      </c>
      <c r="BP31" s="7" t="s">
        <v>191</v>
      </c>
      <c r="BR31">
        <v>223000</v>
      </c>
      <c r="BS31">
        <v>223000</v>
      </c>
      <c r="CM31" s="15" t="s">
        <v>566</v>
      </c>
    </row>
    <row r="32" spans="1:94" x14ac:dyDescent="0.35">
      <c r="A32" s="34"/>
      <c r="B32" s="35"/>
      <c r="C32" s="36"/>
      <c r="E32" s="7" t="s">
        <v>69</v>
      </c>
      <c r="F32">
        <v>2853500</v>
      </c>
      <c r="G32">
        <v>0.51739999999999997</v>
      </c>
      <c r="H32">
        <v>4</v>
      </c>
      <c r="L32" s="7" t="s">
        <v>69</v>
      </c>
      <c r="M32" s="42">
        <v>2853500</v>
      </c>
      <c r="N32" s="42">
        <v>4</v>
      </c>
      <c r="O32" s="42">
        <v>0.51739999999999997</v>
      </c>
      <c r="AY32" s="7" t="s">
        <v>166</v>
      </c>
      <c r="AZ32" s="29">
        <v>1.5748920805233866</v>
      </c>
      <c r="BA32" s="7" t="s">
        <v>32</v>
      </c>
      <c r="BB32" s="29">
        <v>7.818039116585648E-3</v>
      </c>
      <c r="BP32" s="7" t="s">
        <v>192</v>
      </c>
      <c r="BQ32">
        <v>734710</v>
      </c>
      <c r="BR32">
        <v>937900</v>
      </c>
      <c r="BS32">
        <v>1672610</v>
      </c>
      <c r="CM32" s="15" t="s">
        <v>567</v>
      </c>
    </row>
    <row r="33" spans="1:93" x14ac:dyDescent="0.35">
      <c r="A33" s="37"/>
      <c r="B33" s="38"/>
      <c r="C33" s="39"/>
      <c r="E33" s="7" t="s">
        <v>73</v>
      </c>
      <c r="F33">
        <v>2059000</v>
      </c>
      <c r="G33">
        <v>0.61108985550000006</v>
      </c>
      <c r="H33">
        <v>8</v>
      </c>
      <c r="L33" s="7" t="s">
        <v>73</v>
      </c>
      <c r="M33" s="42">
        <v>2059000</v>
      </c>
      <c r="N33" s="42">
        <v>8</v>
      </c>
      <c r="O33" s="42">
        <v>0.61108985550000006</v>
      </c>
      <c r="AY33" s="7" t="s">
        <v>69</v>
      </c>
      <c r="AZ33" s="29">
        <v>1.5341219453027366</v>
      </c>
      <c r="BA33" s="7" t="s">
        <v>216</v>
      </c>
      <c r="BB33" s="29">
        <v>7.5481569027969642E-3</v>
      </c>
      <c r="BP33" s="7" t="s">
        <v>174</v>
      </c>
      <c r="BQ33">
        <v>578650</v>
      </c>
      <c r="BS33">
        <v>578650</v>
      </c>
      <c r="CM33" s="15" t="s">
        <v>568</v>
      </c>
    </row>
    <row r="34" spans="1:93" x14ac:dyDescent="0.35">
      <c r="E34" s="7" t="s">
        <v>77</v>
      </c>
      <c r="F34">
        <v>945000</v>
      </c>
      <c r="G34">
        <v>0.58225000000000005</v>
      </c>
      <c r="H34">
        <v>2</v>
      </c>
      <c r="L34" s="7" t="s">
        <v>77</v>
      </c>
      <c r="M34" s="42">
        <v>945000</v>
      </c>
      <c r="N34" s="42">
        <v>2</v>
      </c>
      <c r="O34" s="42">
        <v>0.58225000000000005</v>
      </c>
      <c r="AY34" s="7" t="s">
        <v>268</v>
      </c>
      <c r="AZ34" s="29">
        <v>1.526863965186533</v>
      </c>
      <c r="BA34" s="7" t="s">
        <v>193</v>
      </c>
      <c r="BB34" s="29">
        <v>7.499101003831523E-3</v>
      </c>
      <c r="BP34" s="7" t="s">
        <v>271</v>
      </c>
      <c r="BR34">
        <v>1107000</v>
      </c>
      <c r="BS34">
        <v>1107000</v>
      </c>
      <c r="CM34" s="17" t="s">
        <v>569</v>
      </c>
    </row>
    <row r="35" spans="1:93" x14ac:dyDescent="0.35">
      <c r="E35" s="7" t="s">
        <v>260</v>
      </c>
      <c r="F35">
        <v>795000</v>
      </c>
      <c r="G35">
        <v>0.68680097100000004</v>
      </c>
      <c r="H35">
        <v>2</v>
      </c>
      <c r="L35" s="7" t="s">
        <v>260</v>
      </c>
      <c r="M35" s="42">
        <v>795000</v>
      </c>
      <c r="N35" s="42">
        <v>2</v>
      </c>
      <c r="O35" s="42">
        <v>0.68680097100000004</v>
      </c>
      <c r="AY35" s="7" t="s">
        <v>19</v>
      </c>
      <c r="AZ35" s="29">
        <v>1.4569723048082763</v>
      </c>
      <c r="BA35" s="7" t="s">
        <v>96</v>
      </c>
      <c r="BB35" s="29">
        <v>6.8360666289481939E-3</v>
      </c>
      <c r="BP35" s="7" t="s">
        <v>277</v>
      </c>
      <c r="BQ35">
        <v>342700</v>
      </c>
      <c r="BR35">
        <v>572500</v>
      </c>
      <c r="BS35">
        <v>915200</v>
      </c>
    </row>
    <row r="36" spans="1:93" x14ac:dyDescent="0.35">
      <c r="E36" s="7" t="s">
        <v>68</v>
      </c>
      <c r="F36">
        <v>2447400</v>
      </c>
      <c r="G36">
        <v>1798.4279322151667</v>
      </c>
      <c r="H36">
        <v>6</v>
      </c>
      <c r="L36" s="7" t="s">
        <v>68</v>
      </c>
      <c r="M36" s="42">
        <v>1322400</v>
      </c>
      <c r="N36" s="42">
        <v>5</v>
      </c>
      <c r="O36" s="42">
        <v>0.71351865820000016</v>
      </c>
      <c r="AY36" s="7" t="s">
        <v>111</v>
      </c>
      <c r="AZ36" s="29">
        <v>1.3870806444300194</v>
      </c>
      <c r="BA36" s="7" t="s">
        <v>77</v>
      </c>
      <c r="BB36" s="29">
        <v>6.7292530878708791E-3</v>
      </c>
      <c r="BP36" s="7" t="s">
        <v>205</v>
      </c>
      <c r="BQ36">
        <v>100000</v>
      </c>
      <c r="BS36">
        <v>100000</v>
      </c>
      <c r="CM36" s="15" t="s">
        <v>585</v>
      </c>
    </row>
    <row r="37" spans="1:93" x14ac:dyDescent="0.35">
      <c r="E37" s="7" t="s">
        <v>81</v>
      </c>
      <c r="F37">
        <v>209000</v>
      </c>
      <c r="G37">
        <v>0.89359999999999995</v>
      </c>
      <c r="H37">
        <v>1</v>
      </c>
      <c r="L37" s="7" t="s">
        <v>81</v>
      </c>
      <c r="M37" s="42">
        <v>209000</v>
      </c>
      <c r="N37" s="42">
        <v>1</v>
      </c>
      <c r="O37" s="42">
        <v>0.89359999999999995</v>
      </c>
      <c r="AY37" s="7" t="s">
        <v>92</v>
      </c>
      <c r="AZ37" s="29">
        <v>1.3507907438490014</v>
      </c>
      <c r="BA37" s="7" t="s">
        <v>210</v>
      </c>
      <c r="BB37" s="29">
        <v>6.6509231577475143E-3</v>
      </c>
      <c r="BP37" s="7" t="s">
        <v>215</v>
      </c>
      <c r="BQ37">
        <v>238521</v>
      </c>
      <c r="BS37">
        <v>238521</v>
      </c>
    </row>
    <row r="38" spans="1:93" x14ac:dyDescent="0.35">
      <c r="E38" s="7" t="s">
        <v>83</v>
      </c>
      <c r="F38">
        <v>681000</v>
      </c>
      <c r="G38">
        <v>0.69000745350000003</v>
      </c>
      <c r="H38">
        <v>2</v>
      </c>
      <c r="L38" s="7" t="s">
        <v>83</v>
      </c>
      <c r="M38" s="42">
        <v>681000</v>
      </c>
      <c r="N38" s="42">
        <v>2</v>
      </c>
      <c r="O38" s="42">
        <v>0.69000745350000003</v>
      </c>
      <c r="AY38" s="7" t="s">
        <v>413</v>
      </c>
      <c r="AZ38" s="29">
        <v>1.2881570635869484</v>
      </c>
      <c r="BA38" s="7" t="s">
        <v>277</v>
      </c>
      <c r="BB38" s="29">
        <v>6.5170501862639452E-3</v>
      </c>
      <c r="BP38" s="7" t="s">
        <v>321</v>
      </c>
      <c r="BQ38">
        <v>281000</v>
      </c>
      <c r="BS38">
        <v>281000</v>
      </c>
    </row>
    <row r="39" spans="1:93" x14ac:dyDescent="0.35">
      <c r="E39" s="7" t="s">
        <v>85</v>
      </c>
      <c r="F39">
        <v>11555000</v>
      </c>
      <c r="G39">
        <v>0.67468000000000006</v>
      </c>
      <c r="H39">
        <v>5</v>
      </c>
      <c r="L39" s="7" t="s">
        <v>85</v>
      </c>
      <c r="M39" s="42">
        <v>11555000</v>
      </c>
      <c r="N39" s="42">
        <v>5</v>
      </c>
      <c r="O39" s="42">
        <v>0.67468000000000006</v>
      </c>
      <c r="AY39" s="7" t="s">
        <v>56</v>
      </c>
      <c r="AZ39" s="29">
        <v>1.2478994672090724</v>
      </c>
      <c r="BA39" s="7" t="s">
        <v>136</v>
      </c>
      <c r="BB39" s="29">
        <v>6.2663944098691783E-3</v>
      </c>
      <c r="BP39" s="7" t="s">
        <v>440</v>
      </c>
      <c r="BQ39">
        <v>3583931</v>
      </c>
      <c r="BR39">
        <v>6247300</v>
      </c>
      <c r="BS39">
        <v>9831231</v>
      </c>
      <c r="CN39" s="6" t="s">
        <v>439</v>
      </c>
      <c r="CO39" t="s">
        <v>441</v>
      </c>
    </row>
    <row r="40" spans="1:93" x14ac:dyDescent="0.35">
      <c r="A40" s="6" t="s">
        <v>439</v>
      </c>
      <c r="E40" s="7" t="s">
        <v>90</v>
      </c>
      <c r="F40">
        <v>302000</v>
      </c>
      <c r="G40">
        <v>0.57289999999999996</v>
      </c>
      <c r="H40">
        <v>1</v>
      </c>
      <c r="L40" s="7" t="s">
        <v>90</v>
      </c>
      <c r="M40" s="42">
        <v>302000</v>
      </c>
      <c r="N40" s="42">
        <v>1</v>
      </c>
      <c r="O40" s="42">
        <v>0.57289999999999996</v>
      </c>
      <c r="AY40" s="7" t="s">
        <v>130</v>
      </c>
      <c r="AZ40" s="29">
        <v>1.2365447605383895</v>
      </c>
      <c r="BA40" s="7" t="s">
        <v>64</v>
      </c>
      <c r="BB40" s="29">
        <v>6.2165480906997642E-3</v>
      </c>
      <c r="CN40" s="7" t="s">
        <v>570</v>
      </c>
      <c r="CO40" s="42">
        <v>7174368</v>
      </c>
    </row>
    <row r="41" spans="1:93" x14ac:dyDescent="0.35">
      <c r="A41" s="7" t="s">
        <v>8</v>
      </c>
      <c r="E41" s="7" t="s">
        <v>92</v>
      </c>
      <c r="F41">
        <v>2512500</v>
      </c>
      <c r="G41">
        <v>0.52295699299999998</v>
      </c>
      <c r="H41">
        <v>4</v>
      </c>
      <c r="L41" s="7" t="s">
        <v>92</v>
      </c>
      <c r="M41" s="42">
        <v>2512500</v>
      </c>
      <c r="N41" s="42">
        <v>4</v>
      </c>
      <c r="O41" s="42">
        <v>0.52295699299999998</v>
      </c>
      <c r="AY41" s="7" t="s">
        <v>341</v>
      </c>
      <c r="AZ41" s="29">
        <v>1.2311684789708313</v>
      </c>
      <c r="BA41" s="7" t="s">
        <v>187</v>
      </c>
      <c r="BB41" s="29">
        <v>6.2008821046750911E-3</v>
      </c>
      <c r="CN41" s="13" t="s">
        <v>579</v>
      </c>
      <c r="CO41" s="42">
        <v>59000</v>
      </c>
    </row>
    <row r="42" spans="1:93" x14ac:dyDescent="0.35">
      <c r="A42" s="7" t="s">
        <v>11</v>
      </c>
      <c r="E42" s="7" t="s">
        <v>96</v>
      </c>
      <c r="F42">
        <v>960000</v>
      </c>
      <c r="G42">
        <v>0.59893636366666669</v>
      </c>
      <c r="H42">
        <v>3</v>
      </c>
      <c r="L42" s="7" t="s">
        <v>96</v>
      </c>
      <c r="M42" s="42">
        <v>960000</v>
      </c>
      <c r="N42" s="42">
        <v>3</v>
      </c>
      <c r="O42" s="42">
        <v>0.59893636366666669</v>
      </c>
      <c r="AY42" s="7" t="s">
        <v>271</v>
      </c>
      <c r="AZ42" s="29">
        <v>1.1903087390573888</v>
      </c>
      <c r="BA42" s="7" t="s">
        <v>184</v>
      </c>
      <c r="BB42" s="29">
        <v>6.1951853824843009E-3</v>
      </c>
      <c r="CN42" s="13" t="s">
        <v>575</v>
      </c>
      <c r="CO42" s="42">
        <v>437368</v>
      </c>
    </row>
    <row r="43" spans="1:93" x14ac:dyDescent="0.35">
      <c r="A43" s="7" t="s">
        <v>14</v>
      </c>
      <c r="E43" s="7" t="s">
        <v>84</v>
      </c>
      <c r="F43">
        <v>444000</v>
      </c>
      <c r="G43">
        <v>0.70150919850000004</v>
      </c>
      <c r="H43">
        <v>2</v>
      </c>
      <c r="L43" s="7" t="s">
        <v>84</v>
      </c>
      <c r="M43" s="42">
        <v>444000</v>
      </c>
      <c r="N43" s="42">
        <v>2</v>
      </c>
      <c r="O43" s="42">
        <v>0.70150919850000004</v>
      </c>
      <c r="AY43" s="7" t="s">
        <v>151</v>
      </c>
      <c r="AZ43" s="29">
        <v>1.1827819448628072</v>
      </c>
      <c r="BA43" s="7" t="s">
        <v>140</v>
      </c>
      <c r="BB43" s="29">
        <v>6.0492068763453033E-3</v>
      </c>
      <c r="CN43" s="13" t="s">
        <v>456</v>
      </c>
      <c r="CO43" s="42">
        <v>6678000</v>
      </c>
    </row>
    <row r="44" spans="1:93" x14ac:dyDescent="0.35">
      <c r="A44" s="7" t="s">
        <v>19</v>
      </c>
      <c r="E44" s="7" t="s">
        <v>98</v>
      </c>
      <c r="F44">
        <v>2497900</v>
      </c>
      <c r="G44">
        <v>0.44096666669999995</v>
      </c>
      <c r="H44">
        <v>10</v>
      </c>
      <c r="L44" s="7" t="s">
        <v>98</v>
      </c>
      <c r="M44" s="42">
        <v>2497900</v>
      </c>
      <c r="N44" s="42">
        <v>10</v>
      </c>
      <c r="O44" s="42">
        <v>0.44096666669999995</v>
      </c>
      <c r="AY44" s="7" t="s">
        <v>181</v>
      </c>
      <c r="AZ44" s="29">
        <v>1.1270685207339661</v>
      </c>
      <c r="BA44" s="7" t="s">
        <v>21</v>
      </c>
      <c r="BB44" s="29">
        <v>5.6611176770977236E-3</v>
      </c>
      <c r="CN44" s="7" t="s">
        <v>571</v>
      </c>
      <c r="CO44" s="42">
        <v>346000</v>
      </c>
    </row>
    <row r="45" spans="1:93" x14ac:dyDescent="0.35">
      <c r="A45" s="7" t="s">
        <v>21</v>
      </c>
      <c r="E45" s="7" t="s">
        <v>106</v>
      </c>
      <c r="F45">
        <v>360000</v>
      </c>
      <c r="G45">
        <v>0.54100000000000004</v>
      </c>
      <c r="H45">
        <v>1</v>
      </c>
      <c r="L45" s="7" t="s">
        <v>106</v>
      </c>
      <c r="M45" s="42">
        <v>360000</v>
      </c>
      <c r="N45" s="42">
        <v>1</v>
      </c>
      <c r="O45" s="42">
        <v>0.54100000000000004</v>
      </c>
      <c r="AY45" s="7" t="s">
        <v>252</v>
      </c>
      <c r="AZ45" s="29">
        <v>1.0799874412910941</v>
      </c>
      <c r="BA45" s="7" t="s">
        <v>260</v>
      </c>
      <c r="BB45" s="29">
        <v>5.6611176770977236E-3</v>
      </c>
      <c r="CN45" s="13" t="s">
        <v>579</v>
      </c>
      <c r="CO45" s="42">
        <v>108000</v>
      </c>
    </row>
    <row r="46" spans="1:93" x14ac:dyDescent="0.35">
      <c r="A46" s="7" t="s">
        <v>23</v>
      </c>
      <c r="E46" s="7" t="s">
        <v>109</v>
      </c>
      <c r="F46">
        <v>150000</v>
      </c>
      <c r="G46">
        <v>0.95479999999999998</v>
      </c>
      <c r="H46">
        <v>1</v>
      </c>
      <c r="L46" s="7" t="s">
        <v>109</v>
      </c>
      <c r="M46" s="42">
        <v>150000</v>
      </c>
      <c r="N46" s="42">
        <v>1</v>
      </c>
      <c r="O46" s="42">
        <v>0.95479999999999998</v>
      </c>
      <c r="AY46" s="7" t="s">
        <v>77</v>
      </c>
      <c r="AZ46" s="29">
        <v>1.0161172162685026</v>
      </c>
      <c r="BA46" s="7" t="s">
        <v>135</v>
      </c>
      <c r="BB46" s="29">
        <v>5.6397549688822603E-3</v>
      </c>
      <c r="CN46" s="13" t="s">
        <v>580</v>
      </c>
      <c r="CO46" s="42">
        <v>156000</v>
      </c>
    </row>
    <row r="47" spans="1:93" x14ac:dyDescent="0.35">
      <c r="A47" s="7" t="s">
        <v>25</v>
      </c>
      <c r="E47" s="7" t="s">
        <v>111</v>
      </c>
      <c r="F47">
        <v>645000</v>
      </c>
      <c r="G47">
        <v>0.54879999999999995</v>
      </c>
      <c r="H47">
        <v>1</v>
      </c>
      <c r="L47" s="7" t="s">
        <v>111</v>
      </c>
      <c r="M47" s="42">
        <v>645000</v>
      </c>
      <c r="N47" s="42">
        <v>1</v>
      </c>
      <c r="O47" s="42">
        <v>0.54879999999999995</v>
      </c>
      <c r="AY47" s="7" t="s">
        <v>157</v>
      </c>
      <c r="AZ47" s="29">
        <v>0.98923580843071157</v>
      </c>
      <c r="BA47" s="7" t="s">
        <v>43</v>
      </c>
      <c r="BB47" s="29">
        <v>5.5108666293156331E-3</v>
      </c>
      <c r="CN47" s="13" t="s">
        <v>456</v>
      </c>
      <c r="CO47" s="42">
        <v>30000</v>
      </c>
    </row>
    <row r="48" spans="1:93" x14ac:dyDescent="0.35">
      <c r="A48" s="7" t="s">
        <v>27</v>
      </c>
      <c r="E48" s="7" t="s">
        <v>113</v>
      </c>
      <c r="F48">
        <v>229900</v>
      </c>
      <c r="G48">
        <v>0.52849999999999997</v>
      </c>
      <c r="H48">
        <v>1</v>
      </c>
      <c r="L48" s="7" t="s">
        <v>113</v>
      </c>
      <c r="M48" s="42">
        <v>229900</v>
      </c>
      <c r="N48" s="42">
        <v>1</v>
      </c>
      <c r="O48" s="42">
        <v>0.52849999999999997</v>
      </c>
      <c r="AY48" s="7" t="s">
        <v>170</v>
      </c>
      <c r="AZ48" s="29">
        <v>0.95303192835477457</v>
      </c>
      <c r="BA48" s="7" t="s">
        <v>283</v>
      </c>
      <c r="BB48" s="29">
        <v>5.3798420189274596E-3</v>
      </c>
      <c r="CN48" s="13" t="s">
        <v>576</v>
      </c>
      <c r="CO48" s="42">
        <v>52000</v>
      </c>
    </row>
    <row r="49" spans="1:93" x14ac:dyDescent="0.35">
      <c r="A49" s="7" t="s">
        <v>29</v>
      </c>
      <c r="E49" s="7" t="s">
        <v>261</v>
      </c>
      <c r="F49">
        <v>124000</v>
      </c>
      <c r="G49">
        <v>0.74854838700000004</v>
      </c>
      <c r="H49">
        <v>1</v>
      </c>
      <c r="L49" s="7" t="s">
        <v>261</v>
      </c>
      <c r="M49" s="42">
        <v>124000</v>
      </c>
      <c r="N49" s="42">
        <v>1</v>
      </c>
      <c r="O49" s="42">
        <v>0.74854838700000004</v>
      </c>
      <c r="AY49" s="7" t="s">
        <v>136</v>
      </c>
      <c r="AZ49" s="29">
        <v>0.94622555589024582</v>
      </c>
      <c r="BA49" s="7" t="s">
        <v>52</v>
      </c>
      <c r="BB49" s="29">
        <v>5.1626544854035845E-3</v>
      </c>
      <c r="CN49" s="7" t="s">
        <v>572</v>
      </c>
      <c r="CO49" s="42">
        <v>16251905</v>
      </c>
    </row>
    <row r="50" spans="1:93" x14ac:dyDescent="0.35">
      <c r="A50" s="7" t="s">
        <v>282</v>
      </c>
      <c r="E50" s="7" t="s">
        <v>115</v>
      </c>
      <c r="F50">
        <v>200000</v>
      </c>
      <c r="G50">
        <v>0.74780000000000002</v>
      </c>
      <c r="H50">
        <v>1</v>
      </c>
      <c r="L50" s="7" t="s">
        <v>115</v>
      </c>
      <c r="M50" s="42">
        <v>200000</v>
      </c>
      <c r="N50" s="42">
        <v>1</v>
      </c>
      <c r="O50" s="42">
        <v>0.74780000000000002</v>
      </c>
      <c r="AY50" s="7" t="s">
        <v>180</v>
      </c>
      <c r="AZ50" s="29">
        <v>0.93547299275512941</v>
      </c>
      <c r="BA50" s="7" t="s">
        <v>264</v>
      </c>
      <c r="BB50" s="29">
        <v>5.1323906487650119E-3</v>
      </c>
      <c r="CN50" s="13" t="s">
        <v>581</v>
      </c>
      <c r="CO50" s="42">
        <v>61000</v>
      </c>
    </row>
    <row r="51" spans="1:93" x14ac:dyDescent="0.35">
      <c r="A51" s="7" t="s">
        <v>32</v>
      </c>
      <c r="E51" s="7" t="s">
        <v>286</v>
      </c>
      <c r="F51">
        <v>260000</v>
      </c>
      <c r="G51">
        <v>0.78307692299999998</v>
      </c>
      <c r="H51">
        <v>1</v>
      </c>
      <c r="L51" s="7" t="s">
        <v>286</v>
      </c>
      <c r="M51" s="42">
        <v>260000</v>
      </c>
      <c r="N51" s="42">
        <v>1</v>
      </c>
      <c r="O51" s="42">
        <v>0.78307692299999998</v>
      </c>
      <c r="AY51" s="7" t="s">
        <v>11</v>
      </c>
      <c r="AZ51" s="29">
        <v>0.924720429620013</v>
      </c>
      <c r="BA51" s="7" t="s">
        <v>268</v>
      </c>
      <c r="BB51" s="29">
        <v>5.0558409443262689E-3</v>
      </c>
      <c r="CN51" s="13" t="s">
        <v>575</v>
      </c>
      <c r="CO51" s="42">
        <v>153000</v>
      </c>
    </row>
    <row r="52" spans="1:93" x14ac:dyDescent="0.35">
      <c r="A52" s="7" t="s">
        <v>37</v>
      </c>
      <c r="E52" s="7" t="s">
        <v>117</v>
      </c>
      <c r="F52">
        <v>1242500</v>
      </c>
      <c r="G52">
        <v>0.59591651933333345</v>
      </c>
      <c r="H52">
        <v>3</v>
      </c>
      <c r="L52" s="7" t="s">
        <v>117</v>
      </c>
      <c r="M52" s="42">
        <v>1242500</v>
      </c>
      <c r="N52" s="42">
        <v>3</v>
      </c>
      <c r="O52" s="42">
        <v>0.59591651933333345</v>
      </c>
      <c r="AY52" s="7" t="s">
        <v>206</v>
      </c>
      <c r="AZ52" s="29">
        <v>0.9049567884751436</v>
      </c>
      <c r="BA52" s="7" t="s">
        <v>139</v>
      </c>
      <c r="BB52" s="29">
        <v>4.8600517235315496E-3</v>
      </c>
      <c r="CN52" s="13" t="s">
        <v>578</v>
      </c>
      <c r="CO52" s="42">
        <v>6832000</v>
      </c>
    </row>
    <row r="53" spans="1:93" x14ac:dyDescent="0.35">
      <c r="A53" s="7" t="s">
        <v>413</v>
      </c>
      <c r="E53" s="7" t="s">
        <v>123</v>
      </c>
      <c r="F53">
        <v>345000</v>
      </c>
      <c r="G53">
        <v>0.49099999999999999</v>
      </c>
      <c r="H53">
        <v>1</v>
      </c>
      <c r="L53" s="7" t="s">
        <v>123</v>
      </c>
      <c r="M53" s="42">
        <v>345000</v>
      </c>
      <c r="N53" s="42">
        <v>1</v>
      </c>
      <c r="O53" s="42">
        <v>0.49099999999999999</v>
      </c>
      <c r="AY53" s="7" t="s">
        <v>46</v>
      </c>
      <c r="AZ53" s="29">
        <v>0.90063468819735215</v>
      </c>
      <c r="BA53" s="7" t="s">
        <v>83</v>
      </c>
      <c r="BB53" s="29">
        <v>4.8493347649101251E-3</v>
      </c>
      <c r="CN53" s="13" t="s">
        <v>584</v>
      </c>
      <c r="CO53" s="42">
        <v>3652005</v>
      </c>
    </row>
    <row r="54" spans="1:93" x14ac:dyDescent="0.35">
      <c r="A54" s="7" t="s">
        <v>41</v>
      </c>
      <c r="E54" s="7" t="s">
        <v>125</v>
      </c>
      <c r="F54">
        <v>1432000</v>
      </c>
      <c r="G54">
        <v>212.2956397275</v>
      </c>
      <c r="H54">
        <v>8</v>
      </c>
      <c r="L54" s="7" t="s">
        <v>125</v>
      </c>
      <c r="M54" s="42">
        <v>1402000</v>
      </c>
      <c r="N54" s="42">
        <v>7</v>
      </c>
      <c r="O54" s="42">
        <v>0.62358826000000001</v>
      </c>
      <c r="AY54" s="7" t="s">
        <v>117</v>
      </c>
      <c r="AZ54" s="29">
        <v>0.89067064635881099</v>
      </c>
      <c r="BA54" s="7" t="s">
        <v>19</v>
      </c>
      <c r="BB54" s="29">
        <v>4.8244116053254181E-3</v>
      </c>
      <c r="CN54" s="13" t="s">
        <v>574</v>
      </c>
      <c r="CO54" s="42">
        <v>5553900</v>
      </c>
    </row>
    <row r="55" spans="1:93" x14ac:dyDescent="0.35">
      <c r="A55" s="7" t="s">
        <v>43</v>
      </c>
      <c r="E55" s="7" t="s">
        <v>281</v>
      </c>
      <c r="F55">
        <v>153000</v>
      </c>
      <c r="G55">
        <v>0.60309999999999997</v>
      </c>
      <c r="H55">
        <v>1</v>
      </c>
      <c r="L55" s="7" t="s">
        <v>281</v>
      </c>
      <c r="M55" s="42">
        <v>153000</v>
      </c>
      <c r="N55" s="42">
        <v>1</v>
      </c>
      <c r="O55" s="42">
        <v>0.60309999999999997</v>
      </c>
      <c r="AY55" s="7" t="s">
        <v>260</v>
      </c>
      <c r="AZ55" s="29">
        <v>0.85482876924175621</v>
      </c>
      <c r="BA55" s="7" t="s">
        <v>111</v>
      </c>
      <c r="BB55" s="29">
        <v>4.5929822663245681E-3</v>
      </c>
      <c r="CN55" s="7" t="s">
        <v>573</v>
      </c>
      <c r="CO55" s="42">
        <v>81904076</v>
      </c>
    </row>
    <row r="56" spans="1:93" x14ac:dyDescent="0.35">
      <c r="A56" s="7" t="s">
        <v>46</v>
      </c>
      <c r="E56" s="7" t="s">
        <v>108</v>
      </c>
      <c r="F56">
        <v>742500</v>
      </c>
      <c r="G56">
        <v>404732343.51889998</v>
      </c>
      <c r="H56">
        <v>3</v>
      </c>
      <c r="L56" s="7" t="s">
        <v>108</v>
      </c>
      <c r="M56" s="42">
        <v>325000</v>
      </c>
      <c r="N56" s="42">
        <v>1</v>
      </c>
      <c r="O56" s="42">
        <v>0.55669999999999997</v>
      </c>
      <c r="AY56" s="7" t="s">
        <v>135</v>
      </c>
      <c r="AZ56" s="29">
        <v>0.85160300030122127</v>
      </c>
      <c r="BA56" s="7" t="s">
        <v>244</v>
      </c>
      <c r="BB56" s="29">
        <v>4.4676543781271847E-3</v>
      </c>
      <c r="CN56" s="13" t="s">
        <v>579</v>
      </c>
      <c r="CO56" s="42">
        <v>7165711</v>
      </c>
    </row>
    <row r="57" spans="1:93" x14ac:dyDescent="0.35">
      <c r="A57" s="7" t="s">
        <v>48</v>
      </c>
      <c r="E57" s="7" t="s">
        <v>136</v>
      </c>
      <c r="F57">
        <v>880000</v>
      </c>
      <c r="G57">
        <v>0.60759130449999998</v>
      </c>
      <c r="H57">
        <v>2</v>
      </c>
      <c r="L57" s="7" t="s">
        <v>136</v>
      </c>
      <c r="M57" s="42">
        <v>880000</v>
      </c>
      <c r="N57" s="42">
        <v>2</v>
      </c>
      <c r="O57" s="42">
        <v>0.60759130449999998</v>
      </c>
      <c r="AY57" s="7" t="s">
        <v>48</v>
      </c>
      <c r="AZ57" s="29">
        <v>0.84300094979312812</v>
      </c>
      <c r="BA57" s="7" t="s">
        <v>413</v>
      </c>
      <c r="BB57" s="29">
        <v>4.2654207403541337E-3</v>
      </c>
      <c r="CN57" s="13" t="s">
        <v>580</v>
      </c>
      <c r="CO57" s="42">
        <v>5871800</v>
      </c>
    </row>
    <row r="58" spans="1:93" x14ac:dyDescent="0.35">
      <c r="A58" s="7" t="s">
        <v>50</v>
      </c>
      <c r="E58" s="7" t="s">
        <v>140</v>
      </c>
      <c r="F58">
        <v>849500</v>
      </c>
      <c r="G58">
        <v>0.56330000000000002</v>
      </c>
      <c r="H58">
        <v>4</v>
      </c>
      <c r="L58" s="7" t="s">
        <v>140</v>
      </c>
      <c r="M58" s="42">
        <v>849500</v>
      </c>
      <c r="N58" s="42">
        <v>4</v>
      </c>
      <c r="O58" s="42">
        <v>0.56330000000000002</v>
      </c>
      <c r="AY58" s="7" t="s">
        <v>50</v>
      </c>
      <c r="AZ58" s="29">
        <v>0.82794736140396508</v>
      </c>
      <c r="BA58" s="7" t="s">
        <v>174</v>
      </c>
      <c r="BB58" s="29">
        <v>4.1205103696259088E-3</v>
      </c>
      <c r="CN58" s="13" t="s">
        <v>581</v>
      </c>
      <c r="CO58" s="42">
        <v>8519700</v>
      </c>
    </row>
    <row r="59" spans="1:93" x14ac:dyDescent="0.35">
      <c r="A59" s="7" t="s">
        <v>52</v>
      </c>
      <c r="E59" s="7" t="s">
        <v>146</v>
      </c>
      <c r="F59">
        <v>2225300</v>
      </c>
      <c r="G59">
        <v>188477011.96726671</v>
      </c>
      <c r="H59">
        <v>6</v>
      </c>
      <c r="L59" s="7" t="s">
        <v>146</v>
      </c>
      <c r="M59" s="42">
        <v>1471300</v>
      </c>
      <c r="N59" s="42">
        <v>5</v>
      </c>
      <c r="O59" s="42">
        <v>0.56072000000000011</v>
      </c>
      <c r="AY59" s="7" t="s">
        <v>129</v>
      </c>
      <c r="AZ59" s="29">
        <v>0.82579684877694182</v>
      </c>
      <c r="BA59" s="7" t="s">
        <v>130</v>
      </c>
      <c r="BB59" s="29">
        <v>4.094519074630429E-3</v>
      </c>
      <c r="CN59" s="13" t="s">
        <v>575</v>
      </c>
      <c r="CO59" s="42">
        <v>9336250</v>
      </c>
    </row>
    <row r="60" spans="1:93" x14ac:dyDescent="0.35">
      <c r="A60" s="7" t="s">
        <v>54</v>
      </c>
      <c r="E60" s="7" t="s">
        <v>152</v>
      </c>
      <c r="F60">
        <v>3812000</v>
      </c>
      <c r="G60">
        <v>352906287.42113334</v>
      </c>
      <c r="H60">
        <v>3</v>
      </c>
      <c r="L60" s="7" t="s">
        <v>152</v>
      </c>
      <c r="M60" s="42">
        <v>3250000</v>
      </c>
      <c r="N60" s="42">
        <v>2</v>
      </c>
      <c r="O60" s="42">
        <v>0.63169999999999993</v>
      </c>
      <c r="AY60" s="7" t="s">
        <v>52</v>
      </c>
      <c r="AZ60" s="29">
        <v>0.77956082729594123</v>
      </c>
      <c r="BA60" s="7" t="s">
        <v>341</v>
      </c>
      <c r="BB60" s="29">
        <v>4.0767168177842095E-3</v>
      </c>
      <c r="CN60" s="13" t="s">
        <v>456</v>
      </c>
      <c r="CO60" s="42">
        <v>7091650</v>
      </c>
    </row>
    <row r="61" spans="1:93" x14ac:dyDescent="0.35">
      <c r="A61" s="7" t="s">
        <v>56</v>
      </c>
      <c r="E61" s="7" t="s">
        <v>155</v>
      </c>
      <c r="F61">
        <v>240000</v>
      </c>
      <c r="G61">
        <v>0.44790000000000002</v>
      </c>
      <c r="H61">
        <v>1</v>
      </c>
      <c r="L61" s="7" t="s">
        <v>155</v>
      </c>
      <c r="M61" s="42">
        <v>240000</v>
      </c>
      <c r="N61" s="42">
        <v>1</v>
      </c>
      <c r="O61" s="42">
        <v>0.44790000000000002</v>
      </c>
      <c r="AY61" s="7" t="s">
        <v>133</v>
      </c>
      <c r="AZ61" s="29">
        <v>0.7769802121435132</v>
      </c>
      <c r="BA61" s="7" t="s">
        <v>151</v>
      </c>
      <c r="BB61" s="29">
        <v>3.916496506168236E-3</v>
      </c>
      <c r="CN61" s="13" t="s">
        <v>576</v>
      </c>
      <c r="CO61" s="42">
        <v>9113300</v>
      </c>
    </row>
    <row r="62" spans="1:93" x14ac:dyDescent="0.35">
      <c r="A62" s="7" t="s">
        <v>284</v>
      </c>
      <c r="E62" s="7" t="s">
        <v>157</v>
      </c>
      <c r="F62">
        <v>460000</v>
      </c>
      <c r="G62">
        <v>0.51949999999999996</v>
      </c>
      <c r="H62">
        <v>1</v>
      </c>
      <c r="L62" s="7" t="s">
        <v>157</v>
      </c>
      <c r="M62" s="42">
        <v>460000</v>
      </c>
      <c r="N62" s="42">
        <v>1</v>
      </c>
      <c r="O62" s="42">
        <v>0.51949999999999996</v>
      </c>
      <c r="AY62" s="7" t="s">
        <v>106</v>
      </c>
      <c r="AZ62" s="29">
        <v>0.77418454572838291</v>
      </c>
      <c r="BA62" s="7" t="s">
        <v>8</v>
      </c>
      <c r="BB62" s="29">
        <v>3.5604513692438513E-3</v>
      </c>
      <c r="CN62" s="13" t="s">
        <v>582</v>
      </c>
      <c r="CO62" s="42">
        <v>18232500</v>
      </c>
    </row>
    <row r="63" spans="1:93" x14ac:dyDescent="0.35">
      <c r="A63" s="7" t="s">
        <v>64</v>
      </c>
      <c r="E63" s="7" t="s">
        <v>159</v>
      </c>
      <c r="F63">
        <v>2184500</v>
      </c>
      <c r="G63">
        <v>0.58466482500000005</v>
      </c>
      <c r="H63">
        <v>9</v>
      </c>
      <c r="L63" s="7" t="s">
        <v>159</v>
      </c>
      <c r="M63" s="42">
        <v>2184500</v>
      </c>
      <c r="N63" s="42">
        <v>9</v>
      </c>
      <c r="O63" s="42">
        <v>0.58466482500000005</v>
      </c>
      <c r="AY63" s="7" t="s">
        <v>25</v>
      </c>
      <c r="AZ63" s="29">
        <v>0.75698044471219672</v>
      </c>
      <c r="BA63" s="7" t="s">
        <v>41</v>
      </c>
      <c r="BB63" s="29">
        <v>3.5426491123976321E-3</v>
      </c>
      <c r="CN63" s="13" t="s">
        <v>577</v>
      </c>
      <c r="CO63" s="42">
        <v>7569800</v>
      </c>
    </row>
    <row r="64" spans="1:93" x14ac:dyDescent="0.35">
      <c r="A64" s="7" t="s">
        <v>285</v>
      </c>
      <c r="E64" s="7" t="s">
        <v>144</v>
      </c>
      <c r="F64">
        <v>6723500</v>
      </c>
      <c r="G64">
        <v>0.29515794133333334</v>
      </c>
      <c r="H64">
        <v>3</v>
      </c>
      <c r="L64" s="7" t="s">
        <v>144</v>
      </c>
      <c r="M64" s="42">
        <v>6723500</v>
      </c>
      <c r="N64" s="42">
        <v>3</v>
      </c>
      <c r="O64" s="42">
        <v>0.29515794133333334</v>
      </c>
      <c r="AY64" s="7" t="s">
        <v>193</v>
      </c>
      <c r="AZ64" s="29">
        <v>0.7549095010523732</v>
      </c>
      <c r="BA64" s="7" t="s">
        <v>282</v>
      </c>
      <c r="BB64" s="29">
        <v>3.4215937658433411E-3</v>
      </c>
      <c r="CN64" s="13" t="s">
        <v>583</v>
      </c>
      <c r="CO64" s="42">
        <v>9003365</v>
      </c>
    </row>
    <row r="65" spans="1:98" x14ac:dyDescent="0.35">
      <c r="A65" s="7" t="s">
        <v>308</v>
      </c>
      <c r="E65" s="7" t="s">
        <v>182</v>
      </c>
      <c r="F65">
        <v>388000</v>
      </c>
      <c r="G65">
        <v>0.738375</v>
      </c>
      <c r="H65">
        <v>2</v>
      </c>
      <c r="L65" s="7" t="s">
        <v>182</v>
      </c>
      <c r="M65" s="42">
        <v>388000</v>
      </c>
      <c r="N65" s="42">
        <v>2</v>
      </c>
      <c r="O65" s="42">
        <v>0.738375</v>
      </c>
      <c r="AY65" s="7" t="s">
        <v>123</v>
      </c>
      <c r="AZ65" s="29">
        <v>0.74192685632303368</v>
      </c>
      <c r="BA65" s="7" t="s">
        <v>157</v>
      </c>
      <c r="BB65" s="29">
        <v>3.2756152597043431E-3</v>
      </c>
      <c r="CN65" s="7" t="s">
        <v>440</v>
      </c>
      <c r="CO65" s="42">
        <v>105676349</v>
      </c>
    </row>
    <row r="66" spans="1:98" x14ac:dyDescent="0.35">
      <c r="A66" s="7" t="s">
        <v>249</v>
      </c>
      <c r="E66" s="7" t="s">
        <v>166</v>
      </c>
      <c r="F66">
        <v>2197000</v>
      </c>
      <c r="G66">
        <v>0.55868351633333335</v>
      </c>
      <c r="H66">
        <v>3</v>
      </c>
      <c r="L66" s="7" t="s">
        <v>166</v>
      </c>
      <c r="M66" s="42">
        <v>2197000</v>
      </c>
      <c r="N66" s="42">
        <v>3</v>
      </c>
      <c r="O66" s="42">
        <v>0.55868351633333335</v>
      </c>
      <c r="AY66" s="7" t="s">
        <v>29</v>
      </c>
      <c r="AZ66" s="29">
        <v>0.73377282927890364</v>
      </c>
      <c r="BA66" s="7" t="s">
        <v>84</v>
      </c>
      <c r="BB66" s="29">
        <v>3.1616808158885399E-3</v>
      </c>
    </row>
    <row r="67" spans="1:98" x14ac:dyDescent="0.35">
      <c r="A67" s="7" t="s">
        <v>66</v>
      </c>
      <c r="E67" s="7" t="s">
        <v>306</v>
      </c>
      <c r="F67">
        <v>128866</v>
      </c>
      <c r="G67">
        <v>0.68287989100000002</v>
      </c>
      <c r="H67">
        <v>1</v>
      </c>
      <c r="L67" s="7" t="s">
        <v>306</v>
      </c>
      <c r="M67" s="42">
        <v>128866</v>
      </c>
      <c r="N67" s="42">
        <v>1</v>
      </c>
      <c r="O67" s="42">
        <v>0.68287989100000002</v>
      </c>
      <c r="AY67" s="7" t="s">
        <v>83</v>
      </c>
      <c r="AZ67" s="29">
        <v>0.73224954950142884</v>
      </c>
      <c r="BA67" s="7" t="s">
        <v>170</v>
      </c>
      <c r="BB67" s="29">
        <v>3.1557348621019028E-3</v>
      </c>
    </row>
    <row r="68" spans="1:98" x14ac:dyDescent="0.35">
      <c r="A68" s="7" t="s">
        <v>69</v>
      </c>
      <c r="E68" s="7" t="s">
        <v>170</v>
      </c>
      <c r="F68">
        <v>443165</v>
      </c>
      <c r="G68">
        <v>0.62280000000000002</v>
      </c>
      <c r="H68">
        <v>1</v>
      </c>
      <c r="L68" s="7" t="s">
        <v>170</v>
      </c>
      <c r="M68" s="42">
        <v>443165</v>
      </c>
      <c r="N68" s="42">
        <v>1</v>
      </c>
      <c r="O68" s="42">
        <v>0.62280000000000002</v>
      </c>
      <c r="AY68" s="7" t="s">
        <v>23</v>
      </c>
      <c r="AZ68" s="29">
        <v>0.72042173005280086</v>
      </c>
      <c r="BA68" s="7" t="s">
        <v>180</v>
      </c>
      <c r="BB68" s="29">
        <v>3.0975926912421505E-3</v>
      </c>
      <c r="CM68" s="15" t="s">
        <v>587</v>
      </c>
      <c r="CP68" s="5" t="s">
        <v>778</v>
      </c>
    </row>
    <row r="69" spans="1:98" x14ac:dyDescent="0.35">
      <c r="A69" s="7" t="s">
        <v>73</v>
      </c>
      <c r="E69" s="7" t="s">
        <v>122</v>
      </c>
      <c r="F69">
        <v>2689400</v>
      </c>
      <c r="G69">
        <v>0.5245863335555554</v>
      </c>
      <c r="H69">
        <v>9</v>
      </c>
      <c r="L69" s="7" t="s">
        <v>122</v>
      </c>
      <c r="M69" s="42">
        <v>2689400</v>
      </c>
      <c r="N69" s="42">
        <v>9</v>
      </c>
      <c r="O69" s="42">
        <v>0.5245863335555554</v>
      </c>
      <c r="AY69" s="7" t="s">
        <v>108</v>
      </c>
      <c r="AZ69" s="29">
        <v>0.69891660378256792</v>
      </c>
      <c r="BA69" s="7" t="s">
        <v>241</v>
      </c>
      <c r="BB69" s="29">
        <v>3.068396990014351E-3</v>
      </c>
    </row>
    <row r="70" spans="1:98" x14ac:dyDescent="0.35">
      <c r="A70" s="7" t="s">
        <v>77</v>
      </c>
      <c r="E70" s="7" t="s">
        <v>133</v>
      </c>
      <c r="F70">
        <v>1806500</v>
      </c>
      <c r="G70">
        <v>0.68049831939999994</v>
      </c>
      <c r="H70">
        <v>5</v>
      </c>
      <c r="L70" s="7" t="s">
        <v>133</v>
      </c>
      <c r="M70" s="42">
        <v>1806500</v>
      </c>
      <c r="N70" s="42">
        <v>5</v>
      </c>
      <c r="O70" s="42">
        <v>0.68049831939999994</v>
      </c>
      <c r="AY70" s="7" t="s">
        <v>96</v>
      </c>
      <c r="AZ70" s="29">
        <v>0.68816404064745151</v>
      </c>
      <c r="BA70" s="7" t="s">
        <v>11</v>
      </c>
      <c r="BB70" s="29">
        <v>3.0619881775497122E-3</v>
      </c>
      <c r="CM70" t="s">
        <v>447</v>
      </c>
      <c r="CN70" t="s">
        <v>586</v>
      </c>
      <c r="CP70" s="6" t="s">
        <v>441</v>
      </c>
      <c r="CQ70" s="6" t="s">
        <v>448</v>
      </c>
    </row>
    <row r="71" spans="1:98" x14ac:dyDescent="0.35">
      <c r="A71" s="7" t="s">
        <v>260</v>
      </c>
      <c r="E71" s="7" t="s">
        <v>341</v>
      </c>
      <c r="F71">
        <v>572500</v>
      </c>
      <c r="G71">
        <v>0.63510917</v>
      </c>
      <c r="H71">
        <v>1</v>
      </c>
      <c r="L71" s="7" t="s">
        <v>341</v>
      </c>
      <c r="M71" s="42">
        <v>572500</v>
      </c>
      <c r="N71" s="42">
        <v>1</v>
      </c>
      <c r="O71" s="42">
        <v>0.63510917</v>
      </c>
      <c r="AY71" s="7" t="s">
        <v>244</v>
      </c>
      <c r="AZ71" s="29">
        <v>0.67461581109720481</v>
      </c>
      <c r="BA71" s="7" t="s">
        <v>46</v>
      </c>
      <c r="BB71" s="29">
        <v>2.9822340668786496E-3</v>
      </c>
      <c r="CM71" t="s">
        <v>458</v>
      </c>
      <c r="CN71" s="9">
        <v>18232500</v>
      </c>
      <c r="CP71" s="6" t="s">
        <v>540</v>
      </c>
      <c r="CQ71">
        <v>2018</v>
      </c>
      <c r="CR71">
        <v>2019</v>
      </c>
      <c r="CS71">
        <v>2020</v>
      </c>
      <c r="CT71">
        <v>2021</v>
      </c>
    </row>
    <row r="72" spans="1:98" x14ac:dyDescent="0.35">
      <c r="A72" s="7" t="s">
        <v>68</v>
      </c>
      <c r="E72" s="7" t="s">
        <v>151</v>
      </c>
      <c r="F72">
        <v>550000</v>
      </c>
      <c r="G72">
        <v>0.54120000000000001</v>
      </c>
      <c r="H72">
        <v>1</v>
      </c>
      <c r="L72" s="7" t="s">
        <v>151</v>
      </c>
      <c r="M72" s="42">
        <v>550000</v>
      </c>
      <c r="N72" s="42">
        <v>1</v>
      </c>
      <c r="O72" s="42">
        <v>0.54120000000000001</v>
      </c>
      <c r="AY72" s="7" t="s">
        <v>90</v>
      </c>
      <c r="AZ72" s="29">
        <v>0.64945481336103239</v>
      </c>
      <c r="BA72" s="7" t="s">
        <v>66</v>
      </c>
      <c r="BB72" s="29">
        <v>2.8697238036105442E-3</v>
      </c>
      <c r="CM72" t="s">
        <v>456</v>
      </c>
      <c r="CN72" s="9">
        <v>13799650</v>
      </c>
      <c r="CP72" s="7" t="s">
        <v>464</v>
      </c>
      <c r="CQ72" s="30">
        <v>59000</v>
      </c>
      <c r="CR72" s="30">
        <v>108000</v>
      </c>
      <c r="CS72" s="30"/>
      <c r="CT72" s="30">
        <v>7165711</v>
      </c>
    </row>
    <row r="73" spans="1:98" x14ac:dyDescent="0.35">
      <c r="A73" s="7" t="s">
        <v>81</v>
      </c>
      <c r="E73" s="7" t="s">
        <v>184</v>
      </c>
      <c r="F73">
        <v>870000</v>
      </c>
      <c r="G73">
        <v>0.49716666666666659</v>
      </c>
      <c r="H73">
        <v>3</v>
      </c>
      <c r="L73" s="7" t="s">
        <v>184</v>
      </c>
      <c r="M73" s="42">
        <v>870000</v>
      </c>
      <c r="N73" s="42">
        <v>3</v>
      </c>
      <c r="O73" s="42">
        <v>0.49716666666666659</v>
      </c>
      <c r="AY73" s="7" t="s">
        <v>308</v>
      </c>
      <c r="AZ73" s="29">
        <v>0.6430032754799625</v>
      </c>
      <c r="BA73" s="7" t="s">
        <v>48</v>
      </c>
      <c r="BB73" s="29">
        <v>2.7913938734871794E-3</v>
      </c>
      <c r="CM73" t="s">
        <v>452</v>
      </c>
      <c r="CN73" s="9">
        <v>9926618</v>
      </c>
      <c r="CP73" s="7" t="s">
        <v>460</v>
      </c>
      <c r="CQ73" s="30"/>
      <c r="CR73" s="30">
        <v>156000</v>
      </c>
      <c r="CS73" s="30"/>
      <c r="CT73" s="30">
        <v>5871800</v>
      </c>
    </row>
    <row r="74" spans="1:98" x14ac:dyDescent="0.35">
      <c r="A74" s="7" t="s">
        <v>83</v>
      </c>
      <c r="E74" s="7" t="s">
        <v>189</v>
      </c>
      <c r="F74">
        <v>89900</v>
      </c>
      <c r="G74">
        <v>0.45700000000000002</v>
      </c>
      <c r="H74">
        <v>1</v>
      </c>
      <c r="L74" s="7" t="s">
        <v>189</v>
      </c>
      <c r="M74" s="42">
        <v>89900</v>
      </c>
      <c r="N74" s="42">
        <v>1</v>
      </c>
      <c r="O74" s="42">
        <v>0.45700000000000002</v>
      </c>
      <c r="AY74" s="7" t="s">
        <v>122</v>
      </c>
      <c r="AZ74" s="29">
        <v>0.64262096212404729</v>
      </c>
      <c r="BA74" s="7" t="s">
        <v>182</v>
      </c>
      <c r="BB74" s="29">
        <v>2.7629102625332286E-3</v>
      </c>
      <c r="CM74" t="s">
        <v>454</v>
      </c>
      <c r="CN74" s="9">
        <v>9165300</v>
      </c>
      <c r="CP74" s="7" t="s">
        <v>471</v>
      </c>
      <c r="CQ74" s="30"/>
      <c r="CR74" s="30"/>
      <c r="CS74" s="30">
        <v>61000</v>
      </c>
      <c r="CT74" s="30">
        <v>8519700</v>
      </c>
    </row>
    <row r="75" spans="1:98" x14ac:dyDescent="0.35">
      <c r="A75" s="7" t="s">
        <v>85</v>
      </c>
      <c r="E75" s="7" t="s">
        <v>193</v>
      </c>
      <c r="F75">
        <v>1053111</v>
      </c>
      <c r="G75">
        <v>0.75397770866666658</v>
      </c>
      <c r="H75">
        <v>3</v>
      </c>
      <c r="L75" s="7" t="s">
        <v>193</v>
      </c>
      <c r="M75" s="42">
        <v>1053111</v>
      </c>
      <c r="N75" s="42">
        <v>3</v>
      </c>
      <c r="O75" s="42">
        <v>0.75397770866666658</v>
      </c>
      <c r="AY75" s="7" t="s">
        <v>146</v>
      </c>
      <c r="AZ75" s="29">
        <v>0.63280984562787213</v>
      </c>
      <c r="BA75" s="7" t="s">
        <v>50</v>
      </c>
      <c r="BB75" s="29">
        <v>2.7415475543177653E-3</v>
      </c>
      <c r="CM75" t="s">
        <v>473</v>
      </c>
      <c r="CN75" s="9">
        <v>9003365</v>
      </c>
      <c r="CP75" s="7" t="s">
        <v>452</v>
      </c>
      <c r="CQ75" s="30">
        <v>437368</v>
      </c>
      <c r="CR75" s="30"/>
      <c r="CS75" s="30">
        <v>153000</v>
      </c>
      <c r="CT75" s="30">
        <v>9336250</v>
      </c>
    </row>
    <row r="76" spans="1:98" x14ac:dyDescent="0.35">
      <c r="A76" s="7" t="s">
        <v>90</v>
      </c>
      <c r="E76" s="7" t="s">
        <v>195</v>
      </c>
      <c r="F76">
        <v>220000</v>
      </c>
      <c r="G76">
        <v>0.61250000000000004</v>
      </c>
      <c r="H76">
        <v>1</v>
      </c>
      <c r="L76" s="7" t="s">
        <v>195</v>
      </c>
      <c r="M76" s="42">
        <v>220000</v>
      </c>
      <c r="N76" s="42">
        <v>1</v>
      </c>
      <c r="O76" s="42">
        <v>0.61250000000000004</v>
      </c>
      <c r="AY76" s="7" t="s">
        <v>184</v>
      </c>
      <c r="AZ76" s="29">
        <v>0.62364866183675294</v>
      </c>
      <c r="BA76" s="7" t="s">
        <v>27</v>
      </c>
      <c r="BB76" s="29">
        <v>2.7273057488407899E-3</v>
      </c>
      <c r="CM76" t="s">
        <v>471</v>
      </c>
      <c r="CN76" s="9">
        <v>8580700</v>
      </c>
      <c r="CP76" s="7" t="s">
        <v>456</v>
      </c>
      <c r="CQ76" s="30">
        <v>6678000</v>
      </c>
      <c r="CR76" s="30">
        <v>30000</v>
      </c>
      <c r="CS76" s="30"/>
      <c r="CT76" s="30">
        <v>7091650</v>
      </c>
    </row>
    <row r="77" spans="1:98" x14ac:dyDescent="0.35">
      <c r="A77" s="7" t="s">
        <v>92</v>
      </c>
      <c r="E77" s="7" t="s">
        <v>119</v>
      </c>
      <c r="F77">
        <v>157000</v>
      </c>
      <c r="G77">
        <v>0.58407643300000001</v>
      </c>
      <c r="H77">
        <v>1</v>
      </c>
      <c r="L77" s="7" t="s">
        <v>119</v>
      </c>
      <c r="M77" s="42">
        <v>157000</v>
      </c>
      <c r="N77" s="42">
        <v>1</v>
      </c>
      <c r="O77" s="42">
        <v>0.58407643300000001</v>
      </c>
      <c r="AY77" s="7" t="s">
        <v>192</v>
      </c>
      <c r="AZ77" s="29">
        <v>0.59949482084756966</v>
      </c>
      <c r="BA77" s="7" t="s">
        <v>106</v>
      </c>
      <c r="BB77" s="29">
        <v>2.5635249858555727E-3</v>
      </c>
      <c r="CM77" t="s">
        <v>462</v>
      </c>
      <c r="CN77" s="9">
        <v>7569800</v>
      </c>
      <c r="CP77" s="7" t="s">
        <v>454</v>
      </c>
      <c r="CQ77" s="30"/>
      <c r="CR77" s="30">
        <v>52000</v>
      </c>
      <c r="CS77" s="30"/>
      <c r="CT77" s="30">
        <v>9113300</v>
      </c>
    </row>
    <row r="78" spans="1:98" x14ac:dyDescent="0.35">
      <c r="A78" s="7" t="s">
        <v>96</v>
      </c>
      <c r="E78" s="7" t="s">
        <v>197</v>
      </c>
      <c r="F78">
        <v>1800000</v>
      </c>
      <c r="G78">
        <v>0.98319999999999996</v>
      </c>
      <c r="H78">
        <v>1</v>
      </c>
      <c r="L78" s="7" t="s">
        <v>197</v>
      </c>
      <c r="M78" s="42">
        <v>1800000</v>
      </c>
      <c r="N78" s="42">
        <v>1</v>
      </c>
      <c r="O78" s="42">
        <v>0.98319999999999996</v>
      </c>
      <c r="AY78" s="7" t="s">
        <v>68</v>
      </c>
      <c r="AZ78" s="29">
        <v>0.5687675795951187</v>
      </c>
      <c r="BA78" s="7" t="s">
        <v>25</v>
      </c>
      <c r="BB78" s="29">
        <v>2.5065577639476712E-3</v>
      </c>
      <c r="CM78" t="s">
        <v>464</v>
      </c>
      <c r="CN78" s="9">
        <v>7332711</v>
      </c>
      <c r="CP78" s="7" t="s">
        <v>458</v>
      </c>
      <c r="CQ78" s="30"/>
      <c r="CR78" s="30"/>
      <c r="CS78" s="30"/>
      <c r="CT78" s="30">
        <v>18232500</v>
      </c>
    </row>
    <row r="79" spans="1:98" x14ac:dyDescent="0.35">
      <c r="A79" s="7" t="s">
        <v>84</v>
      </c>
      <c r="E79" s="7" t="s">
        <v>142</v>
      </c>
      <c r="F79">
        <v>128300</v>
      </c>
      <c r="G79">
        <v>0.7</v>
      </c>
      <c r="H79">
        <v>1</v>
      </c>
      <c r="L79" s="7" t="s">
        <v>142</v>
      </c>
      <c r="M79" s="42">
        <v>128300</v>
      </c>
      <c r="N79" s="42">
        <v>1</v>
      </c>
      <c r="O79" s="42">
        <v>0.7</v>
      </c>
      <c r="AY79" s="7" t="s">
        <v>286</v>
      </c>
      <c r="AZ79" s="29">
        <v>0.55913328302605436</v>
      </c>
      <c r="BA79" s="7" t="s">
        <v>123</v>
      </c>
      <c r="BB79" s="29">
        <v>2.4567114447782575E-3</v>
      </c>
      <c r="CM79" t="s">
        <v>469</v>
      </c>
      <c r="CN79" s="9">
        <v>6832000</v>
      </c>
      <c r="CP79" s="7" t="s">
        <v>462</v>
      </c>
      <c r="CQ79" s="30"/>
      <c r="CR79" s="30"/>
      <c r="CS79" s="30"/>
      <c r="CT79" s="30">
        <v>7569800</v>
      </c>
    </row>
    <row r="80" spans="1:98" x14ac:dyDescent="0.35">
      <c r="A80" s="7" t="s">
        <v>98</v>
      </c>
      <c r="E80" s="7" t="s">
        <v>200</v>
      </c>
      <c r="F80">
        <v>14871900</v>
      </c>
      <c r="G80">
        <v>0.57460388737500001</v>
      </c>
      <c r="H80">
        <v>8</v>
      </c>
      <c r="L80" s="7" t="s">
        <v>200</v>
      </c>
      <c r="M80" s="42">
        <v>14871900</v>
      </c>
      <c r="N80" s="42">
        <v>8</v>
      </c>
      <c r="O80" s="42">
        <v>0.57460388737500001</v>
      </c>
      <c r="AY80" s="7" t="s">
        <v>43</v>
      </c>
      <c r="AZ80" s="29">
        <v>0.55476057401777368</v>
      </c>
      <c r="BA80" s="7" t="s">
        <v>23</v>
      </c>
      <c r="BB80" s="29">
        <v>2.3855024173933801E-3</v>
      </c>
      <c r="CM80" t="s">
        <v>460</v>
      </c>
      <c r="CN80" s="9">
        <v>6027800</v>
      </c>
      <c r="CP80" s="7" t="s">
        <v>473</v>
      </c>
      <c r="CQ80" s="30"/>
      <c r="CR80" s="30"/>
      <c r="CS80" s="30"/>
      <c r="CT80" s="30">
        <v>9003365</v>
      </c>
    </row>
    <row r="81" spans="1:98" x14ac:dyDescent="0.35">
      <c r="A81" s="7" t="s">
        <v>106</v>
      </c>
      <c r="E81" s="7" t="s">
        <v>130</v>
      </c>
      <c r="F81">
        <v>575000</v>
      </c>
      <c r="G81">
        <v>0.76398260900000003</v>
      </c>
      <c r="H81">
        <v>1</v>
      </c>
      <c r="L81" s="7" t="s">
        <v>130</v>
      </c>
      <c r="M81" s="42">
        <v>575000</v>
      </c>
      <c r="N81" s="42">
        <v>1</v>
      </c>
      <c r="O81" s="42">
        <v>0.76398260900000003</v>
      </c>
      <c r="AY81" s="7" t="s">
        <v>73</v>
      </c>
      <c r="AZ81" s="29">
        <v>0.55348818738011818</v>
      </c>
      <c r="BA81" s="7" t="s">
        <v>37</v>
      </c>
      <c r="BB81" s="29">
        <v>2.3498979037009419E-3</v>
      </c>
      <c r="CM81" t="s">
        <v>450</v>
      </c>
      <c r="CN81" s="9">
        <v>5553900</v>
      </c>
      <c r="CP81" s="7" t="s">
        <v>469</v>
      </c>
      <c r="CQ81" s="30"/>
      <c r="CR81" s="30"/>
      <c r="CS81" s="30">
        <v>6832000</v>
      </c>
      <c r="CT81" s="30"/>
    </row>
    <row r="82" spans="1:98" x14ac:dyDescent="0.35">
      <c r="A82" s="7" t="s">
        <v>109</v>
      </c>
      <c r="E82" s="7" t="s">
        <v>135</v>
      </c>
      <c r="F82">
        <v>792000</v>
      </c>
      <c r="G82">
        <v>0.60323267349999998</v>
      </c>
      <c r="H82">
        <v>2</v>
      </c>
      <c r="L82" s="7" t="s">
        <v>135</v>
      </c>
      <c r="M82" s="42">
        <v>792000</v>
      </c>
      <c r="N82" s="42">
        <v>2</v>
      </c>
      <c r="O82" s="42">
        <v>0.60323267349999998</v>
      </c>
      <c r="AY82" s="7" t="s">
        <v>235</v>
      </c>
      <c r="AZ82" s="29">
        <v>0.54838071989093795</v>
      </c>
      <c r="BA82" s="7" t="s">
        <v>108</v>
      </c>
      <c r="BB82" s="29">
        <v>2.3142933900085032E-3</v>
      </c>
      <c r="CM82" t="s">
        <v>475</v>
      </c>
      <c r="CN82" s="9">
        <v>3652005</v>
      </c>
      <c r="CP82" s="7" t="s">
        <v>475</v>
      </c>
      <c r="CQ82" s="30"/>
      <c r="CR82" s="30"/>
      <c r="CS82" s="30">
        <v>3652005</v>
      </c>
      <c r="CT82" s="30"/>
    </row>
    <row r="83" spans="1:98" x14ac:dyDescent="0.35">
      <c r="A83" s="7" t="s">
        <v>111</v>
      </c>
      <c r="E83" s="7" t="s">
        <v>206</v>
      </c>
      <c r="F83">
        <v>2104049</v>
      </c>
      <c r="G83">
        <v>0.66358459059999997</v>
      </c>
      <c r="H83">
        <v>5</v>
      </c>
      <c r="L83" s="7" t="s">
        <v>206</v>
      </c>
      <c r="M83" s="42">
        <v>2104049</v>
      </c>
      <c r="N83" s="42">
        <v>5</v>
      </c>
      <c r="O83" s="42">
        <v>0.66358459059999997</v>
      </c>
      <c r="AY83" s="7" t="s">
        <v>283</v>
      </c>
      <c r="AZ83" s="29">
        <v>0.54157076323869757</v>
      </c>
      <c r="BA83" s="7" t="s">
        <v>90</v>
      </c>
      <c r="BB83" s="29">
        <v>2.150512627023286E-3</v>
      </c>
      <c r="CP83" s="7" t="s">
        <v>450</v>
      </c>
      <c r="CQ83" s="30"/>
      <c r="CR83" s="30"/>
      <c r="CS83" s="30">
        <v>5553900</v>
      </c>
      <c r="CT83" s="30"/>
    </row>
    <row r="84" spans="1:98" x14ac:dyDescent="0.35">
      <c r="A84" s="7" t="s">
        <v>113</v>
      </c>
      <c r="E84" s="7" t="s">
        <v>210</v>
      </c>
      <c r="F84">
        <v>934000</v>
      </c>
      <c r="G84">
        <v>0.65910000000000002</v>
      </c>
      <c r="H84">
        <v>4</v>
      </c>
      <c r="L84" s="7" t="s">
        <v>210</v>
      </c>
      <c r="M84" s="42">
        <v>934000</v>
      </c>
      <c r="N84" s="42">
        <v>4</v>
      </c>
      <c r="O84" s="42">
        <v>0.65910000000000002</v>
      </c>
      <c r="AY84" s="7" t="s">
        <v>8</v>
      </c>
      <c r="AZ84" s="29">
        <v>0.53762815675582154</v>
      </c>
      <c r="BA84" s="7" t="s">
        <v>308</v>
      </c>
      <c r="BB84" s="29">
        <v>2.1291499188078231E-3</v>
      </c>
    </row>
    <row r="85" spans="1:98" x14ac:dyDescent="0.35">
      <c r="A85" s="7" t="s">
        <v>261</v>
      </c>
      <c r="E85" s="7" t="s">
        <v>219</v>
      </c>
      <c r="F85">
        <v>302000</v>
      </c>
      <c r="G85">
        <v>63588832.825199999</v>
      </c>
      <c r="H85">
        <v>2</v>
      </c>
      <c r="L85" s="7" t="s">
        <v>219</v>
      </c>
      <c r="M85" s="42">
        <v>105000</v>
      </c>
      <c r="N85" s="42">
        <v>1</v>
      </c>
      <c r="O85" s="42">
        <v>0.65039999999999998</v>
      </c>
      <c r="AY85" s="7" t="s">
        <v>98</v>
      </c>
      <c r="AZ85" s="29">
        <v>0.53717654910414658</v>
      </c>
      <c r="BA85" s="7" t="s">
        <v>321</v>
      </c>
      <c r="BB85" s="29">
        <v>2.0009736695150442E-3</v>
      </c>
    </row>
    <row r="86" spans="1:98" x14ac:dyDescent="0.35">
      <c r="A86" s="7" t="s">
        <v>115</v>
      </c>
      <c r="E86" s="7" t="s">
        <v>216</v>
      </c>
      <c r="F86">
        <v>1060000</v>
      </c>
      <c r="G86">
        <v>0.55523005360000011</v>
      </c>
      <c r="H86">
        <v>5</v>
      </c>
      <c r="L86" s="7" t="s">
        <v>216</v>
      </c>
      <c r="M86" s="42">
        <v>1060000</v>
      </c>
      <c r="N86" s="42">
        <v>5</v>
      </c>
      <c r="O86" s="42">
        <v>0.55523005360000011</v>
      </c>
      <c r="AY86" s="7" t="s">
        <v>41</v>
      </c>
      <c r="AZ86" s="29">
        <v>0.53494001597204244</v>
      </c>
      <c r="BA86" s="7" t="s">
        <v>286</v>
      </c>
      <c r="BB86" s="29">
        <v>1.8514347120068026E-3</v>
      </c>
    </row>
    <row r="87" spans="1:98" x14ac:dyDescent="0.35">
      <c r="A87" s="7" t="s">
        <v>286</v>
      </c>
      <c r="E87" s="7" t="s">
        <v>280</v>
      </c>
      <c r="F87">
        <v>95000</v>
      </c>
      <c r="G87">
        <v>0.72421052600000002</v>
      </c>
      <c r="H87">
        <v>1</v>
      </c>
      <c r="L87" s="7" t="s">
        <v>280</v>
      </c>
      <c r="M87" s="42">
        <v>95000</v>
      </c>
      <c r="N87" s="42">
        <v>1</v>
      </c>
      <c r="O87" s="42">
        <v>0.72421052600000002</v>
      </c>
      <c r="AY87" s="7" t="s">
        <v>409</v>
      </c>
      <c r="AZ87" s="29">
        <v>0.52472508099368176</v>
      </c>
      <c r="BA87" s="7" t="s">
        <v>235</v>
      </c>
      <c r="BB87" s="29">
        <v>1.8158301983143641E-3</v>
      </c>
    </row>
    <row r="88" spans="1:98" x14ac:dyDescent="0.35">
      <c r="A88" s="7" t="s">
        <v>117</v>
      </c>
      <c r="E88" s="7" t="s">
        <v>181</v>
      </c>
      <c r="F88">
        <v>12054138</v>
      </c>
      <c r="G88">
        <v>0.55225636773913045</v>
      </c>
      <c r="H88">
        <v>23</v>
      </c>
      <c r="L88" s="7" t="s">
        <v>181</v>
      </c>
      <c r="M88" s="42">
        <v>12054138</v>
      </c>
      <c r="N88" s="42">
        <v>23</v>
      </c>
      <c r="O88" s="42">
        <v>0.55225636773913045</v>
      </c>
      <c r="AY88" s="7" t="s">
        <v>159</v>
      </c>
      <c r="AZ88" s="29">
        <v>0.52197720374804091</v>
      </c>
      <c r="BA88" s="7" t="s">
        <v>409</v>
      </c>
      <c r="BB88" s="29">
        <v>1.7375002681909995E-3</v>
      </c>
    </row>
    <row r="89" spans="1:98" x14ac:dyDescent="0.35">
      <c r="A89" s="7" t="s">
        <v>123</v>
      </c>
      <c r="E89" s="7" t="s">
        <v>235</v>
      </c>
      <c r="F89">
        <v>255000</v>
      </c>
      <c r="G89">
        <v>0.36420000000000002</v>
      </c>
      <c r="H89">
        <v>1</v>
      </c>
      <c r="L89" s="7" t="s">
        <v>235</v>
      </c>
      <c r="M89" s="42">
        <v>255000</v>
      </c>
      <c r="N89" s="42">
        <v>1</v>
      </c>
      <c r="O89" s="42">
        <v>0.36420000000000002</v>
      </c>
      <c r="AY89" s="7" t="s">
        <v>284</v>
      </c>
      <c r="AZ89" s="29">
        <v>0.51906493175935653</v>
      </c>
      <c r="BA89" s="7" t="s">
        <v>284</v>
      </c>
      <c r="BB89" s="29">
        <v>1.7187580521832997E-3</v>
      </c>
    </row>
    <row r="90" spans="1:98" x14ac:dyDescent="0.35">
      <c r="A90" s="7" t="s">
        <v>125</v>
      </c>
      <c r="E90" s="7" t="s">
        <v>180</v>
      </c>
      <c r="F90">
        <v>435000</v>
      </c>
      <c r="G90">
        <v>0.48980000000000001</v>
      </c>
      <c r="H90">
        <v>1</v>
      </c>
      <c r="L90" s="7" t="s">
        <v>180</v>
      </c>
      <c r="M90" s="42">
        <v>435000</v>
      </c>
      <c r="N90" s="42">
        <v>1</v>
      </c>
      <c r="O90" s="42">
        <v>0.48980000000000001</v>
      </c>
      <c r="AY90" s="7" t="s">
        <v>155</v>
      </c>
      <c r="AZ90" s="29">
        <v>0.51612303048558861</v>
      </c>
      <c r="BA90" s="7" t="s">
        <v>155</v>
      </c>
      <c r="BB90" s="29">
        <v>1.7090166572370485E-3</v>
      </c>
    </row>
    <row r="91" spans="1:98" x14ac:dyDescent="0.35">
      <c r="A91" s="7" t="s">
        <v>281</v>
      </c>
      <c r="E91" s="7" t="s">
        <v>129</v>
      </c>
      <c r="F91">
        <v>1536000</v>
      </c>
      <c r="G91">
        <v>0.6074494185</v>
      </c>
      <c r="H91">
        <v>4</v>
      </c>
      <c r="L91" s="7" t="s">
        <v>129</v>
      </c>
      <c r="M91" s="42">
        <v>1536000</v>
      </c>
      <c r="N91" s="42">
        <v>4</v>
      </c>
      <c r="O91" s="42">
        <v>0.6074494185</v>
      </c>
      <c r="AY91" s="7" t="s">
        <v>215</v>
      </c>
      <c r="AZ91" s="29">
        <v>0.51294242231022125</v>
      </c>
      <c r="BA91" s="7" t="s">
        <v>215</v>
      </c>
      <c r="BB91" s="29">
        <v>1.6984848420868253E-3</v>
      </c>
    </row>
    <row r="92" spans="1:98" x14ac:dyDescent="0.35">
      <c r="A92" s="7" t="s">
        <v>108</v>
      </c>
      <c r="E92" s="7" t="s">
        <v>241</v>
      </c>
      <c r="F92">
        <v>430900</v>
      </c>
      <c r="G92">
        <v>0.59410000000000007</v>
      </c>
      <c r="H92">
        <v>2</v>
      </c>
      <c r="L92" s="7" t="s">
        <v>241</v>
      </c>
      <c r="M92" s="42">
        <v>430900</v>
      </c>
      <c r="N92" s="42">
        <v>2</v>
      </c>
      <c r="O92" s="42">
        <v>0.59410000000000007</v>
      </c>
      <c r="AY92" s="7" t="s">
        <v>210</v>
      </c>
      <c r="AZ92" s="29">
        <v>0.50214469840993725</v>
      </c>
      <c r="BA92" s="7" t="s">
        <v>113</v>
      </c>
      <c r="BB92" s="29">
        <v>1.6370955395783229E-3</v>
      </c>
    </row>
    <row r="93" spans="1:98" x14ac:dyDescent="0.35">
      <c r="A93" s="7" t="s">
        <v>136</v>
      </c>
      <c r="E93" s="7" t="s">
        <v>244</v>
      </c>
      <c r="F93">
        <v>627400</v>
      </c>
      <c r="G93">
        <v>0.53195000000000003</v>
      </c>
      <c r="H93">
        <v>2</v>
      </c>
      <c r="L93" s="7" t="s">
        <v>244</v>
      </c>
      <c r="M93" s="42">
        <v>627400</v>
      </c>
      <c r="N93" s="42">
        <v>2</v>
      </c>
      <c r="O93" s="42">
        <v>0.53195000000000003</v>
      </c>
      <c r="AY93" s="7" t="s">
        <v>113</v>
      </c>
      <c r="AZ93" s="29">
        <v>0.49440285295265346</v>
      </c>
      <c r="BA93" s="7" t="s">
        <v>191</v>
      </c>
      <c r="BB93" s="29">
        <v>1.5879613106827577E-3</v>
      </c>
    </row>
    <row r="94" spans="1:98" x14ac:dyDescent="0.35">
      <c r="A94" s="7" t="s">
        <v>140</v>
      </c>
      <c r="E94" s="7" t="s">
        <v>138</v>
      </c>
      <c r="F94">
        <v>179900</v>
      </c>
      <c r="G94">
        <v>0.61365778649999991</v>
      </c>
      <c r="H94">
        <v>2</v>
      </c>
      <c r="L94" s="7" t="s">
        <v>138</v>
      </c>
      <c r="M94" s="42">
        <v>179900</v>
      </c>
      <c r="N94" s="42">
        <v>2</v>
      </c>
      <c r="O94" s="42">
        <v>0.61365778649999991</v>
      </c>
      <c r="AY94" s="7" t="s">
        <v>277</v>
      </c>
      <c r="AZ94" s="29">
        <v>0.49203728906292782</v>
      </c>
      <c r="BA94" s="7" t="s">
        <v>195</v>
      </c>
      <c r="BB94" s="29">
        <v>1.5665986024672946E-3</v>
      </c>
    </row>
    <row r="95" spans="1:98" x14ac:dyDescent="0.35">
      <c r="A95" s="7" t="s">
        <v>146</v>
      </c>
      <c r="E95" s="7" t="s">
        <v>139</v>
      </c>
      <c r="F95">
        <v>682505</v>
      </c>
      <c r="G95">
        <v>0.61444166675</v>
      </c>
      <c r="H95">
        <v>4</v>
      </c>
      <c r="L95" s="7" t="s">
        <v>139</v>
      </c>
      <c r="M95" s="42">
        <v>682505</v>
      </c>
      <c r="N95" s="42">
        <v>4</v>
      </c>
      <c r="O95" s="42">
        <v>0.61444166675</v>
      </c>
      <c r="AY95" s="7" t="s">
        <v>191</v>
      </c>
      <c r="AZ95" s="29">
        <v>0.4795643158261928</v>
      </c>
      <c r="BA95" s="7" t="s">
        <v>81</v>
      </c>
      <c r="BB95" s="29">
        <v>1.4882686723439297E-3</v>
      </c>
    </row>
    <row r="96" spans="1:98" x14ac:dyDescent="0.35">
      <c r="A96" s="7" t="s">
        <v>152</v>
      </c>
      <c r="E96" s="7" t="s">
        <v>252</v>
      </c>
      <c r="F96">
        <v>2511000</v>
      </c>
      <c r="G96">
        <v>0.54159999999999997</v>
      </c>
      <c r="H96">
        <v>5</v>
      </c>
      <c r="L96" s="7" t="s">
        <v>252</v>
      </c>
      <c r="M96" s="42">
        <v>2511000</v>
      </c>
      <c r="N96" s="42">
        <v>5</v>
      </c>
      <c r="O96" s="42">
        <v>0.54159999999999997</v>
      </c>
      <c r="AY96" s="7" t="s">
        <v>84</v>
      </c>
      <c r="AZ96" s="29">
        <v>0.47741380319916948</v>
      </c>
      <c r="BA96" s="7" t="s">
        <v>115</v>
      </c>
      <c r="BB96" s="29">
        <v>1.4241805476975405E-3</v>
      </c>
    </row>
    <row r="97" spans="1:54" x14ac:dyDescent="0.35">
      <c r="A97" s="7" t="s">
        <v>155</v>
      </c>
      <c r="E97" s="7" t="s">
        <v>187</v>
      </c>
      <c r="F97">
        <v>870800</v>
      </c>
      <c r="G97">
        <v>0.62280450450000002</v>
      </c>
      <c r="H97">
        <v>4</v>
      </c>
      <c r="L97" s="7" t="s">
        <v>187</v>
      </c>
      <c r="M97" s="42">
        <v>870800</v>
      </c>
      <c r="N97" s="42">
        <v>4</v>
      </c>
      <c r="O97" s="42">
        <v>0.62280450450000002</v>
      </c>
      <c r="AY97" s="7" t="s">
        <v>195</v>
      </c>
      <c r="AZ97" s="29">
        <v>0.47311277794512291</v>
      </c>
      <c r="BA97" s="7" t="s">
        <v>138</v>
      </c>
      <c r="BB97" s="29">
        <v>1.2810504026539377E-3</v>
      </c>
    </row>
    <row r="98" spans="1:54" x14ac:dyDescent="0.35">
      <c r="A98" s="7" t="s">
        <v>157</v>
      </c>
      <c r="E98" s="7" t="s">
        <v>409</v>
      </c>
      <c r="F98">
        <v>244000</v>
      </c>
      <c r="G98">
        <v>0.70368852500000001</v>
      </c>
      <c r="H98">
        <v>1</v>
      </c>
      <c r="L98" s="7" t="s">
        <v>409</v>
      </c>
      <c r="M98" s="42">
        <v>244000</v>
      </c>
      <c r="N98" s="42">
        <v>1</v>
      </c>
      <c r="O98" s="42">
        <v>0.70368852500000001</v>
      </c>
      <c r="AY98" s="7" t="s">
        <v>187</v>
      </c>
      <c r="AZ98" s="29">
        <v>0.46816659890296936</v>
      </c>
      <c r="BA98" s="7" t="s">
        <v>119</v>
      </c>
      <c r="BB98" s="29">
        <v>1.1179817299425694E-3</v>
      </c>
    </row>
    <row r="99" spans="1:54" x14ac:dyDescent="0.35">
      <c r="A99" s="7" t="s">
        <v>159</v>
      </c>
      <c r="E99" s="7" t="s">
        <v>283</v>
      </c>
      <c r="F99">
        <v>755500</v>
      </c>
      <c r="G99">
        <v>0.59506704866666671</v>
      </c>
      <c r="H99">
        <v>3</v>
      </c>
      <c r="L99" s="7" t="s">
        <v>283</v>
      </c>
      <c r="M99" s="42">
        <v>755500</v>
      </c>
      <c r="N99" s="42">
        <v>3</v>
      </c>
      <c r="O99" s="42">
        <v>0.59506704866666671</v>
      </c>
      <c r="AY99" s="7" t="s">
        <v>241</v>
      </c>
      <c r="AZ99" s="29">
        <v>0.46332794549216699</v>
      </c>
      <c r="BA99" s="7" t="s">
        <v>281</v>
      </c>
      <c r="BB99" s="29">
        <v>1.0894981189886184E-3</v>
      </c>
    </row>
    <row r="100" spans="1:54" x14ac:dyDescent="0.35">
      <c r="A100" s="7" t="s">
        <v>144</v>
      </c>
      <c r="E100" s="7" t="s">
        <v>262</v>
      </c>
      <c r="F100">
        <v>2285000</v>
      </c>
      <c r="G100">
        <v>0.45090000000000002</v>
      </c>
      <c r="H100">
        <v>1</v>
      </c>
      <c r="L100" s="7" t="s">
        <v>262</v>
      </c>
      <c r="M100" s="42">
        <v>2285000</v>
      </c>
      <c r="N100" s="42">
        <v>1</v>
      </c>
      <c r="O100" s="42">
        <v>0.45090000000000002</v>
      </c>
      <c r="AY100" s="7" t="s">
        <v>140</v>
      </c>
      <c r="AZ100" s="29">
        <v>0.45671511916407037</v>
      </c>
      <c r="BA100" s="7" t="s">
        <v>109</v>
      </c>
      <c r="BB100" s="29">
        <v>1.0681354107731553E-3</v>
      </c>
    </row>
    <row r="101" spans="1:54" x14ac:dyDescent="0.35">
      <c r="A101" s="7" t="s">
        <v>182</v>
      </c>
      <c r="E101" s="7" t="s">
        <v>264</v>
      </c>
      <c r="F101">
        <v>920750</v>
      </c>
      <c r="G101">
        <v>1458.45128134425</v>
      </c>
      <c r="H101">
        <v>8</v>
      </c>
      <c r="L101" s="7" t="s">
        <v>264</v>
      </c>
      <c r="M101" s="42">
        <v>720750</v>
      </c>
      <c r="N101" s="42">
        <v>7</v>
      </c>
      <c r="O101" s="42">
        <v>0.51575010771428575</v>
      </c>
      <c r="AY101" s="7" t="s">
        <v>216</v>
      </c>
      <c r="AZ101" s="29">
        <v>0.45590867692893661</v>
      </c>
      <c r="BA101" s="7" t="s">
        <v>285</v>
      </c>
      <c r="BB101" s="29">
        <v>1.0318188068068682E-3</v>
      </c>
    </row>
    <row r="102" spans="1:54" x14ac:dyDescent="0.35">
      <c r="A102" s="7" t="s">
        <v>166</v>
      </c>
      <c r="E102" s="7" t="s">
        <v>268</v>
      </c>
      <c r="F102">
        <v>710000</v>
      </c>
      <c r="G102">
        <v>0.38200000000000001</v>
      </c>
      <c r="H102">
        <v>1</v>
      </c>
      <c r="L102" s="7" t="s">
        <v>268</v>
      </c>
      <c r="M102" s="42">
        <v>710000</v>
      </c>
      <c r="N102" s="42">
        <v>1</v>
      </c>
      <c r="O102" s="42">
        <v>0.38200000000000001</v>
      </c>
      <c r="AY102" s="7" t="s">
        <v>81</v>
      </c>
      <c r="AZ102" s="29">
        <v>0.44945713904786677</v>
      </c>
      <c r="BA102" s="7" t="s">
        <v>306</v>
      </c>
      <c r="BB102" s="29">
        <v>9.1764225229795627E-4</v>
      </c>
    </row>
    <row r="103" spans="1:54" x14ac:dyDescent="0.35">
      <c r="A103" s="7" t="s">
        <v>306</v>
      </c>
      <c r="E103" s="7" t="s">
        <v>191</v>
      </c>
      <c r="F103">
        <v>223000</v>
      </c>
      <c r="G103">
        <v>0.56950000000000001</v>
      </c>
      <c r="H103">
        <v>1</v>
      </c>
      <c r="L103" s="7" t="s">
        <v>191</v>
      </c>
      <c r="M103" s="42">
        <v>223000</v>
      </c>
      <c r="N103" s="42">
        <v>1</v>
      </c>
      <c r="O103" s="42">
        <v>0.56950000000000001</v>
      </c>
      <c r="AY103" s="7" t="s">
        <v>125</v>
      </c>
      <c r="AZ103" s="29">
        <v>0.43071695758380674</v>
      </c>
      <c r="BA103" s="7" t="s">
        <v>142</v>
      </c>
      <c r="BB103" s="29">
        <v>9.1361182134797221E-4</v>
      </c>
    </row>
    <row r="104" spans="1:54" x14ac:dyDescent="0.35">
      <c r="A104" s="7" t="s">
        <v>170</v>
      </c>
      <c r="E104" s="7" t="s">
        <v>192</v>
      </c>
      <c r="F104">
        <v>1672610</v>
      </c>
      <c r="G104">
        <v>0.63928213916666665</v>
      </c>
      <c r="H104">
        <v>6</v>
      </c>
      <c r="L104" s="7" t="s">
        <v>192</v>
      </c>
      <c r="M104" s="42">
        <v>1672610</v>
      </c>
      <c r="N104" s="42">
        <v>6</v>
      </c>
      <c r="O104" s="42">
        <v>0.63928213916666665</v>
      </c>
      <c r="AY104" s="7" t="s">
        <v>115</v>
      </c>
      <c r="AZ104" s="29">
        <v>0.43010252540465721</v>
      </c>
      <c r="BA104" s="7" t="s">
        <v>261</v>
      </c>
      <c r="BB104" s="29">
        <v>8.8299193957247512E-4</v>
      </c>
    </row>
    <row r="105" spans="1:54" x14ac:dyDescent="0.35">
      <c r="A105" s="7" t="s">
        <v>122</v>
      </c>
      <c r="E105" s="7" t="s">
        <v>174</v>
      </c>
      <c r="F105">
        <v>578650</v>
      </c>
      <c r="G105">
        <v>0.75332938049999998</v>
      </c>
      <c r="H105">
        <v>4</v>
      </c>
      <c r="L105" s="7" t="s">
        <v>174</v>
      </c>
      <c r="M105" s="42">
        <v>578650</v>
      </c>
      <c r="N105" s="42">
        <v>4</v>
      </c>
      <c r="O105" s="42">
        <v>0.75332938049999998</v>
      </c>
      <c r="AY105" s="7" t="s">
        <v>182</v>
      </c>
      <c r="AZ105" s="29">
        <v>0.41719944964251748</v>
      </c>
      <c r="BA105" s="7" t="s">
        <v>219</v>
      </c>
      <c r="BB105" s="29">
        <v>7.4769478754120871E-4</v>
      </c>
    </row>
    <row r="106" spans="1:54" x14ac:dyDescent="0.35">
      <c r="A106" s="7" t="s">
        <v>133</v>
      </c>
      <c r="E106" s="7" t="s">
        <v>271</v>
      </c>
      <c r="F106">
        <v>1107000</v>
      </c>
      <c r="G106">
        <v>0.50865000000000005</v>
      </c>
      <c r="H106">
        <v>2</v>
      </c>
      <c r="L106" s="7" t="s">
        <v>271</v>
      </c>
      <c r="M106" s="42">
        <v>1107000</v>
      </c>
      <c r="N106" s="42">
        <v>2</v>
      </c>
      <c r="O106" s="42">
        <v>0.50865000000000005</v>
      </c>
      <c r="AY106" s="7" t="s">
        <v>27</v>
      </c>
      <c r="AZ106" s="29">
        <v>0.41182316807495928</v>
      </c>
      <c r="BA106" s="7" t="s">
        <v>205</v>
      </c>
      <c r="BB106" s="29">
        <v>7.1209027384877023E-4</v>
      </c>
    </row>
    <row r="107" spans="1:54" x14ac:dyDescent="0.35">
      <c r="A107" s="7" t="s">
        <v>341</v>
      </c>
      <c r="E107" s="7" t="s">
        <v>277</v>
      </c>
      <c r="F107">
        <v>915200</v>
      </c>
      <c r="G107">
        <v>0.56020371624999998</v>
      </c>
      <c r="H107">
        <v>4</v>
      </c>
      <c r="L107" s="7" t="s">
        <v>277</v>
      </c>
      <c r="M107" s="42">
        <v>915200</v>
      </c>
      <c r="N107" s="42">
        <v>4</v>
      </c>
      <c r="O107" s="42">
        <v>0.56020371624999998</v>
      </c>
      <c r="AY107" s="7" t="s">
        <v>32</v>
      </c>
      <c r="AZ107" s="29">
        <v>0.39350796886814432</v>
      </c>
      <c r="BA107" s="7" t="s">
        <v>280</v>
      </c>
      <c r="BB107" s="29">
        <v>6.7648576015633176E-4</v>
      </c>
    </row>
    <row r="108" spans="1:54" x14ac:dyDescent="0.35">
      <c r="A108" s="7" t="s">
        <v>151</v>
      </c>
      <c r="E108" s="7" t="s">
        <v>205</v>
      </c>
      <c r="F108">
        <v>100000</v>
      </c>
      <c r="G108">
        <v>0.79310000000000003</v>
      </c>
      <c r="H108">
        <v>1</v>
      </c>
      <c r="L108" s="7" t="s">
        <v>205</v>
      </c>
      <c r="M108" s="42">
        <v>100000</v>
      </c>
      <c r="N108" s="42">
        <v>1</v>
      </c>
      <c r="O108" s="42">
        <v>0.79310000000000003</v>
      </c>
      <c r="AY108" s="7" t="s">
        <v>139</v>
      </c>
      <c r="AZ108" s="29">
        <v>0.36693390512663193</v>
      </c>
      <c r="BA108" s="7" t="s">
        <v>189</v>
      </c>
      <c r="BB108" s="29">
        <v>6.4016915619004441E-4</v>
      </c>
    </row>
    <row r="109" spans="1:54" x14ac:dyDescent="0.35">
      <c r="A109" s="7" t="s">
        <v>184</v>
      </c>
      <c r="E109" s="7" t="s">
        <v>215</v>
      </c>
      <c r="F109">
        <v>238521</v>
      </c>
      <c r="G109">
        <v>0.46662557999999998</v>
      </c>
      <c r="H109">
        <v>1</v>
      </c>
      <c r="L109" s="7" t="s">
        <v>215</v>
      </c>
      <c r="M109" s="42">
        <v>238521</v>
      </c>
      <c r="N109" s="42">
        <v>1</v>
      </c>
      <c r="O109" s="42">
        <v>0.46662557999999998</v>
      </c>
      <c r="AY109" s="7" t="s">
        <v>37</v>
      </c>
      <c r="AZ109" s="29">
        <v>0.35483458345884217</v>
      </c>
      <c r="BA109" s="7" t="s">
        <v>249</v>
      </c>
      <c r="BB109" s="29">
        <v>3.5604513692438512E-4</v>
      </c>
    </row>
    <row r="110" spans="1:54" x14ac:dyDescent="0.35">
      <c r="A110" s="7" t="s">
        <v>189</v>
      </c>
      <c r="E110" s="7" t="s">
        <v>321</v>
      </c>
      <c r="F110">
        <v>281000</v>
      </c>
      <c r="G110">
        <v>0.85194090700000003</v>
      </c>
      <c r="H110">
        <v>2</v>
      </c>
      <c r="L110" s="7" t="s">
        <v>321</v>
      </c>
      <c r="M110" s="42">
        <v>281000</v>
      </c>
      <c r="N110" s="42">
        <v>2</v>
      </c>
      <c r="O110" s="42">
        <v>0.85194090700000003</v>
      </c>
      <c r="AY110" s="7" t="s">
        <v>119</v>
      </c>
      <c r="AZ110" s="29">
        <v>0.33763048244265592</v>
      </c>
    </row>
    <row r="111" spans="1:54" x14ac:dyDescent="0.35">
      <c r="A111" s="7" t="s">
        <v>193</v>
      </c>
      <c r="L111" s="7" t="s">
        <v>440</v>
      </c>
      <c r="M111" s="42">
        <v>140431633</v>
      </c>
      <c r="N111" s="42">
        <v>302</v>
      </c>
      <c r="O111" s="42">
        <v>0.59945560993377522</v>
      </c>
      <c r="AY111" s="7" t="s">
        <v>281</v>
      </c>
      <c r="AZ111" s="29">
        <v>0.32902843193456277</v>
      </c>
    </row>
    <row r="112" spans="1:54" x14ac:dyDescent="0.35">
      <c r="A112" s="7" t="s">
        <v>195</v>
      </c>
      <c r="AY112" s="7" t="s">
        <v>109</v>
      </c>
      <c r="AZ112" s="29">
        <v>0.32257689405349288</v>
      </c>
    </row>
    <row r="113" spans="1:52" x14ac:dyDescent="0.35">
      <c r="A113" s="7" t="s">
        <v>119</v>
      </c>
      <c r="AY113" s="7" t="s">
        <v>285</v>
      </c>
      <c r="AZ113" s="29">
        <v>0.31160927965567414</v>
      </c>
    </row>
    <row r="114" spans="1:52" x14ac:dyDescent="0.35">
      <c r="A114" s="7" t="s">
        <v>197</v>
      </c>
      <c r="AY114" s="7" t="s">
        <v>174</v>
      </c>
      <c r="AZ114" s="29">
        <v>0.3110985329067561</v>
      </c>
    </row>
    <row r="115" spans="1:52" x14ac:dyDescent="0.35">
      <c r="A115" s="7" t="s">
        <v>142</v>
      </c>
      <c r="AY115" s="7" t="s">
        <v>321</v>
      </c>
      <c r="AZ115" s="29">
        <v>0.30214702409677169</v>
      </c>
    </row>
    <row r="116" spans="1:52" x14ac:dyDescent="0.35">
      <c r="A116" s="7" t="s">
        <v>200</v>
      </c>
      <c r="AY116" s="7" t="s">
        <v>66</v>
      </c>
      <c r="AZ116" s="29">
        <v>0.28888552956346142</v>
      </c>
    </row>
    <row r="117" spans="1:52" x14ac:dyDescent="0.35">
      <c r="A117" s="7" t="s">
        <v>130</v>
      </c>
      <c r="AY117" s="7" t="s">
        <v>306</v>
      </c>
      <c r="AZ117" s="29">
        <v>0.27712796019398278</v>
      </c>
    </row>
    <row r="118" spans="1:52" x14ac:dyDescent="0.35">
      <c r="A118" s="7" t="s">
        <v>135</v>
      </c>
      <c r="AY118" s="7" t="s">
        <v>142</v>
      </c>
      <c r="AZ118" s="29">
        <v>0.27591077004708758</v>
      </c>
    </row>
    <row r="119" spans="1:52" x14ac:dyDescent="0.35">
      <c r="A119" s="7" t="s">
        <v>206</v>
      </c>
      <c r="AY119" s="7" t="s">
        <v>261</v>
      </c>
      <c r="AZ119" s="29">
        <v>0.26666356575088745</v>
      </c>
    </row>
    <row r="120" spans="1:52" x14ac:dyDescent="0.35">
      <c r="A120" s="7" t="s">
        <v>210</v>
      </c>
      <c r="AY120" s="7" t="s">
        <v>219</v>
      </c>
      <c r="AZ120" s="29">
        <v>0.22580382583744504</v>
      </c>
    </row>
    <row r="121" spans="1:52" x14ac:dyDescent="0.35">
      <c r="A121" s="7" t="s">
        <v>219</v>
      </c>
      <c r="AY121" s="7" t="s">
        <v>264</v>
      </c>
      <c r="AZ121" s="29">
        <v>0.22142599656100476</v>
      </c>
    </row>
    <row r="122" spans="1:52" x14ac:dyDescent="0.35">
      <c r="A122" s="7" t="s">
        <v>216</v>
      </c>
      <c r="AY122" s="7" t="s">
        <v>205</v>
      </c>
      <c r="AZ122" s="29">
        <v>0.2150512627023286</v>
      </c>
    </row>
    <row r="123" spans="1:52" x14ac:dyDescent="0.35">
      <c r="A123" s="7" t="s">
        <v>280</v>
      </c>
      <c r="AY123" s="7" t="s">
        <v>282</v>
      </c>
      <c r="AZ123" s="29">
        <v>0.20666426345693778</v>
      </c>
    </row>
    <row r="124" spans="1:52" x14ac:dyDescent="0.35">
      <c r="A124" s="7" t="s">
        <v>181</v>
      </c>
      <c r="AY124" s="7" t="s">
        <v>280</v>
      </c>
      <c r="AZ124" s="29">
        <v>0.20429869956721217</v>
      </c>
    </row>
    <row r="125" spans="1:52" x14ac:dyDescent="0.35">
      <c r="A125" s="7" t="s">
        <v>235</v>
      </c>
      <c r="AY125" s="7" t="s">
        <v>138</v>
      </c>
      <c r="AZ125" s="29">
        <v>0.19343861080074456</v>
      </c>
    </row>
    <row r="126" spans="1:52" x14ac:dyDescent="0.35">
      <c r="A126" s="7" t="s">
        <v>180</v>
      </c>
      <c r="AY126" s="7" t="s">
        <v>189</v>
      </c>
      <c r="AZ126" s="29">
        <v>0.1933310851693934</v>
      </c>
    </row>
    <row r="127" spans="1:52" x14ac:dyDescent="0.35">
      <c r="A127" s="7" t="s">
        <v>129</v>
      </c>
      <c r="AY127" s="7" t="s">
        <v>249</v>
      </c>
      <c r="AZ127" s="29">
        <v>0.1075256313511643</v>
      </c>
    </row>
    <row r="128" spans="1:52" x14ac:dyDescent="0.35">
      <c r="A128" s="7" t="s">
        <v>241</v>
      </c>
      <c r="AY128" s="7" t="s">
        <v>440</v>
      </c>
      <c r="AZ128" s="29">
        <v>1</v>
      </c>
    </row>
    <row r="129" spans="1:1" x14ac:dyDescent="0.35">
      <c r="A129" s="7" t="s">
        <v>244</v>
      </c>
    </row>
    <row r="130" spans="1:1" x14ac:dyDescent="0.35">
      <c r="A130" s="7" t="s">
        <v>138</v>
      </c>
    </row>
    <row r="131" spans="1:1" x14ac:dyDescent="0.35">
      <c r="A131" s="7" t="s">
        <v>139</v>
      </c>
    </row>
    <row r="132" spans="1:1" x14ac:dyDescent="0.35">
      <c r="A132" s="7" t="s">
        <v>252</v>
      </c>
    </row>
    <row r="133" spans="1:1" x14ac:dyDescent="0.35">
      <c r="A133" s="7" t="s">
        <v>187</v>
      </c>
    </row>
    <row r="134" spans="1:1" x14ac:dyDescent="0.35">
      <c r="A134" s="7" t="s">
        <v>409</v>
      </c>
    </row>
    <row r="135" spans="1:1" x14ac:dyDescent="0.35">
      <c r="A135" s="7" t="s">
        <v>283</v>
      </c>
    </row>
    <row r="136" spans="1:1" x14ac:dyDescent="0.35">
      <c r="A136" s="7" t="s">
        <v>262</v>
      </c>
    </row>
    <row r="137" spans="1:1" x14ac:dyDescent="0.35">
      <c r="A137" s="7" t="s">
        <v>264</v>
      </c>
    </row>
    <row r="138" spans="1:1" x14ac:dyDescent="0.35">
      <c r="A138" s="7" t="s">
        <v>268</v>
      </c>
    </row>
    <row r="139" spans="1:1" x14ac:dyDescent="0.35">
      <c r="A139" s="7" t="s">
        <v>191</v>
      </c>
    </row>
    <row r="140" spans="1:1" x14ac:dyDescent="0.35">
      <c r="A140" s="7" t="s">
        <v>192</v>
      </c>
    </row>
    <row r="141" spans="1:1" x14ac:dyDescent="0.35">
      <c r="A141" s="7" t="s">
        <v>174</v>
      </c>
    </row>
    <row r="142" spans="1:1" x14ac:dyDescent="0.35">
      <c r="A142" s="7" t="s">
        <v>271</v>
      </c>
    </row>
    <row r="143" spans="1:1" x14ac:dyDescent="0.35">
      <c r="A143" s="7" t="s">
        <v>277</v>
      </c>
    </row>
    <row r="144" spans="1:1" x14ac:dyDescent="0.35">
      <c r="A144" s="7" t="s">
        <v>205</v>
      </c>
    </row>
    <row r="145" spans="1:1" x14ac:dyDescent="0.35">
      <c r="A145" s="7" t="s">
        <v>215</v>
      </c>
    </row>
    <row r="146" spans="1:1" x14ac:dyDescent="0.35">
      <c r="A146" s="7" t="s">
        <v>321</v>
      </c>
    </row>
    <row r="147" spans="1:1" x14ac:dyDescent="0.35">
      <c r="A147" s="7" t="s">
        <v>440</v>
      </c>
    </row>
    <row r="283" spans="70:73" x14ac:dyDescent="0.35">
      <c r="BR283" s="3"/>
      <c r="BU283" s="3"/>
    </row>
    <row r="284" spans="70:73" x14ac:dyDescent="0.35">
      <c r="BR284" s="3"/>
      <c r="BU284" s="3"/>
    </row>
    <row r="285" spans="70:73" x14ac:dyDescent="0.35">
      <c r="BR285" s="3"/>
      <c r="BU285" s="3"/>
    </row>
    <row r="286" spans="70:73" x14ac:dyDescent="0.35">
      <c r="BR286" s="3"/>
      <c r="BU286" s="3"/>
    </row>
    <row r="287" spans="70:73" x14ac:dyDescent="0.35">
      <c r="BR287" s="3"/>
      <c r="BU287" s="3"/>
    </row>
    <row r="288" spans="70:73" x14ac:dyDescent="0.35">
      <c r="BR288" s="3"/>
      <c r="BU288" s="3"/>
    </row>
    <row r="289" spans="70:73" x14ac:dyDescent="0.35">
      <c r="BR289" s="3"/>
      <c r="BU289" s="3"/>
    </row>
    <row r="290" spans="70:73" x14ac:dyDescent="0.35">
      <c r="BR290" s="3"/>
      <c r="BU290" s="3"/>
    </row>
    <row r="291" spans="70:73" x14ac:dyDescent="0.35">
      <c r="BR291" s="3"/>
      <c r="BU291" s="3"/>
    </row>
    <row r="292" spans="70:73" x14ac:dyDescent="0.35">
      <c r="BR292" s="3"/>
      <c r="BU292" s="3"/>
    </row>
    <row r="293" spans="70:73" x14ac:dyDescent="0.35">
      <c r="BR293" s="3"/>
      <c r="BU293" s="3"/>
    </row>
    <row r="294" spans="70:73" x14ac:dyDescent="0.35">
      <c r="BR294" s="3"/>
      <c r="BU294" s="3"/>
    </row>
    <row r="295" spans="70:73" x14ac:dyDescent="0.35">
      <c r="BR295" s="3"/>
      <c r="BU295" s="3"/>
    </row>
    <row r="296" spans="70:73" x14ac:dyDescent="0.35">
      <c r="BR296" s="3"/>
      <c r="BU296" s="3"/>
    </row>
    <row r="297" spans="70:73" x14ac:dyDescent="0.35">
      <c r="BR297" s="3"/>
      <c r="BU297" s="3"/>
    </row>
    <row r="298" spans="70:73" x14ac:dyDescent="0.35">
      <c r="BR298" s="3"/>
      <c r="BU298" s="3"/>
    </row>
    <row r="299" spans="70:73" x14ac:dyDescent="0.35">
      <c r="BR299" s="3"/>
      <c r="BU299" s="3"/>
    </row>
    <row r="300" spans="70:73" x14ac:dyDescent="0.35">
      <c r="BR300" s="3"/>
      <c r="BU300" s="3"/>
    </row>
    <row r="301" spans="70:73" x14ac:dyDescent="0.35">
      <c r="BR301" s="3"/>
      <c r="BU301" s="3"/>
    </row>
    <row r="302" spans="70:73" x14ac:dyDescent="0.35">
      <c r="BR302" s="3"/>
      <c r="BU302" s="3"/>
    </row>
    <row r="303" spans="70:73" x14ac:dyDescent="0.35">
      <c r="BR303" s="3"/>
      <c r="BU303" s="3"/>
    </row>
    <row r="304" spans="70:73" x14ac:dyDescent="0.35">
      <c r="BR304" s="3"/>
      <c r="BU304" s="3"/>
    </row>
    <row r="305" spans="70:73" x14ac:dyDescent="0.35">
      <c r="BR305" s="3"/>
      <c r="BU305" s="3"/>
    </row>
    <row r="306" spans="70:73" x14ac:dyDescent="0.35">
      <c r="BR306" s="3"/>
      <c r="BU306" s="3"/>
    </row>
    <row r="307" spans="70:73" x14ac:dyDescent="0.35">
      <c r="BR307" s="3"/>
      <c r="BU307" s="3"/>
    </row>
    <row r="308" spans="70:73" x14ac:dyDescent="0.35">
      <c r="BR308" s="3"/>
      <c r="BU308" s="3"/>
    </row>
    <row r="309" spans="70:73" x14ac:dyDescent="0.35">
      <c r="BR309" s="3"/>
      <c r="BU309" s="3"/>
    </row>
    <row r="310" spans="70:73" x14ac:dyDescent="0.35">
      <c r="BR310" s="3"/>
      <c r="BU310" s="3"/>
    </row>
    <row r="311" spans="70:73" x14ac:dyDescent="0.35">
      <c r="BR311" s="3"/>
      <c r="BU311" s="3"/>
    </row>
    <row r="312" spans="70:73" x14ac:dyDescent="0.35">
      <c r="BR312" s="3"/>
      <c r="BU312" s="3"/>
    </row>
    <row r="313" spans="70:73" x14ac:dyDescent="0.35">
      <c r="BR313" s="3"/>
      <c r="BU313" s="3"/>
    </row>
    <row r="314" spans="70:73" x14ac:dyDescent="0.35">
      <c r="BR314" s="3"/>
      <c r="BU314" s="3"/>
    </row>
    <row r="315" spans="70:73" x14ac:dyDescent="0.35">
      <c r="BR315" s="3"/>
      <c r="BU315" s="3"/>
    </row>
    <row r="316" spans="70:73" x14ac:dyDescent="0.35">
      <c r="BR316" s="3"/>
      <c r="BU316" s="3"/>
    </row>
    <row r="317" spans="70:73" x14ac:dyDescent="0.35">
      <c r="BR317" s="3"/>
      <c r="BU317" s="3"/>
    </row>
    <row r="318" spans="70:73" x14ac:dyDescent="0.35">
      <c r="BR318" s="3"/>
      <c r="BU318" s="3"/>
    </row>
    <row r="319" spans="70:73" x14ac:dyDescent="0.35">
      <c r="BR319" s="3"/>
      <c r="BU319" s="3"/>
    </row>
    <row r="320" spans="70:73" x14ac:dyDescent="0.35">
      <c r="BR320" s="3"/>
      <c r="BU320" s="3"/>
    </row>
    <row r="321" spans="70:73" x14ac:dyDescent="0.35">
      <c r="BR321" s="3"/>
      <c r="BU321" s="3"/>
    </row>
    <row r="322" spans="70:73" x14ac:dyDescent="0.35">
      <c r="BR322" s="3"/>
      <c r="BU322" s="3"/>
    </row>
    <row r="323" spans="70:73" x14ac:dyDescent="0.35">
      <c r="BR323" s="3"/>
      <c r="BU323" s="3"/>
    </row>
    <row r="324" spans="70:73" x14ac:dyDescent="0.35">
      <c r="BR324" s="3"/>
      <c r="BU324" s="3"/>
    </row>
  </sheetData>
  <pageMargins left="0.7" right="0.7" top="0.75" bottom="0.75" header="0.3" footer="0.3"/>
  <pageSetup orientation="portrait" r:id="rId17"/>
  <drawing r:id="rId18"/>
  <tableParts count="1">
    <tablePart r:id="rId19"/>
  </tableParts>
  <extLst>
    <ext xmlns:x14="http://schemas.microsoft.com/office/spreadsheetml/2009/9/main" uri="{A8765BA9-456A-4dab-B4F3-ACF838C121DE}">
      <x14:slicerList>
        <x14:slicer r:id="rId20"/>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D9300-3738-42E5-9CD6-396FC5696984}">
  <dimension ref="Q1"/>
  <sheetViews>
    <sheetView showGridLines="0" showRowColHeaders="0" tabSelected="1" zoomScale="62" zoomScaleNormal="62" workbookViewId="0">
      <selection activeCell="T35" sqref="T35"/>
    </sheetView>
  </sheetViews>
  <sheetFormatPr defaultColWidth="9.1796875" defaultRowHeight="14.5" x14ac:dyDescent="0.35"/>
  <cols>
    <col min="1" max="16384" width="9.1796875" style="20"/>
  </cols>
  <sheetData>
    <row r="1" spans="17:17" x14ac:dyDescent="0.35">
      <c r="Q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DA597-8C99-4746-95D9-5813C81E4CCB}">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EF1F2A7-04DE-4966-9079-340F4586AD4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Table1_3__3</vt:lpstr>
      <vt:lpstr>overvalued_sales ratio2 by town</vt:lpstr>
      <vt:lpstr>Table1_3__3 (2)</vt:lpstr>
      <vt:lpstr>avg. sales ratio fr comm</vt:lpstr>
      <vt:lpstr>Avg. comm vs Residential sales</vt:lpstr>
      <vt:lpstr>Monthly Trend</vt:lpstr>
      <vt:lpstr>2018-2021 Monthly Trend</vt:lpstr>
      <vt:lpstr>2018-2021</vt:lpstr>
      <vt:lpstr>Table1_3__3__9 (2)</vt:lpstr>
      <vt:lpstr>Main dataset</vt:lpstr>
      <vt:lpstr>month in 2021 highest sales</vt:lpstr>
      <vt:lpstr>dd</vt:lpstr>
      <vt:lpstr>Analysis</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favour ebem</cp:lastModifiedBy>
  <dcterms:created xsi:type="dcterms:W3CDTF">2023-06-14T20:55:45Z</dcterms:created>
  <dcterms:modified xsi:type="dcterms:W3CDTF">2026-05-19T06:31:51Z</dcterms:modified>
</cp:coreProperties>
</file>